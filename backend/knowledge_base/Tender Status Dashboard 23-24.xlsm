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28389E77-7640-9E18-AD5C-E98E2F4A8B83}"/>
  <workbookPr codeName="ThisWorkbook"/>
  <mc:AlternateContent xmlns:mc="http://schemas.openxmlformats.org/markup-compatibility/2006">
    <mc:Choice Requires="x15">
      <x15ac:absPath xmlns:x15ac="http://schemas.microsoft.com/office/spreadsheetml/2010/11/ac" url="C:\Users\HR59\Desktop\AI Tender Analysis System\backend\knowledge_base\"/>
    </mc:Choice>
  </mc:AlternateContent>
  <bookViews>
    <workbookView xWindow="0" yWindow="0" windowWidth="19200" windowHeight="7190" tabRatio="616" activeTab="1"/>
  </bookViews>
  <sheets>
    <sheet name="Dashboard" sheetId="2" r:id="rId1"/>
    <sheet name="Tender Submitted" sheetId="1" r:id="rId2"/>
    <sheet name="Sheet1" sheetId="3" state="hidden" r:id="rId3"/>
  </sheets>
  <definedNames>
    <definedName name="_xlnm._FilterDatabase" localSheetId="1" hidden="1">'Tender Submitted'!$A$1:$R$1112</definedName>
    <definedName name="tender_status">Sheet1!$B$2:$B$8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112" i="1" l="1"/>
  <c r="A1111" i="1"/>
  <c r="A1110" i="1"/>
  <c r="A1109"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9"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9" i="1"/>
  <c r="A1048" i="1"/>
  <c r="A1047" i="1"/>
  <c r="A1046" i="1"/>
  <c r="A1045" i="1"/>
  <c r="A1044" i="1"/>
  <c r="A1043" i="1"/>
  <c r="A1042" i="1"/>
  <c r="A1041" i="1"/>
  <c r="A1040" i="1"/>
  <c r="A1039" i="1"/>
  <c r="A1038" i="1"/>
  <c r="A1037" i="1"/>
  <c r="A1036" i="1"/>
  <c r="A1035" i="1"/>
  <c r="A1034" i="1"/>
  <c r="A1033" i="1"/>
  <c r="A1004" i="1"/>
  <c r="A1032" i="1"/>
  <c r="A1031" i="1"/>
  <c r="A1030" i="1"/>
  <c r="A1029" i="1"/>
  <c r="A1028" i="1"/>
  <c r="A1027" i="1"/>
  <c r="A1026" i="1"/>
  <c r="A1025" i="1"/>
  <c r="A1024" i="1"/>
  <c r="A1023" i="1"/>
  <c r="A1022" i="1"/>
  <c r="A1021" i="1"/>
  <c r="A1020" i="1"/>
  <c r="A1019" i="1"/>
  <c r="A1018" i="1"/>
  <c r="A1017" i="1"/>
  <c r="A1016" i="1"/>
  <c r="A1015" i="1"/>
  <c r="A1014" i="1"/>
  <c r="A1013" i="1"/>
  <c r="A1012" i="1"/>
  <c r="A1011" i="1"/>
  <c r="A1010" i="1"/>
  <c r="A1009" i="1"/>
  <c r="A1008" i="1"/>
  <c r="A1007" i="1"/>
  <c r="A1006" i="1"/>
  <c r="A1005" i="1"/>
  <c r="A1003" i="1"/>
  <c r="A1002" i="1"/>
  <c r="E6" i="2"/>
  <c r="A896" i="1"/>
  <c r="A897" i="1"/>
  <c r="A898" i="1"/>
  <c r="A901" i="1"/>
  <c r="A902" i="1"/>
  <c r="A899"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00" i="1"/>
  <c r="A903"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894" i="1"/>
  <c r="A895" i="1"/>
  <c r="A893" i="1"/>
  <c r="A891" i="1"/>
  <c r="A995" i="1"/>
  <c r="A996" i="1"/>
  <c r="A888" i="1"/>
  <c r="A892" i="1"/>
  <c r="A889" i="1"/>
  <c r="A890" i="1"/>
  <c r="A887" i="1"/>
  <c r="A881" i="1"/>
  <c r="A882" i="1"/>
  <c r="A883" i="1"/>
  <c r="A880" i="1"/>
  <c r="A885" i="1"/>
  <c r="A886" i="1"/>
  <c r="A884" i="1"/>
  <c r="A875" i="1"/>
  <c r="A878" i="1"/>
  <c r="A879" i="1"/>
  <c r="A877" i="1"/>
  <c r="A850" i="1"/>
  <c r="A876" i="1"/>
  <c r="A869" i="1"/>
  <c r="A873" i="1"/>
  <c r="A841" i="1"/>
  <c r="A874" i="1"/>
  <c r="A870" i="1"/>
  <c r="A871" i="1"/>
  <c r="A865" i="1"/>
  <c r="A860" i="1"/>
  <c r="A864" i="1"/>
  <c r="A868" i="1"/>
  <c r="A862" i="1"/>
  <c r="A872" i="1"/>
  <c r="A866" i="1"/>
  <c r="A867" i="1"/>
  <c r="A852" i="1"/>
  <c r="A853" i="1"/>
  <c r="A863" i="1"/>
  <c r="A854" i="1"/>
  <c r="A857" i="1"/>
  <c r="A855" i="1"/>
  <c r="A856" i="1"/>
  <c r="A861" i="1"/>
  <c r="A859" i="1"/>
  <c r="A851" i="1"/>
  <c r="A858" i="1"/>
  <c r="A849" i="1"/>
  <c r="A847" i="1"/>
  <c r="A846" i="1"/>
  <c r="A840" i="1"/>
  <c r="A848" i="1"/>
  <c r="A997" i="1"/>
  <c r="A845" i="1"/>
  <c r="A844" i="1"/>
  <c r="A838" i="1"/>
  <c r="A842" i="1"/>
  <c r="A998" i="1"/>
  <c r="A843" i="1"/>
  <c r="A836" i="1"/>
  <c r="A834" i="1"/>
  <c r="A832" i="1"/>
  <c r="A839" i="1"/>
  <c r="A837" i="1"/>
  <c r="A835" i="1"/>
  <c r="A833" i="1"/>
  <c r="A830" i="1"/>
  <c r="A825" i="1"/>
  <c r="A828" i="1"/>
  <c r="A829" i="1"/>
  <c r="A826" i="1"/>
  <c r="A827" i="1"/>
  <c r="A831" i="1"/>
  <c r="A999" i="1"/>
  <c r="A658" i="1"/>
  <c r="A817" i="1"/>
  <c r="A824" i="1"/>
  <c r="A822" i="1"/>
  <c r="A820" i="1"/>
  <c r="A823" i="1"/>
  <c r="A821" i="1"/>
  <c r="A818" i="1"/>
  <c r="A819" i="1"/>
  <c r="A815" i="1"/>
  <c r="A809" i="1"/>
  <c r="A811" i="1"/>
  <c r="A813" i="1"/>
  <c r="A816" i="1"/>
  <c r="A814" i="1"/>
  <c r="A810" i="1"/>
  <c r="A271" i="1"/>
  <c r="A660" i="1"/>
  <c r="A812" i="1"/>
  <c r="A799" i="1"/>
  <c r="A795" i="1"/>
  <c r="A791" i="1"/>
  <c r="A798" i="1"/>
  <c r="A802" i="1"/>
  <c r="A785" i="1"/>
  <c r="A803" i="1"/>
  <c r="A808" i="1"/>
  <c r="A806" i="1"/>
  <c r="A800" i="1"/>
  <c r="A804" i="1"/>
  <c r="A796" i="1"/>
  <c r="A807" i="1"/>
  <c r="A771" i="1"/>
  <c r="A805" i="1"/>
  <c r="A801" i="1"/>
  <c r="A793" i="1"/>
  <c r="A797" i="1"/>
  <c r="A789" i="1"/>
  <c r="A794" i="1"/>
  <c r="A792" i="1"/>
  <c r="A790" i="1"/>
  <c r="A783" i="1"/>
  <c r="A788" i="1"/>
  <c r="A781" i="1"/>
  <c r="A777" i="1"/>
  <c r="A776" i="1"/>
  <c r="A787" i="1"/>
  <c r="A786" i="1"/>
  <c r="A784" i="1"/>
  <c r="A773" i="1"/>
  <c r="A780" i="1"/>
  <c r="A779" i="1"/>
  <c r="A775" i="1"/>
  <c r="A769" i="1"/>
  <c r="A772" i="1"/>
  <c r="A778" i="1"/>
  <c r="A768" i="1"/>
  <c r="A759" i="1"/>
  <c r="A782" i="1"/>
  <c r="A770" i="1"/>
  <c r="A774" i="1"/>
  <c r="A767" i="1"/>
  <c r="A761" i="1"/>
  <c r="A764" i="1"/>
  <c r="A763" i="1"/>
  <c r="A762" i="1"/>
  <c r="A766" i="1"/>
  <c r="A755" i="1"/>
  <c r="A750" i="1"/>
  <c r="A760" i="1"/>
  <c r="A765" i="1"/>
  <c r="A756" i="1"/>
  <c r="A758" i="1"/>
  <c r="A748" i="1"/>
  <c r="A751" i="1"/>
  <c r="A757" i="1"/>
  <c r="A752" i="1"/>
  <c r="A740" i="1"/>
  <c r="A737" i="1"/>
  <c r="A738" i="1"/>
  <c r="A753" i="1"/>
  <c r="A744" i="1"/>
  <c r="A754" i="1"/>
  <c r="A732" i="1"/>
  <c r="A749" i="1"/>
  <c r="A742" i="1"/>
  <c r="A735" i="1"/>
  <c r="A746" i="1"/>
  <c r="A713" i="1"/>
  <c r="A743" i="1"/>
  <c r="A747" i="1"/>
  <c r="A730" i="1"/>
  <c r="A741" i="1"/>
  <c r="A745" i="1"/>
  <c r="A739" i="1"/>
  <c r="A721" i="1"/>
  <c r="A724" i="1"/>
  <c r="A722" i="1"/>
  <c r="A725" i="1"/>
  <c r="A734" i="1"/>
  <c r="A733" i="1"/>
  <c r="A728" i="1"/>
  <c r="A729" i="1"/>
  <c r="A718" i="1"/>
  <c r="A719" i="1"/>
  <c r="A736" i="1"/>
  <c r="A714" i="1"/>
  <c r="A726" i="1"/>
  <c r="A727" i="1"/>
  <c r="A720" i="1"/>
  <c r="A708" i="1"/>
  <c r="A731" i="1"/>
  <c r="A711" i="1"/>
  <c r="A715" i="1"/>
  <c r="A723" i="1"/>
  <c r="A712" i="1"/>
  <c r="A689" i="1"/>
  <c r="A716" i="1"/>
  <c r="A717" i="1"/>
  <c r="A709" i="1"/>
  <c r="A705" i="1"/>
  <c r="A710" i="1"/>
  <c r="A703" i="1"/>
  <c r="A694" i="1"/>
  <c r="A706" i="1"/>
  <c r="A697" i="1"/>
  <c r="A707" i="1"/>
  <c r="A681" i="1"/>
  <c r="A702" i="1"/>
  <c r="A690" i="1"/>
  <c r="A685" i="1"/>
  <c r="A686" i="1"/>
  <c r="A691" i="1"/>
  <c r="A680" i="1"/>
  <c r="A704" i="1"/>
  <c r="A698" i="1"/>
  <c r="A692" i="1"/>
  <c r="A699" i="1"/>
  <c r="A700" i="1"/>
  <c r="A701" i="1"/>
  <c r="A696" i="1"/>
  <c r="A687" i="1"/>
  <c r="A688" i="1"/>
  <c r="A695" i="1"/>
  <c r="A678" i="1"/>
  <c r="A693" i="1"/>
  <c r="A682" i="1"/>
  <c r="A683" i="1"/>
  <c r="A676" i="1"/>
  <c r="A684" i="1"/>
  <c r="A672" i="1"/>
  <c r="A9" i="1"/>
  <c r="A22" i="1"/>
  <c r="A675" i="1"/>
  <c r="A677" i="1"/>
  <c r="A674" i="1"/>
  <c r="A670" i="1"/>
  <c r="A679" i="1"/>
  <c r="A31" i="1"/>
  <c r="A669" i="1"/>
  <c r="A11" i="1"/>
  <c r="A13" i="1"/>
  <c r="A28" i="1"/>
  <c r="A671" i="1"/>
  <c r="A668" i="1"/>
  <c r="A673" i="1"/>
  <c r="A25" i="1"/>
  <c r="A10" i="1"/>
  <c r="A30" i="1"/>
  <c r="A26" i="1"/>
  <c r="A5" i="1"/>
  <c r="A12" i="1"/>
  <c r="A20" i="1"/>
  <c r="A3" i="1"/>
  <c r="A4" i="1"/>
  <c r="A8" i="1"/>
  <c r="A21" i="1"/>
  <c r="A29" i="1"/>
  <c r="A36" i="1"/>
  <c r="A32" i="1"/>
  <c r="A6" i="1"/>
  <c r="A18" i="1"/>
  <c r="A2" i="1"/>
  <c r="A7" i="1"/>
  <c r="A24" i="1"/>
  <c r="A16" i="1"/>
  <c r="A27" i="1"/>
  <c r="A17" i="1"/>
  <c r="A43" i="1"/>
  <c r="A35" i="1"/>
  <c r="A44" i="1"/>
  <c r="A19" i="1"/>
  <c r="A42" i="1"/>
  <c r="A45" i="1"/>
  <c r="A23" i="1"/>
  <c r="A40" i="1"/>
  <c r="A15" i="1"/>
  <c r="A41" i="1"/>
  <c r="A48" i="1"/>
  <c r="A39" i="1"/>
  <c r="A34" i="1"/>
  <c r="A57" i="1"/>
  <c r="A53" i="1"/>
  <c r="A14" i="1"/>
  <c r="A56" i="1"/>
  <c r="A33" i="1"/>
  <c r="A67" i="1"/>
  <c r="A69" i="1"/>
  <c r="A66" i="1"/>
  <c r="A38" i="1"/>
  <c r="A65" i="1"/>
  <c r="A51" i="1"/>
  <c r="A37" i="1"/>
  <c r="A52" i="1"/>
  <c r="A63" i="1"/>
  <c r="A58" i="1"/>
  <c r="A60" i="1"/>
  <c r="A68" i="1"/>
  <c r="A64" i="1"/>
  <c r="A54" i="1"/>
  <c r="A55" i="1"/>
  <c r="A50" i="1"/>
  <c r="A46" i="1"/>
  <c r="A59" i="1"/>
  <c r="A49" i="1"/>
  <c r="A47" i="1"/>
  <c r="A61" i="1"/>
  <c r="A86" i="1"/>
  <c r="A87" i="1"/>
  <c r="A89" i="1"/>
  <c r="A81" i="1"/>
  <c r="A74" i="1"/>
  <c r="A62" i="1"/>
  <c r="A82" i="1"/>
  <c r="A75" i="1"/>
  <c r="A76" i="1"/>
  <c r="A84" i="1"/>
  <c r="A79" i="1"/>
  <c r="A73" i="1"/>
  <c r="A90" i="1"/>
  <c r="A85" i="1"/>
  <c r="A80" i="1"/>
  <c r="A70" i="1"/>
  <c r="A88" i="1"/>
  <c r="A95" i="1"/>
  <c r="A77" i="1"/>
  <c r="A108" i="1"/>
  <c r="A83" i="1"/>
  <c r="A112" i="1"/>
  <c r="A111" i="1"/>
  <c r="A94" i="1"/>
  <c r="A105" i="1"/>
  <c r="A78" i="1"/>
  <c r="A110" i="1"/>
  <c r="A97" i="1"/>
  <c r="A109" i="1"/>
  <c r="A107" i="1"/>
  <c r="A101" i="1"/>
  <c r="A92" i="1"/>
  <c r="A98" i="1"/>
  <c r="A100" i="1"/>
  <c r="A96" i="1"/>
  <c r="A119" i="1"/>
  <c r="A99" i="1"/>
  <c r="A72" i="1"/>
  <c r="A120" i="1"/>
  <c r="A102" i="1"/>
  <c r="A122" i="1"/>
  <c r="A103" i="1"/>
  <c r="A104" i="1"/>
  <c r="A93" i="1"/>
  <c r="A118" i="1"/>
  <c r="A106" i="1"/>
  <c r="A91" i="1"/>
  <c r="A133" i="1"/>
  <c r="A121" i="1"/>
  <c r="A71" i="1"/>
  <c r="A117" i="1"/>
  <c r="A127" i="1"/>
  <c r="A124" i="1"/>
  <c r="A116" i="1"/>
  <c r="A132" i="1"/>
  <c r="A130" i="1"/>
  <c r="A135" i="1"/>
  <c r="A115" i="1"/>
  <c r="A128" i="1"/>
  <c r="A139" i="1"/>
  <c r="A125" i="1"/>
  <c r="A126" i="1"/>
  <c r="A143" i="1"/>
  <c r="A123" i="1"/>
  <c r="A136" i="1"/>
  <c r="A141" i="1"/>
  <c r="A114" i="1"/>
  <c r="A142" i="1"/>
  <c r="A129" i="1"/>
  <c r="A144" i="1"/>
  <c r="A113" i="1"/>
  <c r="A138" i="1"/>
  <c r="A154" i="1"/>
  <c r="A134" i="1"/>
  <c r="A137" i="1"/>
  <c r="A146" i="1"/>
  <c r="A157" i="1"/>
  <c r="A147" i="1"/>
  <c r="A148" i="1"/>
  <c r="A153" i="1"/>
  <c r="A152" i="1"/>
  <c r="A151" i="1"/>
  <c r="A140" i="1"/>
  <c r="A155" i="1"/>
  <c r="A158" i="1"/>
  <c r="A156" i="1"/>
  <c r="A174" i="1"/>
  <c r="A149" i="1"/>
  <c r="A175" i="1"/>
  <c r="A170" i="1"/>
  <c r="A161" i="1"/>
  <c r="A145" i="1"/>
  <c r="A164" i="1"/>
  <c r="A160" i="1"/>
  <c r="A169" i="1"/>
  <c r="A182" i="1"/>
  <c r="A150" i="1"/>
  <c r="A173" i="1"/>
  <c r="A171" i="1"/>
  <c r="A159" i="1"/>
  <c r="A176" i="1"/>
  <c r="A162" i="1"/>
  <c r="A172" i="1"/>
  <c r="A131" i="1"/>
  <c r="A166" i="1"/>
  <c r="A189" i="1"/>
  <c r="A181" i="1"/>
  <c r="A168" i="1"/>
  <c r="A163" i="1"/>
  <c r="A177" i="1"/>
  <c r="A167" i="1"/>
  <c r="A183" i="1"/>
  <c r="A198" i="1"/>
  <c r="A188" i="1"/>
  <c r="A190" i="1"/>
  <c r="A178" i="1"/>
  <c r="A197" i="1"/>
  <c r="A187" i="1"/>
  <c r="A179" i="1"/>
  <c r="A165" i="1"/>
  <c r="A185" i="1"/>
  <c r="A180" i="1"/>
  <c r="A199" i="1"/>
  <c r="A193" i="1"/>
  <c r="A208" i="1"/>
  <c r="A192" i="1"/>
  <c r="A207" i="1"/>
  <c r="A191" i="1"/>
  <c r="A184" i="1"/>
  <c r="A194" i="1"/>
  <c r="A212" i="1"/>
  <c r="A201" i="1"/>
  <c r="A221" i="1"/>
  <c r="A202" i="1"/>
  <c r="A195" i="1"/>
  <c r="A213" i="1"/>
  <c r="A216" i="1"/>
  <c r="A211" i="1"/>
  <c r="A186" i="1"/>
  <c r="A200" i="1"/>
  <c r="A196" i="1"/>
  <c r="A215" i="1"/>
  <c r="A218" i="1"/>
  <c r="A220" i="1"/>
  <c r="A210" i="1"/>
  <c r="A205" i="1"/>
  <c r="A206" i="1"/>
  <c r="A225" i="1"/>
  <c r="A219" i="1"/>
  <c r="A240" i="1"/>
  <c r="A222" i="1"/>
  <c r="A224" i="1"/>
  <c r="A229" i="1"/>
  <c r="A232" i="1"/>
  <c r="A230" i="1"/>
  <c r="A233" i="1"/>
  <c r="A217" i="1"/>
  <c r="A235" i="1"/>
  <c r="A204" i="1"/>
  <c r="A255" i="1"/>
  <c r="A238" i="1"/>
  <c r="A236" i="1"/>
  <c r="A231" i="1"/>
  <c r="A214" i="1"/>
  <c r="A209" i="1"/>
  <c r="A228" i="1"/>
  <c r="A223" i="1"/>
  <c r="A237" i="1"/>
  <c r="A239" i="1"/>
  <c r="A203" i="1"/>
  <c r="A666" i="1"/>
  <c r="A251" i="1"/>
  <c r="A249" i="1"/>
  <c r="A250" i="1"/>
  <c r="A241" i="1"/>
  <c r="A262" i="1"/>
  <c r="A245" i="1"/>
  <c r="A227" i="1"/>
  <c r="A226" i="1"/>
  <c r="A234" i="1"/>
  <c r="A667" i="1"/>
  <c r="A248" i="1"/>
  <c r="A261" i="1"/>
  <c r="A253" i="1"/>
  <c r="A254" i="1"/>
  <c r="A242" i="1"/>
  <c r="A282" i="1"/>
  <c r="A243" i="1"/>
  <c r="A659" i="1"/>
  <c r="A665" i="1"/>
  <c r="A259" i="1"/>
  <c r="A260" i="1"/>
  <c r="A654" i="1"/>
  <c r="A244" i="1"/>
  <c r="A664" i="1"/>
  <c r="A656" i="1"/>
  <c r="A256" i="1"/>
  <c r="A657" i="1"/>
  <c r="A257" i="1"/>
  <c r="A258" i="1"/>
  <c r="A246" i="1"/>
  <c r="A650" i="1"/>
  <c r="A644" i="1"/>
  <c r="A661" i="1"/>
  <c r="A647" i="1"/>
  <c r="A651" i="1"/>
  <c r="A655" i="1"/>
  <c r="A662" i="1"/>
  <c r="A663" i="1"/>
  <c r="A652" i="1"/>
  <c r="A653" i="1"/>
  <c r="A617" i="1"/>
  <c r="A636" i="1"/>
  <c r="A648" i="1"/>
  <c r="A637" i="1"/>
  <c r="A649" i="1"/>
  <c r="A645" i="1"/>
  <c r="A646" i="1"/>
  <c r="A638" i="1"/>
  <c r="A625" i="1"/>
  <c r="A639" i="1"/>
  <c r="A640" i="1"/>
  <c r="A635" i="1"/>
  <c r="A641" i="1"/>
  <c r="A633" i="1"/>
  <c r="A642" i="1"/>
  <c r="A634" i="1"/>
  <c r="A643" i="1"/>
  <c r="A630" i="1"/>
  <c r="A624" i="1"/>
  <c r="A627" i="1"/>
  <c r="A632" i="1"/>
  <c r="A628" i="1"/>
  <c r="A631" i="1"/>
  <c r="A616" i="1"/>
  <c r="A629" i="1"/>
  <c r="A620" i="1"/>
  <c r="A581" i="1"/>
  <c r="A621" i="1"/>
  <c r="A626" i="1"/>
  <c r="A623" i="1"/>
  <c r="A622" i="1"/>
  <c r="A613" i="1"/>
  <c r="A615" i="1"/>
  <c r="A618" i="1"/>
  <c r="A619" i="1"/>
  <c r="A614" i="1"/>
  <c r="A611" i="1"/>
  <c r="A608" i="1"/>
  <c r="A612" i="1"/>
  <c r="A609" i="1"/>
  <c r="A610" i="1"/>
  <c r="A605" i="1"/>
  <c r="A603" i="1"/>
  <c r="A591" i="1"/>
  <c r="A606" i="1"/>
  <c r="A600" i="1"/>
  <c r="A596" i="1"/>
  <c r="A604" i="1"/>
  <c r="A592" i="1"/>
  <c r="A601" i="1"/>
  <c r="A607" i="1"/>
  <c r="A598" i="1"/>
  <c r="A589" i="1"/>
  <c r="A602" i="1"/>
  <c r="A599" i="1"/>
  <c r="A590" i="1"/>
  <c r="A593" i="1"/>
  <c r="A586" i="1"/>
  <c r="A579" i="1"/>
  <c r="A594" i="1"/>
  <c r="A597" i="1"/>
  <c r="A582" i="1"/>
  <c r="A572" i="1"/>
  <c r="A595" i="1"/>
  <c r="A577" i="1"/>
  <c r="A587" i="1"/>
  <c r="A570" i="1"/>
  <c r="A573" i="1"/>
  <c r="A588" i="1"/>
  <c r="A557" i="1"/>
  <c r="A575" i="1"/>
  <c r="A580" i="1"/>
  <c r="A569" i="1"/>
  <c r="A585" i="1"/>
  <c r="A550" i="1"/>
  <c r="A578" i="1"/>
  <c r="A558" i="1"/>
  <c r="A559" i="1"/>
  <c r="A565" i="1"/>
  <c r="A515" i="1"/>
  <c r="A583" i="1"/>
  <c r="A574" i="1"/>
  <c r="A560" i="1"/>
  <c r="A566" i="1"/>
  <c r="A555" i="1"/>
  <c r="A547" i="1"/>
  <c r="A584" i="1"/>
  <c r="A567" i="1"/>
  <c r="A576" i="1"/>
  <c r="A568" i="1"/>
  <c r="A571" i="1"/>
  <c r="A563" i="1"/>
  <c r="A554" i="1"/>
  <c r="A556" i="1"/>
  <c r="A538" i="1"/>
  <c r="A548" i="1"/>
  <c r="A561" i="1"/>
  <c r="A564" i="1"/>
  <c r="A562" i="1"/>
  <c r="A546" i="1"/>
  <c r="A549" i="1"/>
  <c r="A544" i="1"/>
  <c r="A541" i="1"/>
  <c r="A551" i="1"/>
  <c r="A552" i="1"/>
  <c r="A553" i="1"/>
  <c r="A528" i="1"/>
  <c r="A545" i="1"/>
  <c r="A542" i="1"/>
  <c r="A529" i="1"/>
  <c r="A537" i="1"/>
  <c r="A543" i="1"/>
  <c r="A530" i="1"/>
  <c r="A523" i="1"/>
  <c r="A531" i="1"/>
  <c r="A540" i="1"/>
  <c r="A539" i="1"/>
  <c r="A532" i="1"/>
  <c r="A525" i="1"/>
  <c r="A533" i="1"/>
  <c r="A534" i="1"/>
  <c r="A536" i="1"/>
  <c r="A535" i="1"/>
  <c r="A526" i="1"/>
  <c r="A524" i="1"/>
  <c r="A527" i="1"/>
  <c r="A502" i="1"/>
  <c r="A518" i="1"/>
  <c r="A519" i="1"/>
  <c r="A520" i="1"/>
  <c r="A517" i="1"/>
  <c r="A521" i="1"/>
  <c r="A503" i="1"/>
  <c r="A508" i="1"/>
  <c r="A509" i="1"/>
  <c r="A522" i="1"/>
  <c r="A500" i="1"/>
  <c r="A511" i="1"/>
  <c r="A504" i="1"/>
  <c r="A512" i="1"/>
  <c r="A513" i="1"/>
  <c r="A516" i="1"/>
  <c r="A505" i="1"/>
  <c r="A510" i="1"/>
  <c r="A514" i="1"/>
  <c r="A501" i="1"/>
  <c r="A506" i="1"/>
  <c r="A494" i="1"/>
  <c r="A493" i="1"/>
  <c r="A507" i="1"/>
  <c r="A495" i="1"/>
  <c r="A479" i="1"/>
  <c r="A496" i="1"/>
  <c r="A499" i="1"/>
  <c r="A498" i="1"/>
  <c r="A490" i="1"/>
  <c r="A487" i="1"/>
  <c r="A497" i="1"/>
  <c r="A488" i="1"/>
  <c r="A491" i="1"/>
  <c r="A492" i="1"/>
  <c r="A489" i="1"/>
  <c r="A481" i="1"/>
  <c r="A471" i="1"/>
  <c r="A472" i="1"/>
  <c r="A470" i="1"/>
  <c r="A468" i="1"/>
  <c r="A473" i="1"/>
  <c r="A482" i="1"/>
  <c r="A484" i="1"/>
  <c r="A485" i="1"/>
  <c r="A458" i="1"/>
  <c r="A486" i="1"/>
  <c r="A478" i="1"/>
  <c r="A445" i="1"/>
  <c r="A464" i="1"/>
  <c r="A467" i="1"/>
  <c r="A483" i="1"/>
  <c r="A477" i="1"/>
  <c r="A462" i="1"/>
  <c r="A474" i="1"/>
  <c r="A480" i="1"/>
  <c r="A469" i="1"/>
  <c r="A465" i="1"/>
  <c r="A435" i="1"/>
  <c r="A475" i="1"/>
  <c r="A476" i="1"/>
  <c r="A463" i="1"/>
  <c r="A461" i="1"/>
  <c r="A459" i="1"/>
  <c r="A444" i="1"/>
  <c r="A460" i="1"/>
  <c r="A457" i="1"/>
  <c r="A452" i="1"/>
  <c r="A448" i="1"/>
  <c r="A466" i="1"/>
  <c r="A453" i="1"/>
  <c r="A447" i="1"/>
  <c r="A449" i="1"/>
  <c r="A454" i="1"/>
  <c r="A446" i="1"/>
  <c r="A455" i="1"/>
  <c r="A456" i="1"/>
  <c r="A451" i="1"/>
  <c r="A450" i="1"/>
  <c r="A441" i="1"/>
  <c r="A430" i="1"/>
  <c r="A392" i="1"/>
  <c r="A437" i="1"/>
  <c r="A439" i="1"/>
  <c r="A431" i="1"/>
  <c r="A426" i="1"/>
  <c r="A399" i="1"/>
  <c r="A405" i="1"/>
  <c r="A406" i="1"/>
  <c r="A419" i="1"/>
  <c r="A407" i="1"/>
  <c r="A408" i="1"/>
  <c r="A409" i="1"/>
  <c r="A438" i="1"/>
  <c r="A421" i="1"/>
  <c r="A424" i="1"/>
  <c r="A432" i="1"/>
  <c r="A433" i="1"/>
  <c r="A434" i="1"/>
  <c r="A442" i="1"/>
  <c r="A443" i="1"/>
  <c r="A440" i="1"/>
  <c r="A425" i="1"/>
  <c r="A422" i="1"/>
  <c r="A410" i="1"/>
  <c r="A427" i="1"/>
  <c r="A423" i="1"/>
  <c r="A404" i="1"/>
  <c r="A389" i="1"/>
  <c r="A436" i="1"/>
  <c r="A411" i="1"/>
  <c r="A412" i="1"/>
  <c r="A413" i="1"/>
  <c r="A428" i="1"/>
  <c r="A414" i="1"/>
  <c r="A415" i="1"/>
  <c r="A429" i="1"/>
  <c r="A403" i="1"/>
  <c r="A420" i="1"/>
  <c r="A416" i="1"/>
  <c r="A417" i="1"/>
  <c r="A418" i="1"/>
  <c r="A400" i="1"/>
  <c r="A401" i="1"/>
  <c r="A391" i="1"/>
  <c r="A383" i="1"/>
  <c r="A384" i="1"/>
  <c r="A394" i="1"/>
  <c r="A385" i="1"/>
  <c r="A396" i="1"/>
  <c r="A402" i="1"/>
  <c r="A381" i="1"/>
  <c r="A390" i="1"/>
  <c r="A397" i="1"/>
  <c r="A398" i="1"/>
  <c r="A393" i="1"/>
  <c r="A386" i="1"/>
  <c r="A395" i="1"/>
  <c r="A387" i="1"/>
  <c r="A388" i="1"/>
  <c r="A378" i="1"/>
  <c r="A1000" i="1"/>
  <c r="A1001" i="1"/>
  <c r="A382" i="1"/>
  <c r="A379" i="1"/>
  <c r="A376" i="1"/>
  <c r="A370" i="1"/>
  <c r="A380" i="1"/>
  <c r="A374" i="1"/>
  <c r="A377" i="1"/>
  <c r="A348" i="1"/>
  <c r="A359" i="1"/>
  <c r="A371" i="1"/>
  <c r="A375" i="1"/>
  <c r="A372" i="1"/>
  <c r="A368" i="1"/>
  <c r="A361" i="1"/>
  <c r="A364" i="1"/>
  <c r="A369" i="1"/>
  <c r="A365" i="1"/>
  <c r="A373" i="1"/>
  <c r="A362" i="1"/>
  <c r="A363" i="1"/>
  <c r="A343" i="1"/>
  <c r="A357" i="1"/>
  <c r="A353" i="1"/>
  <c r="A354" i="1"/>
  <c r="A358" i="1"/>
  <c r="A366" i="1"/>
  <c r="A360" i="1"/>
  <c r="A367" i="1"/>
  <c r="A355" i="1"/>
  <c r="A349" i="1"/>
  <c r="A350" i="1"/>
  <c r="A351" i="1"/>
  <c r="A356" i="1"/>
  <c r="A337" i="1"/>
  <c r="A345" i="1"/>
  <c r="A335" i="1"/>
  <c r="A346" i="1"/>
  <c r="A344" i="1"/>
  <c r="A352" i="1"/>
  <c r="A336" i="1"/>
  <c r="A338" i="1"/>
  <c r="A347" i="1"/>
  <c r="A316" i="1"/>
  <c r="A317" i="1"/>
  <c r="A339" i="1"/>
  <c r="A318" i="1"/>
  <c r="A319" i="1"/>
  <c r="A320" i="1"/>
  <c r="A342" i="1"/>
  <c r="A340" i="1"/>
  <c r="A328" i="1"/>
  <c r="A332" i="1"/>
  <c r="A341" i="1"/>
  <c r="A321" i="1"/>
  <c r="A322" i="1"/>
  <c r="A323" i="1"/>
  <c r="A324" i="1"/>
  <c r="A325" i="1"/>
  <c r="A307" i="1"/>
  <c r="A311" i="1"/>
  <c r="A308" i="1"/>
  <c r="A333" i="1"/>
  <c r="A329" i="1"/>
  <c r="A330" i="1"/>
  <c r="A334" i="1"/>
  <c r="A331" i="1"/>
  <c r="A312" i="1"/>
  <c r="A310" i="1"/>
  <c r="A272" i="1"/>
  <c r="A326" i="1"/>
  <c r="A278" i="1"/>
  <c r="A315" i="1"/>
  <c r="A327" i="1"/>
  <c r="A313" i="1"/>
  <c r="A314" i="1"/>
  <c r="A298" i="1"/>
  <c r="A309" i="1"/>
  <c r="A299" i="1"/>
  <c r="A300" i="1"/>
  <c r="A301" i="1"/>
  <c r="A302" i="1"/>
  <c r="A303" i="1"/>
  <c r="A304" i="1"/>
  <c r="A305" i="1"/>
  <c r="A306" i="1"/>
  <c r="A292" i="1"/>
  <c r="A293" i="1"/>
  <c r="A294" i="1"/>
  <c r="A295" i="1"/>
  <c r="A296" i="1"/>
  <c r="A287" i="1"/>
  <c r="A289" i="1"/>
  <c r="A247" i="1"/>
  <c r="A269" i="1"/>
  <c r="A268" i="1"/>
  <c r="A280" i="1"/>
  <c r="A290" i="1"/>
  <c r="A291" i="1"/>
  <c r="A281" i="1"/>
  <c r="A297" i="1"/>
  <c r="A264" i="1"/>
  <c r="A252" i="1"/>
  <c r="A284" i="1"/>
  <c r="A288" i="1"/>
  <c r="A267" i="1"/>
  <c r="A277" i="1"/>
  <c r="A266" i="1"/>
  <c r="A273" i="1"/>
  <c r="A285" i="1"/>
  <c r="A286" i="1"/>
  <c r="A274" i="1"/>
  <c r="A279" i="1"/>
  <c r="A265" i="1"/>
  <c r="A263" i="1"/>
  <c r="A270" i="1"/>
  <c r="A275" i="1"/>
  <c r="A276" i="1"/>
  <c r="A283" i="1"/>
  <c r="D14" i="2"/>
  <c r="C14" i="2"/>
  <c r="F9" i="2"/>
  <c r="E9" i="2"/>
  <c r="D9" i="2"/>
  <c r="C9" i="2"/>
  <c r="C16" i="2" s="1"/>
  <c r="E8" i="2"/>
  <c r="D13" i="2"/>
  <c r="C13" i="2"/>
  <c r="F8" i="2"/>
  <c r="D8" i="2"/>
  <c r="C8" i="2"/>
  <c r="D5" i="2"/>
  <c r="C10" i="2" l="1"/>
  <c r="D16" i="2"/>
  <c r="F10" i="2"/>
  <c r="E10" i="2"/>
  <c r="D10" i="2"/>
  <c r="C15" i="2"/>
  <c r="D15" i="2"/>
</calcChain>
</file>

<file path=xl/sharedStrings.xml><?xml version="1.0" encoding="utf-8"?>
<sst xmlns="http://schemas.openxmlformats.org/spreadsheetml/2006/main" count="5644" uniqueCount="1896">
  <si>
    <t>Sr. No.</t>
  </si>
  <si>
    <t>Tender Status</t>
  </si>
  <si>
    <t>Received Date</t>
  </si>
  <si>
    <t>Due Date</t>
  </si>
  <si>
    <t>Name of Client</t>
  </si>
  <si>
    <t>Location</t>
  </si>
  <si>
    <t>Tender No.</t>
  </si>
  <si>
    <t>Description</t>
  </si>
  <si>
    <t>Project Manager</t>
  </si>
  <si>
    <t>EMD</t>
  </si>
  <si>
    <t>EMD Status</t>
  </si>
  <si>
    <t>Tender Fee Status</t>
  </si>
  <si>
    <t xml:space="preserve">Price Status </t>
  </si>
  <si>
    <t>Source</t>
  </si>
  <si>
    <t>Comments</t>
  </si>
  <si>
    <t xml:space="preserve">Docs Prepared by </t>
  </si>
  <si>
    <t>Quoted</t>
  </si>
  <si>
    <t>Regret</t>
  </si>
  <si>
    <t>On Hold</t>
  </si>
  <si>
    <t>Won</t>
  </si>
  <si>
    <t>Lost</t>
  </si>
  <si>
    <t>Status</t>
  </si>
  <si>
    <t>Start Date</t>
  </si>
  <si>
    <t>End Date</t>
  </si>
  <si>
    <t>Designed &amp; Developed by Effex Business Solutions Pvt Ltd</t>
  </si>
  <si>
    <t># Tenders Received</t>
  </si>
  <si>
    <t># Tenders</t>
  </si>
  <si>
    <t>Tender Quoted</t>
  </si>
  <si>
    <t>Tender Regret</t>
  </si>
  <si>
    <t>Tender Won</t>
  </si>
  <si>
    <t>Tender On Hold</t>
  </si>
  <si>
    <t>Tender Lost</t>
  </si>
  <si>
    <t>Tender Received</t>
  </si>
  <si>
    <t>Tender Cancelled</t>
  </si>
  <si>
    <t>Cancelled</t>
  </si>
  <si>
    <t>Tender Open Price</t>
  </si>
  <si>
    <t>Quoted Value</t>
  </si>
  <si>
    <t>Quoted value</t>
  </si>
  <si>
    <t>% of Tenders</t>
  </si>
  <si>
    <t>Value</t>
  </si>
  <si>
    <t>% of Tenders (in Nos)</t>
  </si>
  <si>
    <t>% of Tenders (in Value)</t>
  </si>
  <si>
    <t>In Process</t>
  </si>
  <si>
    <t>Mumbai</t>
  </si>
  <si>
    <t>Bangalore</t>
  </si>
  <si>
    <t>Pune</t>
  </si>
  <si>
    <t>Orissa</t>
  </si>
  <si>
    <t>Mangalore</t>
  </si>
  <si>
    <t>Indore</t>
  </si>
  <si>
    <t>GAIL</t>
  </si>
  <si>
    <t>Gandhar</t>
  </si>
  <si>
    <t>Delhi</t>
  </si>
  <si>
    <t>HPCL</t>
  </si>
  <si>
    <t>Vizag</t>
  </si>
  <si>
    <t>Rajasthan</t>
  </si>
  <si>
    <t>Vadodara</t>
  </si>
  <si>
    <t>Gujarat</t>
  </si>
  <si>
    <t>Maharashtra</t>
  </si>
  <si>
    <t>Brahmaputra Crackers &amp; Polymers Ltd</t>
  </si>
  <si>
    <t>Lepetkata</t>
  </si>
  <si>
    <t>Haldia</t>
  </si>
  <si>
    <t>Chennai Petroleum Corporation Limited</t>
  </si>
  <si>
    <t>Tamilnadu</t>
  </si>
  <si>
    <t>IOCL</t>
  </si>
  <si>
    <t>Paradip</t>
  </si>
  <si>
    <t>Panipat</t>
  </si>
  <si>
    <t>Kolkata</t>
  </si>
  <si>
    <t>Dahej</t>
  </si>
  <si>
    <t>New Delhi</t>
  </si>
  <si>
    <t>Bhagyanagar Gas Limited</t>
  </si>
  <si>
    <t>Hyderabad</t>
  </si>
  <si>
    <t>Airports Authority of India</t>
  </si>
  <si>
    <t>Petrofac</t>
  </si>
  <si>
    <t>Mangalore Refinery and Petrochemicals Ltd</t>
  </si>
  <si>
    <t>MECON</t>
  </si>
  <si>
    <t>Ranchi</t>
  </si>
  <si>
    <t>Delhi Metro Rail Corporation</t>
  </si>
  <si>
    <t>Chennai</t>
  </si>
  <si>
    <t>PATA</t>
  </si>
  <si>
    <t>Tushar</t>
  </si>
  <si>
    <t>Company Website</t>
  </si>
  <si>
    <t>Mahesh</t>
  </si>
  <si>
    <t>Manvendra</t>
  </si>
  <si>
    <t>N.A</t>
  </si>
  <si>
    <t>Reyaz</t>
  </si>
  <si>
    <t>Manoj</t>
  </si>
  <si>
    <t>Rs. 2,00,000/-</t>
  </si>
  <si>
    <t>Vijaipur</t>
  </si>
  <si>
    <t>BPCL</t>
  </si>
  <si>
    <t>Barauni</t>
  </si>
  <si>
    <t>Tarapur</t>
  </si>
  <si>
    <t>Kandla</t>
  </si>
  <si>
    <t>Goa</t>
  </si>
  <si>
    <t>Bongaigaon</t>
  </si>
  <si>
    <t>Hazira</t>
  </si>
  <si>
    <t>Kochi</t>
  </si>
  <si>
    <t>Maharashtra Natural Gas Ltd</t>
  </si>
  <si>
    <t>Gandhinagar</t>
  </si>
  <si>
    <t>Nagpur</t>
  </si>
  <si>
    <t>Bharat Electronics Limited</t>
  </si>
  <si>
    <t>Agra</t>
  </si>
  <si>
    <t>Manali</t>
  </si>
  <si>
    <t>Karaikal</t>
  </si>
  <si>
    <t>Dibiyapur</t>
  </si>
  <si>
    <t>Bengaluru</t>
  </si>
  <si>
    <t>Tata Memorial Centre</t>
  </si>
  <si>
    <t>Indraprastha Gas Limited</t>
  </si>
  <si>
    <t>Digboi</t>
  </si>
  <si>
    <t>Gujarat State Fertilizers &amp; Chemicals Limited</t>
  </si>
  <si>
    <t>Numaligarh Refinery Limited</t>
  </si>
  <si>
    <t>Guwahati</t>
  </si>
  <si>
    <t>Bharuch</t>
  </si>
  <si>
    <t>WAPCOS</t>
  </si>
  <si>
    <t>Kakinada</t>
  </si>
  <si>
    <t>Ratnagiri</t>
  </si>
  <si>
    <t>ONGC</t>
  </si>
  <si>
    <t>Bina</t>
  </si>
  <si>
    <t>Punjab</t>
  </si>
  <si>
    <t>Engineers India Ltd</t>
  </si>
  <si>
    <t>Vaghodia</t>
  </si>
  <si>
    <t>Uttar Pradesh</t>
  </si>
  <si>
    <t>Avantika Gas Limited</t>
  </si>
  <si>
    <t>Dibrugarh</t>
  </si>
  <si>
    <t>Hiring of Manpower Services</t>
  </si>
  <si>
    <t>GAIL GAS LTD</t>
  </si>
  <si>
    <t>Ankleshwar</t>
  </si>
  <si>
    <t>Ahmedabad</t>
  </si>
  <si>
    <t>Gujarat Mineral Development Corporation</t>
  </si>
  <si>
    <t>Assam</t>
  </si>
  <si>
    <t>Malanpur</t>
  </si>
  <si>
    <t>Lucknow</t>
  </si>
  <si>
    <t>Jodhpur</t>
  </si>
  <si>
    <t>Padur</t>
  </si>
  <si>
    <t>Vijaywada</t>
  </si>
  <si>
    <t>Pata</t>
  </si>
  <si>
    <t>Gorakhpur</t>
  </si>
  <si>
    <t>Jhabua</t>
  </si>
  <si>
    <t>ONGC Petro Additions Ltd</t>
  </si>
  <si>
    <t>Gail</t>
  </si>
  <si>
    <t>Varanasi</t>
  </si>
  <si>
    <t>HPCL Mittal Energy Limited</t>
  </si>
  <si>
    <t>Bhatinda</t>
  </si>
  <si>
    <t>Mundra</t>
  </si>
  <si>
    <t>Bihar</t>
  </si>
  <si>
    <t>Mihan India Ltd</t>
  </si>
  <si>
    <t>Jaipur</t>
  </si>
  <si>
    <t>Cochin</t>
  </si>
  <si>
    <t>Subhash</t>
  </si>
  <si>
    <t>Bengal Gas Company Limited</t>
  </si>
  <si>
    <t>Patna</t>
  </si>
  <si>
    <t>Numaligarh</t>
  </si>
  <si>
    <t>Green Gas Ltd</t>
  </si>
  <si>
    <t>GEM/2024/B/4476011</t>
  </si>
  <si>
    <t>Providing Management, Operation and Maintenance Services for Bina Dispatch Terminal (BDT) at Bina Refinery of Bharat Petroleum Corporation Limited, Bina, District Sagar, Madhya Pradesh (India)</t>
  </si>
  <si>
    <t>Pre Bid Meeting is on 22.01.2024</t>
  </si>
  <si>
    <t>GEM/2024/B/4440402</t>
  </si>
  <si>
    <t>for Operation &amp; Maintenance of ISPRL, Visakhapatnam</t>
  </si>
  <si>
    <t>Pre Bid Meeting on 06.02.2024</t>
  </si>
  <si>
    <t>GEM/2024/B/4676134</t>
  </si>
  <si>
    <t>for Skill Validation &amp; Certification of Contract Manpower through a Third Party Agency During Shutdown at IOCL Haldia Refinery</t>
  </si>
  <si>
    <t>Uran</t>
  </si>
  <si>
    <t>GEM/2024/B/4683187</t>
  </si>
  <si>
    <t>for Retd Tehsildar Assistance Services for CA-UCSPL of Uran Chakan Shikrapur LPG Pipeline Uran Spread</t>
  </si>
  <si>
    <t>Bharat Heavy Electricals Ltd
(BHEL)</t>
  </si>
  <si>
    <t>GEM/2024/B/4662707</t>
  </si>
  <si>
    <t>for Providing Field Quality Assurance Engineer Services (FQAES) at Various Sites Of BHEL ISG Across India</t>
  </si>
  <si>
    <t>GEM/2024/B/4625275</t>
  </si>
  <si>
    <t>for Hiring of Manpower Services Along with Two (02) Quick Response Vehicle Under Patna GA for a Period of 3 Years</t>
  </si>
  <si>
    <t>Pre Bid Meeting is on 20.02.2024</t>
  </si>
  <si>
    <t>GSPC Pipavav Power Company Ltd</t>
  </si>
  <si>
    <t>Pipava</t>
  </si>
  <si>
    <t>GPPC/Com./CCPP/CT-Chemicals/2023-2024/11</t>
  </si>
  <si>
    <t>For Supply of Cooling Tower Water Treatment Chemicals At GPPC’s 702 MW Combined Cycle Power Plant at village Kovaya, near Pipavav, Tal. Rajula, Dist. Amreli Gujarat, India</t>
  </si>
  <si>
    <t>Council for Scientific and Industrial Research</t>
  </si>
  <si>
    <t>MC/10/17(19)/2023-24/ADMIN</t>
  </si>
  <si>
    <t>for Providing Highly Skilled, Skilled and Unskilled Manpower at CSIR Madras Complex and its Participating Units</t>
  </si>
  <si>
    <t>Dumad</t>
  </si>
  <si>
    <t>GEM/2024/B/4652920</t>
  </si>
  <si>
    <t>for Miscellaneous Operations Assistance for Production Depts. at Dumad complex</t>
  </si>
  <si>
    <t>Maharashtra Metro Rail Corporation Ltd</t>
  </si>
  <si>
    <t xml:space="preserve"> N1-HR - 06/2024</t>
  </si>
  <si>
    <t>for Engagement of Outsourced Agency for Deployment of Supervisors and Executives in Maha-Metro</t>
  </si>
  <si>
    <t>Pre Bid Meeting is on 23.02.2024</t>
  </si>
  <si>
    <t>GEM/2024/B/4603131</t>
  </si>
  <si>
    <t>for Hiring of Graduate Engineers at TDU Plant In BPCL Mumbai Refinery.</t>
  </si>
  <si>
    <t>GEM/2024/B/4644153</t>
  </si>
  <si>
    <t>Service Contract for Loading &amp; Dispatch of LHC Including LNG and Cascade Filling &amp; Dispatch of Hydrogen (Part-A) and Service Contract for Operational Assistance in LHC Storage Area (Part-B) at Gail Vijaipur for (02) Two Years.</t>
  </si>
  <si>
    <t>Pre Bid Meeting is on 26.02.2024</t>
  </si>
  <si>
    <t>2421C00006</t>
  </si>
  <si>
    <t>for Hiring of Agency for supply of Manpower for Managing Non-core Activities (Back  office jobs) of OPaL</t>
  </si>
  <si>
    <t>GEM/2024/B/4590540</t>
  </si>
  <si>
    <t>for Hiring of O&amp;M, HR &amp; Peripheral Support Services at O&amp;M Base Kandla</t>
  </si>
  <si>
    <t>Pre Bid Meeting is on 28.02.2024</t>
  </si>
  <si>
    <t>GEM/2024/B/4672648</t>
  </si>
  <si>
    <t>for Office Assistance and Miscellaneous Jobs at Contract Cell of Gujarat Refinery</t>
  </si>
  <si>
    <t>Bharat Dynamics Limited</t>
  </si>
  <si>
    <t>Bhanur</t>
  </si>
  <si>
    <t>GEM/2024/B/4481593</t>
  </si>
  <si>
    <t>for Comprehensive Operation &amp; Maintenance of 5MW solar plant at BDL Bhanur</t>
  </si>
  <si>
    <t>Chaksu</t>
  </si>
  <si>
    <t>GEM/2024/B/4676244</t>
  </si>
  <si>
    <t>Providing Assistance in Day to Day Maintenance Activities of Mechanical Equipments at WRPL Chaksu</t>
  </si>
  <si>
    <t>Sanganer</t>
  </si>
  <si>
    <t>GEM/2024/B/4673070</t>
  </si>
  <si>
    <t>for Providing assistance in day to day maintenance activities of mechanical equipments at WRPL Sanganer</t>
  </si>
  <si>
    <t>JNPT</t>
  </si>
  <si>
    <t>GEM/2024/B/4665415</t>
  </si>
  <si>
    <t>Operation &amp; Maintenance Contract for JNPT Terminal, &amp; handling of AVGAS barrels at JNPT for a period of 5 Years at same rates terms and conditions.</t>
  </si>
  <si>
    <t>Qatar Energy</t>
  </si>
  <si>
    <t>Qatar</t>
  </si>
  <si>
    <t>RFQ_GP24101700</t>
  </si>
  <si>
    <t>for Requirements for Third Party Certification and Inspection Agencies</t>
  </si>
  <si>
    <t>Technip Energies India Ltd</t>
  </si>
  <si>
    <t>COC/OPEX/HRS/24-25</t>
  </si>
  <si>
    <t>for Supply/Service of agency staff hiring</t>
  </si>
  <si>
    <t>MIL/57-J/2024/441</t>
  </si>
  <si>
    <t>Supply of Professional Manpower</t>
  </si>
  <si>
    <t>MNGL/CP/2023-24/173</t>
  </si>
  <si>
    <t>Rate Contract for the period of Two years for appointment of agency for providing contract staffing services for CNG and City Gas Distribution Project of MNGL Pune, Nashik, Sindhudurg, Nanded and Nizamabad GA</t>
  </si>
  <si>
    <t>MNGL/CP/2023-24/174</t>
  </si>
  <si>
    <t>Rate Contract for the period of two years for appointment of agency for providing Manpower Management and Staffing Services to CRM for Pune, Nashik, Sindhudurg and Ramanagara Geographical Area (GA)</t>
  </si>
  <si>
    <t>HPOIL Gas Pvt Ltd</t>
  </si>
  <si>
    <t>HOGPL/2023-24/C&amp;P/013</t>
  </si>
  <si>
    <t>for Providing Experienced Non-Technical Manpower at Different Location of HPOIL Gas Pvt Ltd</t>
  </si>
  <si>
    <t>The West Bengal Power Development Corporation Ltd</t>
  </si>
  <si>
    <t>Kolaghat</t>
  </si>
  <si>
    <t>WBPDCL/KTPS/NIT/E2858/23-24</t>
  </si>
  <si>
    <t>Annual Rate Contract for Providing Services of Contractual Workers at Various departments including O and M department at KTPS for two years</t>
  </si>
  <si>
    <t>GEM/2024/B/4541605</t>
  </si>
  <si>
    <t>for General Monitoring, Operation, Maintenance and Upkeeping of Pipelines &amp; Installations Under Gail-Vijaipur, Kota &amp; Chittorgarh Maintenance Basis</t>
  </si>
  <si>
    <t>Pre Bid Meeting is on 06.02.2024</t>
  </si>
  <si>
    <t>GEM/2024/B/4615494</t>
  </si>
  <si>
    <t>for Annual Rate Contract for Mechanical Maintenance Works including support services for rotary equipments in NHT-CCRU, MSQ and New Prime-G unit of Barauni Refinery</t>
  </si>
  <si>
    <t>mahesh</t>
  </si>
  <si>
    <t>GEM/2024/B/ 4493620</t>
  </si>
  <si>
    <t>for ARC for Instrumentation Maintenance Assistance at Gail Jhabua</t>
  </si>
  <si>
    <t>Haryana Board Corporation</t>
  </si>
  <si>
    <t>Hisar</t>
  </si>
  <si>
    <t>11/RGTPP/Chemical/CEM-05 Vol.-IX</t>
  </si>
  <si>
    <t>for Annual Running Contract for Operation and Mtc. of DM Plant, PT Plant, ET Plant, Chlorination System (CW, PW, RW), etc. for 2x600MW, RGTPP, Hisar</t>
  </si>
  <si>
    <t>Regretted Since Aarvi is not technically qualified</t>
  </si>
  <si>
    <t>GEM/2024/B/4561998</t>
  </si>
  <si>
    <t>Rate Contract for Engagement of Third Party Inspection Agency (TPI) for the Job of Supervision, Inspection, Verification, Certification, Vetting and Measurements of Works (Awarded to Construction Agency by IOCL) Under Punjab State Office</t>
  </si>
  <si>
    <t>Pre Bid Meeting on 12.02.2024</t>
  </si>
  <si>
    <t>GEM/2024/B/4643119</t>
  </si>
  <si>
    <t>Operations and Office Assistance in BPCL Haldia Installation During Office Working Hours and Beyond Office Working Hours</t>
  </si>
  <si>
    <t>Regretted Since the requirement is for the vendor should have a registered office at Haldia</t>
  </si>
  <si>
    <t>GEM/2024/B/4589708</t>
  </si>
  <si>
    <t>for Hiring of Contract for Support &amp; Peripheral Services for Gail Gas, Agra for a Period of 2 Years</t>
  </si>
  <si>
    <t>Pre Bid Meeting is on 16.02.2024</t>
  </si>
  <si>
    <t>GEM/2024/B/4590539</t>
  </si>
  <si>
    <t>Tender for AMC Jobs at Downstream Plants (LLDPE-Ii, New Butene Unit, HDPE-I, HDPE-II &amp; Flaker Units And LLDPE-I, Butene-I &amp; all Bagging Units ) at Gail, Pata</t>
  </si>
  <si>
    <t>Regretted Since for GAIL Tenders are decided in favour of MSME</t>
  </si>
  <si>
    <t>2300010540-HB-06600</t>
  </si>
  <si>
    <t>Construction Safety Services – VRMP</t>
  </si>
  <si>
    <t>GPPC/COM/SOLAR PLANT/ O&amp;M/2023-24/12</t>
  </si>
  <si>
    <t>FOR CARRYING OUT COMPREHENSIVE O&amp;M (OPERATION AND MAINTENANCE) OF GPPC’s 5 MWp GRID CONNECTED SOLAR PV Power Plant for a Period of 13 Years at GPPC's 5 MW Grid Connected Solar PV Power Plant at Gujarat Solar Park, Village Charanka, Tal. Santalpur, Dist. Patan, Gujarat, India</t>
  </si>
  <si>
    <t>Kokan LNG Ltd.</t>
  </si>
  <si>
    <t>Dapoli</t>
  </si>
  <si>
    <t xml:space="preserve">GEM/2024/B/4604348 </t>
  </si>
  <si>
    <t>for Hiring of Operational Assistance Services for Field Operation of LNG Plant</t>
  </si>
  <si>
    <t>GEM/2024/B/4585128</t>
  </si>
  <si>
    <t>for Hiring of Manpower Services for Instrumentation and it Department for One Year at KLL</t>
  </si>
  <si>
    <t>Regretted Since the Value is less</t>
  </si>
  <si>
    <t>IHB Ltd</t>
  </si>
  <si>
    <t>Noida</t>
  </si>
  <si>
    <t>GEM/2024/B/4510932</t>
  </si>
  <si>
    <t>Engagement of agencies for providing Operation &amp; Maintenance (O&amp;M) services for Kandla-Gorakhpur LPG pipeline (KGPL) locations (Dumad-Hariyala-Sanand Section)</t>
  </si>
  <si>
    <t xml:space="preserve">GSPC LNG Limited </t>
  </si>
  <si>
    <t>GLL/Tender/2023-24/FF Service/015</t>
  </si>
  <si>
    <t>for Providing Services For Operation Of Fire Fighting System at LNG Unloading, Storage, &amp; Regasification Terminal of GSPC LNG Limited at Mundra, Gujarat</t>
  </si>
  <si>
    <t>HURL</t>
  </si>
  <si>
    <t>H/G/CNM/23-24/C-454/TE-873</t>
  </si>
  <si>
    <t>Hiring of contract for Shutdown Jobs at HURL, GKP.</t>
  </si>
  <si>
    <t>Regretted Since it is an Item Rate Contract</t>
  </si>
  <si>
    <t>Saipem</t>
  </si>
  <si>
    <t>Indonesia</t>
  </si>
  <si>
    <t>Doc1825970360</t>
  </si>
  <si>
    <t>Manpower Supply for Karimun Yard White Collar 2024-2026</t>
  </si>
  <si>
    <t>NR</t>
  </si>
  <si>
    <t>GEM/2024/B/4571772</t>
  </si>
  <si>
    <t>Selection of Service Provider for Hiring Associates : OSTSS/COCOs Coordinators on Temporary Basis For Retail SBU in NR</t>
  </si>
  <si>
    <t>Regretted Since the requirement is for COCO Cordinators &amp;Value of Tender is less than 50 Lakhs</t>
  </si>
  <si>
    <t>GEM/2024/B/4577400</t>
  </si>
  <si>
    <t xml:space="preserve">for ARC for supply of fire &amp; safety-related manpower for operation of 2G </t>
  </si>
  <si>
    <t>GEM/2024/B/4581221</t>
  </si>
  <si>
    <t>for ARC to deploy Safety assistants for fulfilling Fire &amp; Safety requirements in PRPC Complex</t>
  </si>
  <si>
    <t>Muzaffarpur</t>
  </si>
  <si>
    <t>HBCH/MPMMCC/HRD/2024/01
(2024_TMC_742439_1)</t>
  </si>
  <si>
    <t>Outsourcing of manpower services under Technical and Non-Technical Category on contract basis at HBCH, MPMMCC Varanasi and HBCHRC Muzaffapur</t>
  </si>
  <si>
    <t>Pre Bid Meeting is on 01.02.2024</t>
  </si>
  <si>
    <t>Rate Contract For Manpower Resources For Pre-Commissioning/Commissioning Activities Related To MRPL Marketing Terminal In Bangalore</t>
  </si>
  <si>
    <t>Indian Strategic Petroleum Reserves Ltd</t>
  </si>
  <si>
    <t>ISPRL/HO/MNG/O&amp;M/23-24/01</t>
  </si>
  <si>
    <t>Bidding Document for Operation &amp; Maintenance Services for Strategic Petroleum Reserves at Mangalore, Karnataka</t>
  </si>
  <si>
    <t>Pre Bid Meeting is on 19.01.2024</t>
  </si>
  <si>
    <t>ISPRL/HO/PDR/OM/23-24/01</t>
  </si>
  <si>
    <t>Operation &amp; Maintenance Services for Strategic Petroleum Reserves at Padur, Karnataka</t>
  </si>
  <si>
    <t>Maintenance, Inspection &amp; Repair of BPCL Cross Country Pipelines for 3 Years</t>
  </si>
  <si>
    <t>West India</t>
  </si>
  <si>
    <t>GEM/2024/B/4526326</t>
  </si>
  <si>
    <t>Engagement of an agency / Service provider for Forecourt Sales activities and Executive Assistants at various locations in West India</t>
  </si>
  <si>
    <t>Bangalore Metro Rail Corporation Ltd</t>
  </si>
  <si>
    <t>GEM/2023/B/4230486</t>
  </si>
  <si>
    <t>Providing Services for Customer Care &amp; Ticket Office Machine (TOM) in stations of Reach – 3&amp;3A of BMRCL</t>
  </si>
  <si>
    <t>Pre Bid Meeting is on 18.01.2024</t>
  </si>
  <si>
    <t>Noida Metro Rail Corporation Limited</t>
  </si>
  <si>
    <t>GEM/2023/B/4364594</t>
  </si>
  <si>
    <t>Manpower Outsourcing Services - Man-days based - Others; Skilled; Ticket Vending Operator</t>
  </si>
  <si>
    <t>GEM/2024/B/4479775</t>
  </si>
  <si>
    <t>Support service for Rotary Equipments, Electrical equipments and Instrumentation equipments maintenance in BXP and its utility units at Barauni Refinery</t>
  </si>
  <si>
    <t>South Region</t>
  </si>
  <si>
    <t>GEM/2024/B/4559210</t>
  </si>
  <si>
    <t>Service Provider for Hiring Associates: Technology Assistant (TA) On Temporary Basis for Retail SBU in Southern Region (SR)</t>
  </si>
  <si>
    <t>GEM/2024/B/4463789</t>
  </si>
  <si>
    <t>Tender For Third Party Inspection (TPI) Services at Vendor Works</t>
  </si>
  <si>
    <t>GEM/2024/B/4473421</t>
  </si>
  <si>
    <t>Service Contract for Operation and Maintenance of Pipeline and Associated SV/ IP/ RT/DT/TAP-OFF/CGS/ Customer Terminals Services under NCR (O&amp;M)</t>
  </si>
  <si>
    <t>ERPL/PCO/TS/2023-24/021</t>
  </si>
  <si>
    <t>Engagement of Third Party Inspection Agency (TPIA) for MSIHC Audit of Pipelines, CNG Stations, CGS and DRS / MRS etc for a period of 3 years for CGD Project Under Patna Cluster HQ</t>
  </si>
  <si>
    <t>GreenGas/CO/CandP/043/2023-24</t>
  </si>
  <si>
    <t xml:space="preserve">Hiring of Outsourced Services for peripheral, technical &amp; other support services in Green Gas Ltd </t>
  </si>
  <si>
    <t xml:space="preserve">HPCL Biofuels Limited </t>
  </si>
  <si>
    <t>HBL/TEN/PUB/23-24/300</t>
  </si>
  <si>
    <t>Miraj</t>
  </si>
  <si>
    <t>GEM/2024/B/4542825</t>
  </si>
  <si>
    <t>Integrated Facility Management Services at BPCL Miraj Depot-2024</t>
  </si>
  <si>
    <t>1) Core Energy Systems Pvt Ltd: Rs. 97,54,332.89/- (L1)
2) Unique Pest control Services: Rs. 98,75,882.22/- (L2)
3) Aarvi Encon Ltd: Rs. 1,09,36,400.03/- (L3)</t>
  </si>
  <si>
    <t>Hindustan Urvarak and Rasayan Ltd</t>
  </si>
  <si>
    <t>HURL/BR/CC/23-24/727</t>
  </si>
  <si>
    <t>Annual Rate Contract for Supply of Services and Manpower with Tools and Tackles to Carryout Mechanical Maintenance Activities at HURL Barauni</t>
  </si>
  <si>
    <t>Regretted Since the Prices are based on unit rate</t>
  </si>
  <si>
    <t>GEM/2024/B/4427311</t>
  </si>
  <si>
    <t>Service Contract for Handling of Chemicals &amp; Catalyst in HDPE-I&amp;II Plant at Gail, Pata</t>
  </si>
  <si>
    <t>Pre Bid Meeting is on 16.01.2024</t>
  </si>
  <si>
    <t>11.51.9106 / Manpower Service / 01</t>
  </si>
  <si>
    <t>To provide services of suitable professional manpower &amp; Non Professional manpower for duration suiting requirement of MECON Limited for its various offices/ projects sites under execution at different locations in India</t>
  </si>
  <si>
    <t>BGL/599/2023-24</t>
  </si>
  <si>
    <t>Hiring of support services for Operation and Maintenance, Projects and HSE at  Kakinada GA</t>
  </si>
  <si>
    <t>Pre Bid Meeting is on 17.01.2024</t>
  </si>
  <si>
    <t>Tamil Nadu Industrial Development Corporation Ltd</t>
  </si>
  <si>
    <t>TIDCO/MANPOWER AGENCY/2023 24</t>
  </si>
  <si>
    <t>Selection of manpower agency for TIDCO project</t>
  </si>
  <si>
    <t>Indian Bank Ltd</t>
  </si>
  <si>
    <t>CO/HRM/RFP/002/2023-24</t>
  </si>
  <si>
    <t>Empanelment of Manpower Recruitment Consultants for providing Manpower Services in the proposed subsidiary of Indian Bank</t>
  </si>
  <si>
    <t>Pre Bid Meeting is on 09.01.2024</t>
  </si>
  <si>
    <t>GEM/2024/B/4452228</t>
  </si>
  <si>
    <t>Annual Maintenance Contract (AMC) for Mechanical Works at Dibiyapur Compressor Station</t>
  </si>
  <si>
    <t>Inland Waterways Authority of India</t>
  </si>
  <si>
    <t>IWAI/ IWAIVw-TECH021/1/2023-TECH(Vijayawada)</t>
  </si>
  <si>
    <t>Work Contract for Supply &amp; Deployment of Technical Manpower Required for IWAI Sub Office at Vijayawada for Execution, Monitoring &amp; Supervision of Project</t>
  </si>
  <si>
    <t>GEM/2024/B/4424180</t>
  </si>
  <si>
    <t>Pre Bid Meeting is on 23.01.2024</t>
  </si>
  <si>
    <t>RPRC241008</t>
  </si>
  <si>
    <t>Annual Rate Contract for different miscellaneous Instrumentation Maintenance jobs at PR, PREP and PX-PTA of Panipat Refinery</t>
  </si>
  <si>
    <t>Sindri</t>
  </si>
  <si>
    <t>HURL/Sindri/CnM/23-24/967</t>
  </si>
  <si>
    <t>Electrical Operation and Maintenance Services in HURL premises/work area at HURL, Sindri</t>
  </si>
  <si>
    <t>GEM/2023/B/4410261</t>
  </si>
  <si>
    <t>Hiring of O&amp;M Services for CGD Bhubaneswar &amp; CGD-Cuttack for Two Years</t>
  </si>
  <si>
    <t>Pre Bid Meeting is on 05.01.2024</t>
  </si>
  <si>
    <t>Gujarat State Fertilizers &amp; Chemicals Ltd</t>
  </si>
  <si>
    <t>GSFC/ENQ/ MEKO /ARC/2024</t>
  </si>
  <si>
    <t>Annual Rate Contract for MEK-O Operation at GSFC Fertilizer  Nagar Complex, Vadodara</t>
  </si>
  <si>
    <t>GEM/2024/B/4450525</t>
  </si>
  <si>
    <t>Hiring of Manpower on Minimum Wages for Engineers India Limited</t>
  </si>
  <si>
    <t>GEM/2023/B/4357590</t>
  </si>
  <si>
    <t>Service Contract for Operational Assistance at Laboratory at Gail (India) Limited Vaghodia, Vadodara, Gujarat</t>
  </si>
  <si>
    <t>Pre Bid Meeting is on 03.01.2023</t>
  </si>
  <si>
    <t>GEM/2024/B/4431029</t>
  </si>
  <si>
    <t>Providing services for Hiring of Agency for Providing GIS Expert for a Period of Two Years</t>
  </si>
  <si>
    <t>Mathura</t>
  </si>
  <si>
    <t>GEM/2023/B/4372508</t>
  </si>
  <si>
    <t>Safety supervisory services for Mechanical Maintenance jobs in various units at Mathura Refinery</t>
  </si>
  <si>
    <t>GEM/2023/B/4371767</t>
  </si>
  <si>
    <t>Deployment of Revenue Supporting Service For KKBMPL Phase-II Project In Tamilnadu</t>
  </si>
  <si>
    <t>Pre Bid Meeting is on 11.12.2023</t>
  </si>
  <si>
    <t>GEM/2023/B/4382288</t>
  </si>
  <si>
    <t>Contract for providing qualified manpower for round the clock monitoring and analysis of the alarms generated by PIDWS, installed for the pipeline sections under Jodhpur base and coordination with the teams for verification of the alarms</t>
  </si>
  <si>
    <t>1) Industrial Staffing Services (India) Pvt Ltd: Rs. 59,11,121.18/- (L1)
2) Ramkaran Porterage Contractor: Rs. 60,08,665.25/- (L2)
3) Aarvi Encon Ltd: Rs. 81,73,022.72/- (L3)</t>
  </si>
  <si>
    <t>HCLSR23276</t>
  </si>
  <si>
    <t>Insulation, refractory and other works for emergency shutdown of Unit areas of Haldia Refinery in 2024</t>
  </si>
  <si>
    <t>Regretted Since Aarvi is not Qualified for the same</t>
  </si>
  <si>
    <t>2300009042-HB-06000</t>
  </si>
  <si>
    <t>Technical Services Training</t>
  </si>
  <si>
    <t>Price Bid Not Received</t>
  </si>
  <si>
    <t>2300009304-HB-07018</t>
  </si>
  <si>
    <t>Site Supervision Works Under Hisar RO</t>
  </si>
  <si>
    <t>Gwalior</t>
  </si>
  <si>
    <t>AGL/HEAD OFFICE/CONTRACT AND PURCHASE/24/23-24/ET/24</t>
  </si>
  <si>
    <t>Hiring of Manpower Agency Providing Services of Executive / Non-Executive Associates for Indore, Gwalior, Ujjain &amp; Pithampur</t>
  </si>
  <si>
    <t>Pre Bid Meeting is on 21.12.2023</t>
  </si>
  <si>
    <t>2300009328-HB-06600</t>
  </si>
  <si>
    <t>Site Supervision Services-VRMP</t>
  </si>
  <si>
    <t>GEM/2024/B/4434078</t>
  </si>
  <si>
    <t>Hiring of Revenue Support Services in the State of Odisha for Dhamra Haldia Pipeline (DHPL) Project</t>
  </si>
  <si>
    <t>Pre Bid Meeting is on 12.01.2024</t>
  </si>
  <si>
    <t>GEM/2023/B/4265941</t>
  </si>
  <si>
    <t>Deployment of Manpower (Skilled) for formation of Quick Response Team (QRT) for Field verification of Pipeline Intrusion Detection and Warning System (PIDWS) alarms under WRPL Chaksu Base Jurisdiction</t>
  </si>
  <si>
    <t>GEM/2023/B/4355466</t>
  </si>
  <si>
    <t>Providing miscellaneous technical assistance services at Estate office in Mathura Refinery Township</t>
  </si>
  <si>
    <t>GEM/2023/B/4382673</t>
  </si>
  <si>
    <t>Hiring of Revenue Manpower for BGPL Project in the State of Bihar</t>
  </si>
  <si>
    <t>GEM/2023/B/4257838</t>
  </si>
  <si>
    <t>Operation &amp; Maintenance for CFBC Based Captive Power Plant and Its Associated Facilities at BPCL, Bina Refinery, Dist. Sagar, Madhya Pradesh, India</t>
  </si>
  <si>
    <t>Regretted Since it is a Rate Contract</t>
  </si>
  <si>
    <t>Bharat Earth Movers Limited</t>
  </si>
  <si>
    <t>GEM/2023/B/4335113</t>
  </si>
  <si>
    <t>Service Contract for Supply of Skilled Labours on Contract Basis at BEML Limited, Bangalore Complex for a Period of One Year</t>
  </si>
  <si>
    <t>GEM/2023/B/4243688</t>
  </si>
  <si>
    <t>AMC for Instrumentation Maintenance Services for Maharashtra Region for a Period of Two Years</t>
  </si>
  <si>
    <t>GEM/2023/B/4269337</t>
  </si>
  <si>
    <t>ARC for Providing Operations &amp; Maintenance Assistance Services in Gail Maharashtra Region Pipeline Network &amp; Installation for a Period of Two Years</t>
  </si>
  <si>
    <t>1) R. K. Enterprises: Rs. 8,29,96,592.57/- (L1)
2) Knowteq Concepts Pvt Ltd: Rs. 8,72,13,179.46/- (L2)
3) Integrated Telenet Services &amp; Contracts: Rs. 8,80,24,616.33/- (L3)
4) Venturer Engineers: Rs. 5,92,01,047.12/- (L4)
5) Sanmarg Projects Pvt Ltd: Rs. 9,36,29,304.92/- (L5)
6) ANI Integrated: Rs. 9,31,25,309.54/- (L6)
7) OBUL Consultancy: Rs. 10,65,06,109.87/- (L7) 
8) Aarvi Encon Ltd: Rs. 11,05,65,340.84/- (L8) 
9) Noble Engineers: Rs. 5,29,37,102.91/- (L9)
10) Singh &amp; Sons Infotech Pvt Ltd: Rs. 2,31,57,747.24/- (L10)</t>
  </si>
  <si>
    <t>Operation and Maintenance Contract at Vadinar Bina Pipe-Line (VBPLl) of BPCL for 2 Years</t>
  </si>
  <si>
    <t>Costinng Not Received as the Tender is for Item Rate Based</t>
  </si>
  <si>
    <t>2300008439-HD-06600</t>
  </si>
  <si>
    <t>MES Documentation Services Order at Visakh Refinery</t>
  </si>
  <si>
    <t>Regretted Since Aarvi was not Qualified</t>
  </si>
  <si>
    <t>GEM/2023/B/4235257</t>
  </si>
  <si>
    <t>Service Contract of Chemical &amp; Material Handling Contract In IOP&amp;S Area for Period Two Years on ARC Basis</t>
  </si>
  <si>
    <t>GEM/2023/B/4234569</t>
  </si>
  <si>
    <t>Service Contract (ARC) for Handling of Chemicals, Catalyst and Material in LLDPE-II &amp; New Butene-1 Plant at Gail, Pata</t>
  </si>
  <si>
    <t>Pre Bid Meeting is on 07.12.2023</t>
  </si>
  <si>
    <t>GEM/2023/B/4251730</t>
  </si>
  <si>
    <t>Hiring of Services for Sample Testing Job of QC Laboratory at Gail, Pata</t>
  </si>
  <si>
    <t>Pre Bid Meeting is on 05.12.2023</t>
  </si>
  <si>
    <t>GEM/2023/B/4281105</t>
  </si>
  <si>
    <t>Safety Supervisory Services in Digboi Refinery</t>
  </si>
  <si>
    <t>GEM/2023/B/4280951</t>
  </si>
  <si>
    <t>Lining up of agency for providing manpower services for sampling and related misc. jobs at Mathura Refinery QC Lab</t>
  </si>
  <si>
    <t>GEM/2023/B/4222780</t>
  </si>
  <si>
    <t>Hiring of Service for ARC for O&amp;M Support Services of Adiyakkamangalam, Kuthalam, Narimanam, Ramnad and Karaikal RGMC Region Gail, Cauvery Basin</t>
  </si>
  <si>
    <t>Pre Bid Meeting is on 24.11.2023</t>
  </si>
  <si>
    <t>GEM/2023/B/4250843</t>
  </si>
  <si>
    <t>Hiring of Support Services for Forecourt Management of CNG Stations within Kolkata GA of Bengal Gas Company Limited (BGCL) for a Period of Two (02) Years</t>
  </si>
  <si>
    <t>Indradhanush Gas Grid Limited</t>
  </si>
  <si>
    <t>IGGL/GHY/C&amp;P/PMP &amp; RMP/11-23 (E –TENDER NO: IGGL-100055) - 2023_IGGL_175621_1</t>
  </si>
  <si>
    <t>Providing Professional Manpower and Revenue Manpower On Contractual Basis for a Period of 02 (Two) Years at IGGL.</t>
  </si>
  <si>
    <t>Pre Bid Meeting is on 29.11.2023</t>
  </si>
  <si>
    <t>HPCL LNG Limited</t>
  </si>
  <si>
    <t>Chharra</t>
  </si>
  <si>
    <t>GEM/2023/B/4258353</t>
  </si>
  <si>
    <t>Outsourced Manpower Services (Technical) for HPLNG Chhara LNG Terminal</t>
  </si>
  <si>
    <t>GEM/2023/B/4209534</t>
  </si>
  <si>
    <t>Service Contract for Operational Assistance and Upkeeping of HRSG Plant, GTC and Associated Facilities at Grep Gail (India) Limited Vaghodia, Vadodara, Gujarat</t>
  </si>
  <si>
    <t>Pre Bid Meeting is on 23.11.2023</t>
  </si>
  <si>
    <t>2300008301-HB-06000</t>
  </si>
  <si>
    <t>Maintenance of Instrumentation Facilities at HPCL Mumbai Refinery</t>
  </si>
  <si>
    <t>Ramagundam Fertilisers and Chemicals Limited</t>
  </si>
  <si>
    <t>RFCL/CO/C&amp;P/HR/OUT/2023/11, E-Tender No: RFCL- 55895</t>
  </si>
  <si>
    <t>Engaging Agency for Providing Human Resources on Outsourcing basis at RFCL, Noida for a period of Two Years</t>
  </si>
  <si>
    <t>Jhabua Power Ltd</t>
  </si>
  <si>
    <t>MP</t>
  </si>
  <si>
    <t>PLCNMT23241200007776</t>
  </si>
  <si>
    <t>Manpower Hiring for Handling the Fire Fighting Services</t>
  </si>
  <si>
    <t>H/G/CNM/23-24/C-417/TE-776</t>
  </si>
  <si>
    <t>Annual Rate Contract for Supply of Manpower for maintenance of Bagging Plant equipment at HURL-Gorakhpur</t>
  </si>
  <si>
    <t>Kochi
(Imp to Attend Pre Bid)</t>
  </si>
  <si>
    <t>GEM/2023/B/4168233</t>
  </si>
  <si>
    <t>Contract For Outsourcing Field Operation Of Utility &amp; Offsite (U&amp;O) Associated Facilities With Petrochemical Units At BPCL- KR for a Period of 5 Years</t>
  </si>
  <si>
    <t xml:space="preserve">1) Aarvi Encon Ltd: Rs. 15,31,68, 437.70 (L1)
2) Stead </t>
  </si>
  <si>
    <t>Haldia Petrochemical Limited</t>
  </si>
  <si>
    <t>URGENT_RFQ_7027477</t>
  </si>
  <si>
    <t>Hiring of Mechanical Engineers</t>
  </si>
  <si>
    <t>GAIL/VC/C23257/YS/MECH/2023</t>
  </si>
  <si>
    <t>AMC FOR MISCELLANEOUS MECHANICAL MAINTENANCE JOBS FOR C2C3 RECOVERY PLANT, LPG PLANT AND HVJ COMPRESSOR STATION AT GAIL, VIJAIPUR.</t>
  </si>
  <si>
    <t>Rate Contract (RC) for Hiring of Outsourcing Manpower for Tank M&amp;I for HMEL Refinery, Bhatinda</t>
  </si>
  <si>
    <t>GEM/2023/B/4143897</t>
  </si>
  <si>
    <t>for Operational Assistance Service Contract for Field Operation in LPG/ NTGG Unit Area, Off-Site Area, Utilities &amp; DCS Operation at GPU Vaghodia, Vadodara, Gujarat</t>
  </si>
  <si>
    <t>Pre Bid Meeting is on 07.11.2023</t>
  </si>
  <si>
    <t>GEM/2023/B/4167387</t>
  </si>
  <si>
    <t>Job Contract for Operating of Airport Operations Control Centre (AOCC) at NSCBI Airport, Kolkata</t>
  </si>
  <si>
    <t>GEM/2023/B/4160917</t>
  </si>
  <si>
    <t>Operational Support Service at Renewable Energy Bengaluru</t>
  </si>
  <si>
    <t>Pre Bid Meeting is on 08.11.2023</t>
  </si>
  <si>
    <t>GEM/2023/B/4090136</t>
  </si>
  <si>
    <t>for Annual Rate Contract (ARC) for Various Mechanical Maintenance Services at GPU &amp; GREP Gail (India) Limited Vaghodia, Vadodara, Gujarat</t>
  </si>
  <si>
    <t>Pre Bid Meeting is on 06.11.2023</t>
  </si>
  <si>
    <t>2300007730-HB-06000</t>
  </si>
  <si>
    <t>AMC for Out of Court Settled Workers Wages at HPCL Mumbai Refinery</t>
  </si>
  <si>
    <t>Oil India Ltd</t>
  </si>
  <si>
    <t>CGI4778P24</t>
  </si>
  <si>
    <t>Hiring services for providing Manpower assistance of 3 (Three)nos of unskilled (Listed) WCL services in PS-6 (Bongaigaon) &amp; RS-10 (Pratapkhata) for a period of 4 (Four) years under PS6, Bongaigaon</t>
  </si>
  <si>
    <t>Regretted because scope of work is to provide only 3 Nos of Unskilled manpower. Further, total value of the job is also less considering only 3 manpowe</t>
  </si>
  <si>
    <t>GEM/2023/B/4063351</t>
  </si>
  <si>
    <t>for Hiring of O and M Assistance of Terminals and Pipelines Under Malanpur Region for Period of 2 Years</t>
  </si>
  <si>
    <t>Pre bid Meeting is on 26.10.2023</t>
  </si>
  <si>
    <t>GEM/2023/B/4121023</t>
  </si>
  <si>
    <t>for Tender for Assistance Services in Bagging and Palletizing Operation in LLDPE-1&amp; 2 and HDPE-1&amp;2 Plants of Gail Pata.</t>
  </si>
  <si>
    <t>Pre bid Meeting is on 30.10.2023</t>
  </si>
  <si>
    <t>GEM/2023/B/4116149</t>
  </si>
  <si>
    <t>for Hiring of Contract Services for Providing of Support Assistance for Ahmedabad Zonal Office for a Period of Two Years</t>
  </si>
  <si>
    <t>Pre bid Meeting is on 02.11.2023</t>
  </si>
  <si>
    <t>National Highways &amp; Infrastructure Development Corporation Limited</t>
  </si>
  <si>
    <t>GEM/2023/B/4135320</t>
  </si>
  <si>
    <t>Providing Manpower Service of Civil Engineers for NHIDCL</t>
  </si>
  <si>
    <t>H/G/CNM/23-24/C-400/TE-763</t>
  </si>
  <si>
    <t>Operation Contract of WTP, DP and CPU Unit</t>
  </si>
  <si>
    <t>GEM/2023/B/4149318</t>
  </si>
  <si>
    <t>for Hiring of production supervisory &amp; support services during forthcoming shutdowns at Gujarat Refinery</t>
  </si>
  <si>
    <t>GEM/2023/B/4118388</t>
  </si>
  <si>
    <t>for ARC for support services for rotary equipments mechanical maintenance jobs in OM&amp;S, BTP fire water pump house and township area at Barauni Refinery</t>
  </si>
  <si>
    <t>GEM/2023/B/4129748</t>
  </si>
  <si>
    <t>Annual Rate Contract for hiring of scaffolding expert for supervision and certification of scaffolding jobs at Barauni Refinery</t>
  </si>
  <si>
    <t>Pre Bid Meeting is on 14.11.2023</t>
  </si>
  <si>
    <t>GEM/2023/B/4124268</t>
  </si>
  <si>
    <t>Hiring of Resources to Assist Operation &amp; Maintenance of Various HVAC Plants of HVI Compressor Station, LPG Plant and C2C3 Plant at Gail, Vijaipur</t>
  </si>
  <si>
    <t>GEM/2023/B/4051835</t>
  </si>
  <si>
    <t>Hiring of Manpower for Support and Peripheral Service at Gail, Chennai Zonal Office</t>
  </si>
  <si>
    <t>Regretted Since the Value of Work is less than 25 Lakhs</t>
  </si>
  <si>
    <t>GEM/2023/B/3961900</t>
  </si>
  <si>
    <t>for Hiring of Staffing Agency for External Resources on Contract Basis for Various Locations in Lubes SBU for Period of 2 Years</t>
  </si>
  <si>
    <t>1) GA Digital Webword Private Ltd: Rs. 10,38,31,463.74/- (L1)
2) Aarvi Encon Ltd: Rs. 10,38,31,463.74/- (L1)</t>
  </si>
  <si>
    <t>MNGL/CP/2023-24/102</t>
  </si>
  <si>
    <t>Rate Contract for a period of 2 (two) years for the hiring of the support services for PNG O and M of MDPE Pipeline and PNG connections in PCMC areas for CGD Network of MNGL, Pune</t>
  </si>
  <si>
    <t>Indian Railway Catering And Tourism Corporation Limited  (IRCTC)</t>
  </si>
  <si>
    <t>GEM/2023/B/4012844</t>
  </si>
  <si>
    <t>Manpower Outsourcing Services - Fixed Remuneration - Admin Finance Technical etc; Date Entry Operator and other office support staff</t>
  </si>
  <si>
    <t>Central</t>
  </si>
  <si>
    <t>GEM/2023/B/4116051</t>
  </si>
  <si>
    <t>Supply of skilled Manpower at Central Zone HPCL</t>
  </si>
  <si>
    <t>1) Growia Facility Services Pvt Ltd: Rs. 27,21,103.64/- (L1)
2) Hare Krishna Sushikshit Berojgar Seva Sahkari Sanstha Maryadit: Rs. 27,21,103.64/- (L1)
3) Ultra-R Manpower Solutions: Rs. 27,21,103.64/- (L1)
4) Hare Krishna facility Services: Rs. 27,21,103.64/- (L1)
5) Industries Labour Suppliers: Rs. 27,21,103.64/- (L1)
6) Paridhi Assurance Pvt Ltd: Rs. 27,21,103.64/- (L1)
7) Raj Security Force Labour Supplier Pvt Ltd: Rs. 27,21,103.64/- (L1)
8) Aarvi Encon Ltd: Rs. 29,51,342.28/- (L2)</t>
  </si>
  <si>
    <t>Samakhiali</t>
  </si>
  <si>
    <t>GEM/2023/B/4065330</t>
  </si>
  <si>
    <t>Item Rate Contract for Operational Support Services, Technical Maintenance Services, Assistance Services and Emergency/Shut Down Services for Gail Samakhiali Maintenance Base Station for a Period of Two (02) Years</t>
  </si>
  <si>
    <t>Pre Bid Meeting is on 19.10.2023</t>
  </si>
  <si>
    <t>GEM/2023/B/4045506</t>
  </si>
  <si>
    <t>Hiring of Third Party Inspection Services Agency for various O&amp;M Civil works under GAIL  Maharashtra region</t>
  </si>
  <si>
    <t>GEM/2023/B/4044828</t>
  </si>
  <si>
    <t>Annual Maintenance Contract towards providing assistance services for carrying out electrical maintenance job and round the clock shift operation at GAIL Jhabua Township Through GEM PORTAL</t>
  </si>
  <si>
    <t>Pan India</t>
  </si>
  <si>
    <t>GEM/2023/B/4006045</t>
  </si>
  <si>
    <t>Engagement of Third-Party Agency for providing Manpower for conducting Marketing Activities on Pan India Basis</t>
  </si>
  <si>
    <t>2300007345-HB-06600</t>
  </si>
  <si>
    <t>for Inspection Agency - VRMP OBE</t>
  </si>
  <si>
    <t>1) Cosmos Engineering Projects Services Pvt Ltd: Rs. 6,84,000/- (L1) [-24%]
2) Aarvi Encon Ltd: Rs. 7,58,070/- (L2) [-15.77%]
3) Aarwin Engineering Project Services Pvt Ltd: Rs. 8,55,000/- (L3) [-5%]
4) IR Class Systems and Solutions Pvt Ltd: Rs. 10,80,000/- (L4) [20%] 
5) Bureau Veritas (India) Pvt Ltd: Rs. 12,15,000/- (L5) [35%]</t>
  </si>
  <si>
    <t>2300007259-HB-06000</t>
  </si>
  <si>
    <t>for Operational Services Access Control System</t>
  </si>
  <si>
    <t>Bengal Gas Company</t>
  </si>
  <si>
    <t xml:space="preserve">GEM/2023/B/3997978 </t>
  </si>
  <si>
    <t>Hiring of Contract Manpower for Support Services for BGCL for a Period of Two (02) Years</t>
  </si>
  <si>
    <t>Pre Bid Meeting is on 10.10.2023</t>
  </si>
  <si>
    <t>2300007275-HB-06600</t>
  </si>
  <si>
    <t>for Outsourced Manpower for VRMP Cooling Towers</t>
  </si>
  <si>
    <t>GEM/2023/B/4063528</t>
  </si>
  <si>
    <t>GEM/2023/B/4034378</t>
  </si>
  <si>
    <t>Hiring of Contract for Services of Revenue Support Assistance for S&amp;LR Deptt, Noida</t>
  </si>
  <si>
    <t>2300006965-HB-06000</t>
  </si>
  <si>
    <t>TA 2023 : Hiring of Contract Engineers for Field</t>
  </si>
  <si>
    <t>2300007147-HB-06000</t>
  </si>
  <si>
    <t>Electrical PM Services</t>
  </si>
  <si>
    <t>Bhabha Atomic Research Centre</t>
  </si>
  <si>
    <t>BARCT/NRB/WM/LAB/2023/1860</t>
  </si>
  <si>
    <t>Providing assistance in laboratory, HP, TSS and Time office tasks of WM Plants at NRB, BARC, Tarapur</t>
  </si>
  <si>
    <t>(GAIL/HZR/C&amp;P/115332/FL39C/23-24
(20115332)</t>
  </si>
  <si>
    <t>ARC for Instrument Maintenance Jobs</t>
  </si>
  <si>
    <t>Regretted since it is item rate contract</t>
  </si>
  <si>
    <t>GEM/2023/B/4025022</t>
  </si>
  <si>
    <t>Contract for Service - Peripheral Support Services (Skilled) at Hyderabad Zonal Office</t>
  </si>
  <si>
    <t>Regretted Since the Value of Tender is less than 10 Lakhs</t>
  </si>
  <si>
    <t>GEM/2023/B/4017159</t>
  </si>
  <si>
    <t>Providing services with qualified manpower for round the clock monitoring of Pipeline Intrusion Detection and Warning System (PIDWS) installed in CROW of SMPL, MPPL, KSPL, JPNPL &amp; Coordination with QRT for site verification</t>
  </si>
  <si>
    <t>1) Ramkaran Porterage Services: Rs. 28,39,758.55 (L1)
2) Aarvi Encon Ltd: Rs. 50,11,487.54/- (L2)</t>
  </si>
  <si>
    <t>106PC23010</t>
  </si>
  <si>
    <t>Hiring of TPI Agency for Marine Safety of Offshore HSE Department for a Period of 03 Years</t>
  </si>
  <si>
    <t>Raja Ramanna Centre for advance Technology</t>
  </si>
  <si>
    <t>GEM/2023/B/3911423</t>
  </si>
  <si>
    <t>Outsourcing of various technical activities at RRCAT and ARPF, Indore</t>
  </si>
  <si>
    <t>Pre Bid Meeting is on 25.09.2023</t>
  </si>
  <si>
    <t>Andhra Pradesh</t>
  </si>
  <si>
    <t>GEM/2023/B/3984956</t>
  </si>
  <si>
    <t>Contract for Hiring of Revenue Assistance Services for Pipeline Jobs of KG Basin</t>
  </si>
  <si>
    <t>2300006241-HB-06600</t>
  </si>
  <si>
    <t>Hiring of Skilled Manpower for VRMP OBE</t>
  </si>
  <si>
    <t>1) Jyotsna Shree Engineering Works: Rs. 1,50,27,000/- (L1)
2) Aarvi Encon Ltd: Rs. 1,56,60,203.16/- (L2)
3) Bonace Engineers Pvt Ltd: Rs. 1,68,04,800/- (L3)
4) Promantec Consultants Pvt Ltd: Rs. 2,03,01,528/- (L4)
5) Aarwin Engineering Project Services Pvt Ltd: Rs. 2,25,35,652/- (L5)
6) Keshav Encon: Rs. 3,23,56,956/- (L6)</t>
  </si>
  <si>
    <t>HURL/BR/CC/23-24/650</t>
  </si>
  <si>
    <t>Supply Of Unskilled Manpower for Assisting in Condition Monitoring of Rotary Machines, Non-Destructive Testing (NDT) and Miscellaneous Jobs in QA and Inspection Department at Hurl Barauni</t>
  </si>
  <si>
    <t>Surendra Nagar</t>
  </si>
  <si>
    <t>PWRJT23032</t>
  </si>
  <si>
    <t>Annual Rate Contract for Mechanical Maintenance Jobs at WRPL Surendranagar</t>
  </si>
  <si>
    <t>Chhainsa</t>
  </si>
  <si>
    <t>GEM/2023/B/3986909</t>
  </si>
  <si>
    <t>Hiring of Assistance Services at Gail, Chhainsa Compressor Station for a Period of 2 Years.</t>
  </si>
  <si>
    <t>Pre Bid Meeting is on 27.09.2023</t>
  </si>
  <si>
    <t>PDO1P23196</t>
  </si>
  <si>
    <t>Providing Office Support jobs at various locations of Paradip Refinery, Paradip, Odisha</t>
  </si>
  <si>
    <t>2300006359-HB-06000</t>
  </si>
  <si>
    <t>ELECTRICAL PM SERVICES</t>
  </si>
  <si>
    <t>GEM/2023/B/3962715</t>
  </si>
  <si>
    <t>Hiring of Contract Services for Providing Operation and Maintenance (O&amp;M) of CGD Network in HSR Layout and Whitefield O&amp;M base at GGL Bengaluru</t>
  </si>
  <si>
    <t>Pre Bid Meeting is on 29.09.2023</t>
  </si>
  <si>
    <t>GEM/2023/B/3967398</t>
  </si>
  <si>
    <t>Services of Field Engineers for Various Pipeline Locations of Hindustan Petroleum Corporation Limited (HPCL)</t>
  </si>
  <si>
    <t>GEM/2023/B/3971843</t>
  </si>
  <si>
    <t>Agency for Supervisory services &amp; assistance for monitoring of confined space entry in various equipment’s during shutdown at Panipat Refinery</t>
  </si>
  <si>
    <t>Gujarat State Petroleum Corporation Ltd</t>
  </si>
  <si>
    <t>GEM/2023/B/3942506</t>
  </si>
  <si>
    <t>Hiring of O&amp;M Services at various production facilities of GSPC operated Blocks (Ahmedabad including RFPSC, Tarapur, Sanand Miroli &amp; Ankleshwar)</t>
  </si>
  <si>
    <t>Pre Bid Meeting is on 18.09.2023</t>
  </si>
  <si>
    <t>GEM/2023/B/4015528</t>
  </si>
  <si>
    <t>Services in Inspection Engineering jobs by API Certified Inspectors at Mathura Refinery</t>
  </si>
  <si>
    <t>GEM/2023/B/3992551</t>
  </si>
  <si>
    <t>Providing Annual Maintenance contract Services of CDSP at DCU, BPCL, Bina Refinery</t>
  </si>
  <si>
    <t>It is an Item Rate based Contract hence regretted</t>
  </si>
  <si>
    <t>GEM/2023/B/3983002</t>
  </si>
  <si>
    <t>Comprehensive Operation and Maintenance (O&amp;M) of 22 Nos of Windmills of CPCL</t>
  </si>
  <si>
    <t>GEM/2023/B/4022490</t>
  </si>
  <si>
    <t>Carryout Maintenance Jobs in Column, Vessels, Exchangers, Sulphur Condenser, Waste Heat Boilers in SWS, ARU &amp; SRU, Resid BFW System Plants (Plant No: 88, 89, 90, 424) In Resid SRU at CPCL Manali Chennai</t>
  </si>
  <si>
    <t>GEM/2023/B/3988191</t>
  </si>
  <si>
    <t>Engaging Manpower for Assisting Substation Operation and Maintenance Jobs at BS-VI, SRU &amp; LEB at Manali Refinery Of CPCL</t>
  </si>
  <si>
    <t>Regretted Since the Value of Tender is less than 25 Lakhs</t>
  </si>
  <si>
    <t>Palanpur</t>
  </si>
  <si>
    <t>GEM/2023/B/3955074</t>
  </si>
  <si>
    <t>Housekeeping, Operations and Maintenance Services at MDPL Palanpur</t>
  </si>
  <si>
    <t>Gujarat Narmada Valley Fertilizer Co. Ltd. (GNFC)</t>
  </si>
  <si>
    <t>GNFC/RFP/ARC/2023-24</t>
  </si>
  <si>
    <t>Annual Rate Contract / Job Contract for “Miscellaneous laboratory work of Neem Laboratory at GNFC, Bharuch</t>
  </si>
  <si>
    <t>GSFC/Bagging Operation / AS-IV / 2023</t>
  </si>
  <si>
    <t>Complete Bagging Operation of 400 MTPD Ammonium Sulphate at AS-IV Plant at Vadodara Unit Gujarat</t>
  </si>
  <si>
    <t>Pre Bid Meeting is on 30.09.2023</t>
  </si>
  <si>
    <t>GEM/2023/B/3997819</t>
  </si>
  <si>
    <t>Implementation of RCM on Rotating Equipment’s of IREP and MSBP Process Units at Kochi Refinery</t>
  </si>
  <si>
    <t>Regretted Since Aarvi is not Qualified for this tender</t>
  </si>
  <si>
    <t>GEM/2023/B/3918666</t>
  </si>
  <si>
    <t>Service Contract for Sample Collection &amp; Sample Testing Services in Laboratory</t>
  </si>
  <si>
    <t>GEM/2023/B/3897109</t>
  </si>
  <si>
    <t>Hiring of Manpower Services of Support Assistance (Dresser) For OHC at Gail Hazira</t>
  </si>
  <si>
    <t>Ramagundam</t>
  </si>
  <si>
    <t>RFCL/CO/C&amp;P/HR/MANPOWER/2023/9</t>
  </si>
  <si>
    <t>Empanelment Of Agencies For Supply Of Experienced Manpower On Contract At Ramagundam Fertilizers And Chemicals Limited, Ramagundam</t>
  </si>
  <si>
    <t>RFCL/INST/Cont-01/ARC/2023-24</t>
  </si>
  <si>
    <t>Annual Rate Contract for Instrument Maintenance Jobs and Manpower supply for Instrumentation work at RFCL, Ramagundam site for a period of one year</t>
  </si>
  <si>
    <t>GEM/2023/B/3946118</t>
  </si>
  <si>
    <t>ARC for Technical Support Services for Civil Maintenance Department Jobs at Gujarat Refinery</t>
  </si>
  <si>
    <t>BARC/NRBT/RWM/PM/2023/AS-43/04</t>
  </si>
  <si>
    <t>Assistance in mechanical maintenance works of Reprocessing facility, Tarapur</t>
  </si>
  <si>
    <t>Pre Bid Meeting is on 15.09.2023</t>
  </si>
  <si>
    <t>2300005567-HB-06000</t>
  </si>
  <si>
    <t>RITES LTD</t>
  </si>
  <si>
    <t>RITES/CO/HR/MPA/2023/01</t>
  </si>
  <si>
    <t>Empanelment of Manpower Agencies to Provide Technical ( Non- IT) Experienced Manpower</t>
  </si>
  <si>
    <t>Pre Bid Meeting is on 12.09.2023</t>
  </si>
  <si>
    <t>GEM/2023/B/3873341</t>
  </si>
  <si>
    <t>Operational Assistance Services in Various Midstream and Downstream Process Plants of PC-I &amp; PC-II at Gail, Pata</t>
  </si>
  <si>
    <t>1) UPCEM Engineering &amp; Consultancy: Rs. 6,17,32,002.54/- (L1)
2) Sheetal Prasad Contractor: Rs. 6,17,32,002.54/- (L1)
3) Aarvi Encon Ltd: Rs. 6,17,32,002.54/- (L1) 
4) Prabha Continous Utility Services: Rs. 6,60,47,068.94/- (L2)</t>
  </si>
  <si>
    <t>2300005885-HB-06600</t>
  </si>
  <si>
    <t>SO FOR TPD SUPPORT SERVICES</t>
  </si>
  <si>
    <t xml:space="preserve"> m                                                                                                                                                                                                                                                                                                                                                                                                                                                                                                                                                                                                                                                                                                                                                                                                                                                                                                                                                                                                                                                                                                                                                                                                                                                                                                                                                                                                                                    </t>
  </si>
  <si>
    <t>Dabhol</t>
  </si>
  <si>
    <t>GEM/2023/B/3884028</t>
  </si>
  <si>
    <t>Hiring of Operational Assistance Services for Field Operation of LNG Plant</t>
  </si>
  <si>
    <t>1) Shubraj Tech Pvt Ltd: Rs. 1,89,79,202.54/-
2) RKT Udyog Pvt Ltd: Rs. 1,89,79,202.54/- (L1)
3) Knowteq Concepts Pvt Ltd: Rs. 1,89,79,202.95/- (L2)
4) Singh and Sons Infotech Pvt Ltd: Rs. 1,89,79,202.95/- (L2)
5) Sheetal Prasad Contractor: Rs. 1,89,79,202.95/- (L2)
6) Aarvi Encon Ltd: Rs. 1,89,79,202.95/- (L2)
7) Sri Balaji Engineering Services: Rs. 1,89,79,202.95/- (L2) 
8) Venturer Engineers: Rs. 1,89,79,202.95/- (L2)
9) YLC Infrastructure Pvt Ltd: Rs. 1,89,79,202.95/- (L2)
10) Vishal Expert Services Pvt Ltd: Rs. 2,01,65,403.14/- (L3)
11) Prabha Continous Utility Services: Rs. 2,06,59,202.95/- (L4)
12) Hindustan Fabricator &amp; Contractor: Rs. 2,08,77,123.24/- (L5)
13) Prumatech Services Pvt Ltd: Rs. 2,26,80,354.23/- (L6)</t>
  </si>
  <si>
    <t>GEM/2023/B/3861009</t>
  </si>
  <si>
    <t>Operational Assistance Services in Various Upstream Process Plants of PC-I &amp; PC-II at Gail, Pata.</t>
  </si>
  <si>
    <t>1) UPCEM Engineering &amp; Consultancy: Rs. 4,60,56,611.01/- (L1)
2) Sheetal Prasad Contractor: Rs. 4,60,56,611.01/- (L1)
3) Aarvi Encon Ltd: Rs. 4,60,56,611.01/- (L1)
4) Prabha Continous Utility Services: Rs. 4,92,75,967.79/- (L2)</t>
  </si>
  <si>
    <t>GEM/2023/B/3873067</t>
  </si>
  <si>
    <t>Hiring of Support and Peripheral Services for Various Gail Gas Locations Under Noida Jurisdiction</t>
  </si>
  <si>
    <t>Pre Bid Meeting is on 01.09.2023</t>
  </si>
  <si>
    <t>GEM/2023/B/3843023</t>
  </si>
  <si>
    <t>Operation and Maintenance Contract of RO Plant (As Per Drinking Water Standards) and STP (As Per KSPCB Norms) Installed at Gail Kochi Office</t>
  </si>
  <si>
    <t>Developing Various Drawing through Drafting for Peso Approval</t>
  </si>
  <si>
    <t>GEM/2023/B/3858249</t>
  </si>
  <si>
    <t>AMC Services for Instrumentation Jobs in KG Basin</t>
  </si>
  <si>
    <t>Pre Bid Meeting is on 30.08.2023</t>
  </si>
  <si>
    <t>Jamshedpur</t>
  </si>
  <si>
    <t>GEM/2023/B/3865069</t>
  </si>
  <si>
    <t>Hiring of O&amp;M Services for CGD Network at Jamshedpur for 03 Years</t>
  </si>
  <si>
    <t>GEM/2023/B/3900272</t>
  </si>
  <si>
    <t>Providing office services for project office at Rasayani LPG and Rasayani POL</t>
  </si>
  <si>
    <t>Regretted Since the Value of Tender is 8 Lakhs Only</t>
  </si>
  <si>
    <t>Saipem PA</t>
  </si>
  <si>
    <t>Bid 20000582017</t>
  </si>
  <si>
    <t>Direct Placement Services 2024 2025</t>
  </si>
  <si>
    <t>GAIL/GDR/LPG/C&amp;P/MECH/W2K2332</t>
  </si>
  <si>
    <t>Hiring of Services for Maintenance Jobs During Annual Shutdown at Gail (India) Limited, Gas Processing Unit, Gandhar for 24 Months</t>
  </si>
  <si>
    <t>Pre Bid Meeting is on 31.08.2023</t>
  </si>
  <si>
    <t>GEM/2023/B/3888072</t>
  </si>
  <si>
    <t>Rate contract for highly skilled assistance in various Inspection and NDT jobs at Panipat refinery</t>
  </si>
  <si>
    <t>2300005011-HB-06600</t>
  </si>
  <si>
    <t>Regretted Since the requirement is less and competition quotes less</t>
  </si>
  <si>
    <t>GEM/2023/B/3845292</t>
  </si>
  <si>
    <t>ARC for Assistance Services for General Monitoring, O&amp;M, Upkeeping of Pipelines and Installations along the Pipeline under Agra Region on Open Competitive Bidding Basis</t>
  </si>
  <si>
    <t>GEM/2023/B/3732915</t>
  </si>
  <si>
    <t>Appointment of Contractor for Comprehensive Operation &amp; Maintenance Services for Gas Compressor Station</t>
  </si>
  <si>
    <t>RSO/ENG/PT-08/2023-24</t>
  </si>
  <si>
    <t>Expression of Interest -EOI- for additional contractor for Rate contract for M and I related works at Terminals, AFSs and RDIs under Rajasthan State Office</t>
  </si>
  <si>
    <t>GAIL/GMPL/20114408/RSG</t>
  </si>
  <si>
    <t>Hiring of Services for Instrumentation Maintenance Jobs for Pre-Commissioning and Commissioning Activities at M/s. GMPL, MSEZ, Mangaluru</t>
  </si>
  <si>
    <t>RFCL/ELECT/ARC 23-24/Factory mtc/001</t>
  </si>
  <si>
    <t>Annual rate contract for Assistance of Man power for maintaining shifts in CP&amp;O, Ammonia, Urea and Bagging, Factory Area maintenance, Murmur Pump house maintenance, Battery and Earth pits maintenance and Substation Cleaning for the year 2023-24 at RFCL, Ramagundam</t>
  </si>
  <si>
    <t>TATA Consultancy Services</t>
  </si>
  <si>
    <t>Doc1585533892</t>
  </si>
  <si>
    <t>Request for Proposal (RFP) for Construction Safety Consultancy Services for proposed development of an IT SEZ campus for TCS, at Sector 157, Noida, Gautam Buddha Nagar, Uttar Pradesh</t>
  </si>
  <si>
    <t>Pre Bid Meeting is on 25.08.2023</t>
  </si>
  <si>
    <t>Usar</t>
  </si>
  <si>
    <t>GEM/2023/B/3775677</t>
  </si>
  <si>
    <t>Hiring of services for assisting F&amp;S at PDH-PP project, Usar for two (02) years</t>
  </si>
  <si>
    <t>Since there is a union issue at Site</t>
  </si>
  <si>
    <t>GreenGas/CO/CandP/036/2022-23</t>
  </si>
  <si>
    <t>Hiring of Security Services for Green Gas Limited</t>
  </si>
  <si>
    <t>Regretted Since the tender is for Security Manpower</t>
  </si>
  <si>
    <t>GEM/2023/B/3756320</t>
  </si>
  <si>
    <t>Annual Rate Contract For Mechanical Static (Field) –Onsite Maintenance Jobs In Delayed Coker Unit (DCU) At CPCL-Manali</t>
  </si>
  <si>
    <t>GEM/2023/B/3818599</t>
  </si>
  <si>
    <t>Outsourced Agency Services for Operation of SFU</t>
  </si>
  <si>
    <t xml:space="preserve">1) Aarvi Encon Ltd: Rs. 1,72,33,833.61/- (L1)
2) Promantec Consultants Pvt Ltd: Rs. 3,81,60,000.00/- (L2)
3) MZ Engineering: Rs. 3,82,41,600.00/- (L3) </t>
  </si>
  <si>
    <t>UAE</t>
  </si>
  <si>
    <t>RFQ-RAVVA-REIMB-180</t>
  </si>
  <si>
    <t>Safety &amp; Fire Stewards Manpower service - Total Plant Shutdown</t>
  </si>
  <si>
    <t>GC23ITT109</t>
  </si>
  <si>
    <t>ARC for miscellaneous Instrumentation Jobs (Field works)</t>
  </si>
  <si>
    <t xml:space="preserve">MNGL/CP/2023-24/75 </t>
  </si>
  <si>
    <t>Hiring an Agency for a Period of 02 Years for Queue Controller / Parking Assistant / Customer Assistant Services at All Gas of MNGL</t>
  </si>
  <si>
    <t>GEM/2023/B/3748041</t>
  </si>
  <si>
    <t>Service Contract for Hiring of Fire &amp; Safety Resource Services for Maintenance of Fire &amp; Safety System In NCR Gas (O&amp;M) Region</t>
  </si>
  <si>
    <t>1) Singh and Sons Infotech Pvt Ltd: Rs. 2,07,84,489.86/- (L1)
2) Cosmos Systems: Rs. 2,07,84,489.86/- (L1) 
3) Super Construction: Rs. 2,13,54,661.01/- (L2)
4) Digitek Fire Safety Pvt Ltd: Rs. 2,55,06,726.27/- (L3)
5) Deworth Equipments Pvt Ltd: Rs. 2,56,04,828.81/- (L4)
6) Aarvi Encon Ltd: Rs. 2,62,83,183.89/- (L5)</t>
  </si>
  <si>
    <t>GEM/2023/B/3781295</t>
  </si>
  <si>
    <t>Providing assistance in Testing and Sampling activities in the Gujarat Refinery QC laboratory</t>
  </si>
  <si>
    <t>1) Friends Earth Movers: Rs. 2,33,03,638.05/- (L1)
2) Telecom Electronics: Rs. 2,46,60,109.32/- (L2)
3) Promantech Consultants Pvt Ltd: Rs. 2,55,84,132.20/- (L3)
4) MZ Engineering: Rs. 2,56,34,001.69/- (L4)
Aarvi was technically disqualified</t>
  </si>
  <si>
    <t>BCCM235608</t>
  </si>
  <si>
    <t>Annual Rate Contract for Operation and Maintenance of Heavy Equipments at Barauni Refinery</t>
  </si>
  <si>
    <t>Regretted Since Aarvi is not Qualified</t>
  </si>
  <si>
    <t>BGL/586/2023-24</t>
  </si>
  <si>
    <t>Hiring of Administrative Support Services (like Admin, HR, IT, F&amp;A, Marketing, CRM and Projects-Coordinators etc) for BGL at Hyderabad, Vijayawada &amp; Kakinada Locations)</t>
  </si>
  <si>
    <t>1) Sinclus Engineering and Consulting Pvt Ltd: Rs. 2,04,06,129.88/- (L1)
2) P Srinivas Reddy: Rs. 2,12,05,398.05/- (L2)
3) Tulja Services: Rs. 2,17,96,420.21/- (L3)
4) Aarvi Encon Ltd: Rs. 2,18,16,253.17/- (L4)
5) Bonace Engineering Pvt Ltd: Rs. 3,13,16,957.4/- (L5)</t>
  </si>
  <si>
    <t>RCC/ERO/37/2023-24/PT-68</t>
  </si>
  <si>
    <t>Operation and Maintenance contract at CRMB Plant at Haldia</t>
  </si>
  <si>
    <t>BCCC235600</t>
  </si>
  <si>
    <t>Civil, Mechanical, Electrical and Instrumentation works for laying of line from BORROW pit to BTP in Barauni Refinery</t>
  </si>
  <si>
    <t>GEM/2023/B/3790894</t>
  </si>
  <si>
    <t>Annual Rate Contract of Manpower at Project Department of Panipat Refinery and Petrochemical Complex, Panipat</t>
  </si>
  <si>
    <t>Hindustan Aeronautics Limited</t>
  </si>
  <si>
    <t>GEM/2023/B/3788094</t>
  </si>
  <si>
    <t>Service Contract for assistance activities in ASERDC, HAL,Lucknow</t>
  </si>
  <si>
    <t>Pre Bid Meeting is on 28.03.2023</t>
  </si>
  <si>
    <t>Hiring of Engineers for Refinery Turnaround at BPCL Mumbai Refinery</t>
  </si>
  <si>
    <t>1) Aarvi Encon Ltd: Rs. 1,82,08,600.00/- (L1)
2) Intertek India Pvt Ltd: Rs. 4,33,89,400.00/- (L2)</t>
  </si>
  <si>
    <t>GEM/2023/B/3728845</t>
  </si>
  <si>
    <t>Service Contract for Providing Operation &amp; Maintenance Services for Fire &amp; Safety Systems of PC-1 at GAIL Pata</t>
  </si>
  <si>
    <t>Regretted Since the Value of Tender is less than Rs. 10 Lakhs</t>
  </si>
  <si>
    <t>GEM/2023/B/3734117</t>
  </si>
  <si>
    <t>Hiring of Round the Clock Services for Chemical Handling for Unit Area Offsite, Utilities &amp; Storage Area at GPU Vijaipur</t>
  </si>
  <si>
    <t>Regretted Since the Value of Tender is less than Rs. 7 Lakhs</t>
  </si>
  <si>
    <t>Chhara</t>
  </si>
  <si>
    <t>GEM/2023/B/3736632</t>
  </si>
  <si>
    <t>Outsourced Manpower Services (Non-Technical) at HPLNG  Chhara LNG Terminal &amp; Mumbai Head Office</t>
  </si>
  <si>
    <t>BCCM235603</t>
  </si>
  <si>
    <t>Mechanical Piping and other Miscellaneous jobs for Process Scheme jobs in BXP Units, MSQ Units, AVUs and all other Process units at Barauni Refinery</t>
  </si>
  <si>
    <t>Regretted Since Aarvi is not Technically Qualified</t>
  </si>
  <si>
    <t>GEM/2023/B/3767654</t>
  </si>
  <si>
    <t>Housekeeping Services and Office Work Service at Chhara LNG Terminal</t>
  </si>
  <si>
    <t>GEM/2023/B/3766334</t>
  </si>
  <si>
    <t>Assistance in various inspection &amp; Non Destructive Testing (NDT) jobs at Guwahati Refinery</t>
  </si>
  <si>
    <t>Pre Bid Meeting is on 17.03.2023</t>
  </si>
  <si>
    <t>GEM/2023/B/3788175</t>
  </si>
  <si>
    <t>Hiring of Service Contract for Material Handling &amp; Allied Services at C&amp;P Store at Gail, Pata</t>
  </si>
  <si>
    <t>GEM/2023/B/3763701</t>
  </si>
  <si>
    <t>Hiring of Supervising Mechanical Engineers and Safety Engineers/supervisors for Shutdown at Panipat Refinery &amp; Petrochemical complex</t>
  </si>
  <si>
    <t>1) Alpheus Shipping LLC: Rs. 21,75,624.58
2) Aarvi Encon Ltd: Rs. 30,06,741.53</t>
  </si>
  <si>
    <t>GEM/2023/B/3756261</t>
  </si>
  <si>
    <t>Annual Rate Contract for Maintenance Works at Gail USAR</t>
  </si>
  <si>
    <t>Regretted Since there is Union issue at the site</t>
  </si>
  <si>
    <t>GEM/2023/B/3756569</t>
  </si>
  <si>
    <t>1) Promantech Consultants Pvt Ltd: Rs. 87,76,937.27/- (L1)
2) Aarvi Encon Ltd: Rs. 88,40,607.62/- (L2)</t>
  </si>
  <si>
    <t>GAIL/HZR/CNP/FL18C/MECH/23-24</t>
  </si>
  <si>
    <t>ARC for Mechanical Maintenance Task / Activities at Hazira Compressor Station and Ex-Hazira Terminals for Period of Two Years</t>
  </si>
  <si>
    <t>Tushar / Subhash</t>
  </si>
  <si>
    <t>Regretted Since the Job is on Callout Basis</t>
  </si>
  <si>
    <t>Gujarat State Fertilisers &amp; Chemicals</t>
  </si>
  <si>
    <t>GSFC/ENQ/F&amp;F/ AS4/MEI/MAINTENANCE OUTSOURCING/TECHNICAL BID</t>
  </si>
  <si>
    <t>Annual Rate Contract for maintenance activities related to Mechanical, Electrical and Instrumentation departments in AS-IV Plant</t>
  </si>
  <si>
    <t>GEM/2023/B/3755782</t>
  </si>
  <si>
    <t>Manpower Outsourcing Services - Minimum Wage - Unskilled; Others; Mazdoor/Labour , Manpower Outsourcing Services - Minimum Wage - Semi-Skilled; Others; Mazdoor/Labour , Manpower Outsourcing Services - Minimum Wage - Skilled; Other</t>
  </si>
  <si>
    <t>1) Rotodyne Engineering Pvt Ltd: Rs. 20,90,872.88/- (L1)
2) Aarvi Encon Ltd: Rs. 22,99,968.44/- (L2)</t>
  </si>
  <si>
    <t>GEM/2023/B/3715927</t>
  </si>
  <si>
    <t>Hiring of O&amp;M Services for CGD Ranchi For 03 Year</t>
  </si>
  <si>
    <t>Pre-Bid meeting is on 17.04.2023</t>
  </si>
  <si>
    <t>GEM/2023/B/3744466</t>
  </si>
  <si>
    <t>Providing Manpower Service At HR, Finance, Vigilance &amp; Sports Complex</t>
  </si>
  <si>
    <t xml:space="preserve">Regretted Since Aarvi is not Qualified </t>
  </si>
  <si>
    <t>IGL/ET2/CP/CP17572</t>
  </si>
  <si>
    <t>Hiring of Third Party Inspection Services for PNG Operations and Maintenance in Delhi</t>
  </si>
  <si>
    <t>1) Phistream Consulting Private Limited: Rs. 12,90,27,000.95 (L1) [Rs. 0] 
2) ANCHOR OFFSHORE SERVICES LIMITED: Rs. 12,90,27,000.95 (L1) [Rs. 0]
3) HERTZ INSPECTION &amp; SERVICES PRIVATE LIMITED: Rs. 12,91,69,497.60/- (L2) [Rs. 1.73]
4) Aarvi Encon Limited: Rs. 13,09,21,464.95/- (L3) [Rs. 23]
5) Bonace Engineers Private Limited: Rs. 13,19,92,248.95/- (L4) [Rs. 36]
6) TEAM ASSOCIATES: Rs. 13,39,69,080.95/- (L5) [Rs. 60]
7) INTERNATIONAL CERTIFICATION SERVICES PVT LTD: Rs. 14,04,76,152.95/- (L6) [Rs. 139] 
8) Moody International India Private Limited: Rs. 15,77,73,432.95/- (L7) [Rs. 349]
9) RINA India Pvt Ltd: Rs. 16,37,86,296.95/- (L8) [Rs. 422]</t>
  </si>
  <si>
    <t>Petronet LNG Ltd</t>
  </si>
  <si>
    <t>PLL/DHJ/ME/9922/2023-24</t>
  </si>
  <si>
    <t>Annual Rate Contract for Hiring Services for Painting Inspection for a period of Two years" at Petronet LNG Limited-Dahej</t>
  </si>
  <si>
    <t>PLL/DHJ/OP/9909/2023-24</t>
  </si>
  <si>
    <t>ARC for Hiring Services for LNG tanker Loading activities for a period of Two Years at Petronet LNG Ltd</t>
  </si>
  <si>
    <t>Ratnagiri Gas and Power Private Limited</t>
  </si>
  <si>
    <t>GEM/2023/B/3659676</t>
  </si>
  <si>
    <t>Job contract for carrying out operation service activities at RGPPL</t>
  </si>
  <si>
    <t>Regretted Since the Manpower required is not clear and also there are union issues</t>
  </si>
  <si>
    <t>GEM/2023/B/3725835</t>
  </si>
  <si>
    <t>Supervision services for civil maintenance jobs at Haldia Refinery &amp; Haldia Refinery Township</t>
  </si>
  <si>
    <t>1) MZ Engineering: Rs. 47,10,192.37/- (L1)
2) Aarvi Encon Ltd: Rs. 51,91,346.88/- (L2)
3) Rotodyne Engineering Services Pvt Ltd: Rs. 54,53,000/- (L3) 
4) Promantec Consultants Pvt Ltd: Rs. 56,63,877.96/- (L4)</t>
  </si>
  <si>
    <t>2300004435-HB-06600</t>
  </si>
  <si>
    <t>ARC Instrumentation VRMP</t>
  </si>
  <si>
    <t>Regretted Since the Job is based on per unit basis</t>
  </si>
  <si>
    <t>GEM/2023/B/3689211</t>
  </si>
  <si>
    <t>Providing Service Assistants in Administration</t>
  </si>
  <si>
    <t>Regretted Since the Manpower required is for Unskilled Office Work</t>
  </si>
  <si>
    <t>GEM/2023/B/3685440</t>
  </si>
  <si>
    <t>Round the Clock Operational Support Services for RGMC, Gail-Bengaluru</t>
  </si>
  <si>
    <t>Regretted Since the requirement is for only 5 persons</t>
  </si>
  <si>
    <t>Pithampur</t>
  </si>
  <si>
    <t>AGL / Head Office / Contract and Purchase / 11 / 23-24 / ET / 11 [COMPOSITE WORKS-PITHAMPUR]</t>
  </si>
  <si>
    <t>Composite Construction Works pertaining to Construction of New CGS and Mother Station at Pithampur</t>
  </si>
  <si>
    <t>GEM/2023/B/3616119</t>
  </si>
  <si>
    <t>Supply of Manpower for Corporate Office at Metro Bhawan and Other Site Offices of DMRC</t>
  </si>
  <si>
    <t>Assam Gas Company Ltd</t>
  </si>
  <si>
    <t>AGCL/RB/OM/DIB/202324/116/02</t>
  </si>
  <si>
    <t>Hiring Services for Non Comprehensive Operation and Maintenance of Online Electric Motor Driven CNG Compressors Installed at Dibrugarh of AGCL at Upper Assam</t>
  </si>
  <si>
    <t>GEM/2023/B/3644822</t>
  </si>
  <si>
    <t>ARC for Support Services for Reliability Enhancement, Planning &amp; Material Management and Other Miscellaneous Maintenance Jobs of Mech. Maint. Planning Cell at Haldia Refinery</t>
  </si>
  <si>
    <t>1) Rotodyne Engineering Services Pvt Ltd: Rs. 1,08,97,972.88/- (L1)
2) Aarvi Encon Ltd: Rs. 1,16,89,118.64 (L2)
3) MZ Engineering: Rs. 1,22,71,881.15/- (L3) 
4) Promantech Consultants Pvt Ltd: Rs. 1,27,97,276.34/- (L4)</t>
  </si>
  <si>
    <t>HBCH-MPMMCC-HRD-TENDER-Tech and Non-Tech / Tender ID 2023_TMC_717152_1</t>
  </si>
  <si>
    <t>for Manpower Services for Technical and Non-Technical</t>
  </si>
  <si>
    <t>Koyali</t>
  </si>
  <si>
    <t>PWKYT23030</t>
  </si>
  <si>
    <t>Annual Rate Contract for service support for Mechanical Maintenance works at WRPL Koyali and MOV/RCP Stations under Koyali Jurisdiction for 2 years</t>
  </si>
  <si>
    <t>Power Grid Corporation of India Limited</t>
  </si>
  <si>
    <t>Bareilly</t>
  </si>
  <si>
    <t>GEM/2023/B/3551210</t>
  </si>
  <si>
    <t>Manpower AMC Services for Switch-yard &amp; TL Maintenance Works at 765/400 kV Bareilly Substation for a period of 24 Months through GeM</t>
  </si>
  <si>
    <t>IGL/ET2/CP/CM17537 ( Group A: Delhi Region)</t>
  </si>
  <si>
    <t>Hiring of Outsourced Manpower for Fire and Safety Services for Delhi, Uttar Pradesh, Haryana and Rajasthan</t>
  </si>
  <si>
    <t>IGL/ET2/CP/CM17537 ( Group B: Uttar Pradesh Region (Ghaziabad, Noida &amp; Gr. Noida)</t>
  </si>
  <si>
    <t>IGL/ET2/CP/CM17537 (Group C: UTTAR PRADESH REGION (Muzaffarnagar, Shamli, Hapur &amp; Kanpur)</t>
  </si>
  <si>
    <t>IGL/ET2/CP/CM17537 ( Group D: Haryana Region (Gurugram, Rewari, Karnal &amp; Kaithal)</t>
  </si>
  <si>
    <t>IGL/ET2/CP/CM17537 (Group E:  Rajasthan Region (Ajmer, Pali &amp; Rajsamand)</t>
  </si>
  <si>
    <t>Bridge and Roof Company (India) Limited</t>
  </si>
  <si>
    <t>BR/WR/51241/NIT/PLANNING AGENCY/LC/01</t>
  </si>
  <si>
    <t>Engagement of Project Management Associate for Providing Project Management Services, in Connection With “Redevelopment of Udhna Station at Udhna of Mumbai Division in Western Railway”</t>
  </si>
  <si>
    <t>2023_TMC_757915_1</t>
  </si>
  <si>
    <t>Outsourcing of Manpower Services on Contract Basis at Dr B Borooah Cancer Institute</t>
  </si>
  <si>
    <t>GEM/2023/B/3613183</t>
  </si>
  <si>
    <t>Providing Fireman for Fire &amp; Safety Dept. at CPCL-Manali for a Period of 3 Years</t>
  </si>
  <si>
    <t>BHE/PW/PUR/RC-CRN-BRK-RPR/2810</t>
  </si>
  <si>
    <t>Framework Agreement For Engaging The Services of Manpower for Dismantling, Loading, Assembly and Breakdown Repair and Preventive Maintenance of Cranes at Various BHEL Sites</t>
  </si>
  <si>
    <t>GEM/2023/B/3642269</t>
  </si>
  <si>
    <t>Semi-skilled Manpower contract for Miscellaneous Instrumentation jobs for a period of 2(Two) years</t>
  </si>
  <si>
    <t>23000216-HD-10157</t>
  </si>
  <si>
    <t>for Procurement of Technical Manpower Services at Various CGD Sites</t>
  </si>
  <si>
    <t>1) Phistream Consulting Pvt. Ltd: Rs. 8,17,87,020/- (L1) [2.49%]
2) Vishal Expert Services Private Limited: Rs. 8,21,94,000/- (L2) [3%]
3) Sinclus Engineering and Consulting Pvt. Ltd.: Rs. 8,33,51,100/- (L3) [4.45%]
4) Aarvi Encon Limited.: Rs. 8,49,87,000/- (L4) [6.50%] 
5) Resonance Energy Private Limited.: Rs. 9,41,64,000/- (L5) [18%]
6) International Certification Services Pvt. Ltd.: Rs. 9,56,80,200/- (L6) [19.90%]</t>
  </si>
  <si>
    <t>GMDC/HR/0623/2023</t>
  </si>
  <si>
    <t>Providing Technical Manpower on Outsourcing Basis To Gujarat Mineral Development Corporation Ltd</t>
  </si>
  <si>
    <t>GMDC/HR/0623-A/2023</t>
  </si>
  <si>
    <t>Providing Non-Technical Manpower on Outsourcing Basis To Gujarat Mineral Development Corporation</t>
  </si>
  <si>
    <t>Indian Institute of Management Tiruchirappali</t>
  </si>
  <si>
    <t>Tiruchirappali</t>
  </si>
  <si>
    <t>23SP097T</t>
  </si>
  <si>
    <t>Tender for Providing Manpower Services to Tiruchirappalli and Chennai Campuses of IIM Tiruchirappalli</t>
  </si>
  <si>
    <t>telangana</t>
  </si>
  <si>
    <t>BEL_HYD-EWLS-ES-2023-001</t>
  </si>
  <si>
    <t>Supply of Contract Manpower for Skill Works or Services at Bharat Electronics Electronics Ltd I E Nacharam Hyderabad 500076 and Bharat Electronics Electronics Ltd Khalsa Village Ibrahimpatnam Rangareddy District Telangana</t>
  </si>
  <si>
    <t>GC23ITT062</t>
  </si>
  <si>
    <t>Annual Rate Contract (ARC) for miscellaneous Instrumentation Jobs (Field works) at Guwahati Refinery</t>
  </si>
  <si>
    <t xml:space="preserve">Indian Rare Earth Limited </t>
  </si>
  <si>
    <t>REEP</t>
  </si>
  <si>
    <t>36/22687</t>
  </si>
  <si>
    <t>AMC for Mechanical Maintenance for REEP</t>
  </si>
  <si>
    <t>Garden Reach Shipbuilders and Engineers</t>
  </si>
  <si>
    <t>GEM/2023/B/3517186</t>
  </si>
  <si>
    <t>Hiring Inspection Assistance in Ship Building at Pune</t>
  </si>
  <si>
    <t>Engineering Projects (India) Ltd</t>
  </si>
  <si>
    <t>WRO/CON/MSA/319
(GEM/2023/B/3579866)</t>
  </si>
  <si>
    <t>Engagement of Manpower Supply Agency for supplying of Highly Skilled, Skilled, Semi-Skilled &amp; Unskilled manpower on Temporary basis under WRO Mumbai and its Controlling Sites in different states</t>
  </si>
  <si>
    <t>1) All Services Global Private Ltd: Rs. 1,97,55,015.92/- (L1)
2) Aarvi Encon Ltd: Rs. 2,04,69,989.83/- (L2)</t>
  </si>
  <si>
    <t>MNGL/CP/2023-24/41</t>
  </si>
  <si>
    <t>for hiring Contractual Manpower for O and M activities for the period of 02 (Two) years for MNGL, Pune</t>
  </si>
  <si>
    <t>GEM/2023/B/3612707</t>
  </si>
  <si>
    <t>for Manpower Assistance to Instrumentation Department for Shutdown Jobs at Bongaigaon Refinery</t>
  </si>
  <si>
    <t>Providing office assistant, mailing services, courier services, data entry services etc. at MRPL</t>
  </si>
  <si>
    <t>1) Dhanlaxmi Constructions: Rs. 3,58,82,802.55/- (L1) [4.99%]
2) VRS Manpower and Security Service Pvt Ltd: Rs. 3,58,85,786.88/- (L2) [5%]
3) Sinclus Engineering and Consulting Pvt Ltd: Rs. 3,63,93,121.37/- (L3) [6.70%]
4) Aarvi Encon Ltd: Rs. 3,85,83,612.66/- (L4) [14.04%]</t>
  </si>
  <si>
    <t>PHBTS23008</t>
  </si>
  <si>
    <t>Annual Rate Contract for miscellaneous Civil Maintenance, Support Services for Mechanical, Electrical, T and I and OWS Operation inside ERPL Haldia station</t>
  </si>
  <si>
    <t>Keshod</t>
  </si>
  <si>
    <t>WRCC/2023-24/PT/34</t>
  </si>
  <si>
    <t>Outsourcing of Operations and Maintenance of Aviation Fuel Station (AFS) at Keshod</t>
  </si>
  <si>
    <t>Regretted Since It is ARC with Procurement of Materials</t>
  </si>
  <si>
    <t>GEM/2023/B/3603008</t>
  </si>
  <si>
    <t xml:space="preserve"> 2 Year AMC for Supply of Safety Supervisors for Maintenance Offsite</t>
  </si>
  <si>
    <t>1) Cosomos Engineering Project Services Pvt Ltd: Rs. 38,39,969.49/- (L1)
2) Varun Hitech Engineering Services Pvt Ltd: Rs. 38,44,783.05/- (L2)
3) Anand Constructions: Rs. 42,71,186.44/- (L3)
4) K Babu Rao Engineering Works: Rs. 54,59,000.00/- (L4)
5) Aarvi Encon Ltd: Rs. 62,33,347.95/- (L5)</t>
  </si>
  <si>
    <t>Gujarat State Petronet Ltd</t>
  </si>
  <si>
    <t>GSPL/PROC/2023/05/O/344</t>
  </si>
  <si>
    <t>Appointment of Contractor for Comprehensive Maintenance Services for Rajkot  Base and Surat Base of GSPL Gas Grid</t>
  </si>
  <si>
    <t>GC23MLT046</t>
  </si>
  <si>
    <t>Turnaround maintenance jobs in Guwahati Refinery during shutdown</t>
  </si>
  <si>
    <t>for ARC for carrying out maintenance jobs during shutdowns of Ph-3 refinery units,  HCU-1, HYD-1, CPP-1, 2 &amp; 3 boiler annual turnaround, ETP-1,2&amp;3 and emergency shutdown etc</t>
  </si>
  <si>
    <t>IGL/ET2/CP/CP17554</t>
  </si>
  <si>
    <t>Rate Contract for Hiring Supervision, Inspection and Other Support Services for PNG</t>
  </si>
  <si>
    <t>1) Sree Sai Enterprises: Rs. 1,40,85,242.99/- (L1) [0%]
2) Cosmos Systems: Rs. 1,40,85,242.99/- (L1) [0%]
3) Cordant Engineerings India Limited: Rs. 1,40,85,242.99/- (L1) [0%]
4) Aarvi Encon Limited: Rs. 1,42,85,750.99/- (L2) [20%] 
5) Phistream Consulting Private Limited: Rs. 1,46,76,250.55/- (L3) [55%]
6) Desai Energy_LLP: Rs. 1,60,39,172.99/- (L4) [200%]</t>
  </si>
  <si>
    <t>RPRC236182</t>
  </si>
  <si>
    <t>for Deployment of Inspection Engineers for providing assistance in inspection jobs during shutdowns at PR</t>
  </si>
  <si>
    <t>Hiring of Contract Engineer resources for Turnaround 2023 for Refinery and Aromatic complex</t>
  </si>
  <si>
    <t>1) Sinclus Engineering and Consulting Pvt Ltd: Rs. 1,43,23,525.72/- (L1) [-4.71%] 
2) MZ Engineering: Rs. 2,17,97,976.81/- (L2) [45%]
3) Aarvi Encon Ltd: Rs. 2,26,77,412.43/- (L3) [50.85%]
4) Bonace Engineers Pvt Ltd: Rs. 2,74,80,483.87/- (L4) [82.80%]</t>
  </si>
  <si>
    <t>3900000773 and 3900000775</t>
  </si>
  <si>
    <t>Service Contract for Deployment of Safety &amp; Scaffolding Supervisors During Turnaround of Refinery and Aromatic Complex Planned in Aug/Sep 2023</t>
  </si>
  <si>
    <t>1) Sinclus Engineering and Consulting Pvt Ltd: Rs. 1,50,20,038.13/- (L1) [+4.54%]
2) Aarvi Encon Ltd: Rs. 2,48,67,689.49/- (L2) [73.08%]
3) Bonace Engineers Pvt Ltd: Rs. 3,58,33,150.90/- (L3) [+149.40%]</t>
  </si>
  <si>
    <t>GEM/2023/B/3559807</t>
  </si>
  <si>
    <t>Housekeeping and Operational Assistance Services in Refinery - I Areas of Bongaigaon Refinery, IOCL</t>
  </si>
  <si>
    <t>GEM/2023/B/3505172</t>
  </si>
  <si>
    <t>for Operation and maintenance services of ETP, BTP and TTP (BTP RO) plant at Barauni Refinery</t>
  </si>
  <si>
    <t>Pre Bid Meeting is on 12.05.2023</t>
  </si>
  <si>
    <t>Nagapattinam</t>
  </si>
  <si>
    <t>CPCL CBRP 1423</t>
  </si>
  <si>
    <t>Service Assistance Contract for Maintenance of Project Site areas and Muttam Health Centre and Liaisoning with District Revenue Office and District Collectorate Office for CPCLs CBR Project in Nagapattinam</t>
  </si>
  <si>
    <t>WRPL/MUN/TS/2023-24/15</t>
  </si>
  <si>
    <t>Rate Contract for Tank Farm Preventive Maintenance at WRPL, Mundra</t>
  </si>
  <si>
    <t>Regretted Since Aarvi is not qualified</t>
  </si>
  <si>
    <t>GEM/2023/B/3486138</t>
  </si>
  <si>
    <t>Hiring Of Operational Assistance Service Contract for C2C3 &amp; LPG Plant (IOPS &amp; Unit Area) at Gail Vijaipur</t>
  </si>
  <si>
    <t>1) M/s. Sheetal Prasad Contractor: Rs. 6,01,31,435.84/- (L1)
2) UPCEM Engineering &amp; Consultancy Pvt Ltd: Rs. 6,01,31,435.84/- (L1)
3) Aarvi Encon Ltd: Rs. 6,01,31,435.84/- (L1) 
4) Shubraj Tech Pvt Ltd: Rs. 6,01,31,435.88/- (L2) 
5) Global SS Construction Pvt Ltd: Rs. 6,01,31,435.88/- (L3)
6) Sigachi Industries Ltd: Rs. 8,10,43,844.15/- (L4)</t>
  </si>
  <si>
    <t>Integrated Maintenance and Operation Contract for Pipelines Western Region (Section 1), Central Region (Section 2) and Northern Region (Section 3)</t>
  </si>
  <si>
    <t>BGL/572/2023-24</t>
  </si>
  <si>
    <t>for Hiring of Support services for Operation and Maintenance of various CNG Stations of BGL in Hyderabad GA</t>
  </si>
  <si>
    <t>GEM/2023/B/3392833</t>
  </si>
  <si>
    <t>Forecourt operation to run CGS cum Mother station at Chhotrapur, Jajpur GA</t>
  </si>
  <si>
    <t>GEM/2023/B/3505307</t>
  </si>
  <si>
    <t>Rate Contract for Rotary Equipment Maintenance in BPCL Kochi Refinery” for a Period of Two (2) Years</t>
  </si>
  <si>
    <t>Gujarat Gas Ltd</t>
  </si>
  <si>
    <t>Construction Supervision services for Project sites/ facilities across GGL - Zone 2</t>
  </si>
  <si>
    <t>Construction Supervision services for Project sites/ facilities across GGL - Zone 3</t>
  </si>
  <si>
    <t>Construction Supervision services for Project sites/ facilities across GGL - Zone 4</t>
  </si>
  <si>
    <t>Construction Supervision services for Project sites/ facilities across GGL - Zone 5</t>
  </si>
  <si>
    <t>Construction Supervision services for Project sites/ facilities across GGL - Zone 6</t>
  </si>
  <si>
    <t>Construction Supervision services for Project sites/ facilities across GGL - Zone 1</t>
  </si>
  <si>
    <t>GEM/2023/B/3518749</t>
  </si>
  <si>
    <t>Tender for Annual Rate Contractor for Providing Manpower at our various locations in Delhi / NCR</t>
  </si>
  <si>
    <t xml:space="preserve">1) Covoy Secure Limited: Rs. 1,50,66,364.55/- (L1)
2) Helpline Facility Management Pvt Ltd: Rs. 1,50,66,364.55/- (L1)
3) L. B. Bonafide Pvt Ltd: Rs. 1,50,66,364.55/- (L1)
4) Laxmi Chand and Sons: Rs. 1,50,66,364.55/- (L1)
5) Good House Keeping: Rs. 1,50,66,364.55/- (L1)
6) Sahu Brothers: Rs. 1,55,54,769.48/- (L2)
7) Aarvi Encon Ltd: Rs. 1,55,67,134.16/- (L3) </t>
  </si>
  <si>
    <t>GAIL/PATA/CNP/20111938/RK</t>
  </si>
  <si>
    <t>Hiring Of Contract For Providing Operational Assistance Services In ISBL and OSBL Plant at PTA Project Site at Mangalore, JBF Petrochemicals Limited, Mangalore</t>
  </si>
  <si>
    <t>CPCL-CBRP 1023 (2023_DGMMC_9071_1)</t>
  </si>
  <si>
    <t>Service Assistance Contract for Maintenance of Project Site areas &amp; Muttam Health Centre (Part-A) and Liaisoning with District Revenue Office &amp; District Collectorate Office (Part-B) for CPCL’s CBR Project in Nagapattinam</t>
  </si>
  <si>
    <t>Aarvi is not qualified for the same.</t>
  </si>
  <si>
    <t>Karaikudi</t>
  </si>
  <si>
    <t>CECRI GEN 02/2023</t>
  </si>
  <si>
    <t>Providing Highly Skilled, Skilled, Semi-Skilled and Unskilled manpower for CSIR CECRI, Karaikudi and its Unit at Mandapam</t>
  </si>
  <si>
    <t>HURL/BR/CC/23-24/540</t>
  </si>
  <si>
    <t>Supply of unskilled manpower for assisting in sample collections and miscellaneous jobs in chemical laboratory at HURL Barauni</t>
  </si>
  <si>
    <t>Scope of Tender is not Clear and Clarification received are not adequate</t>
  </si>
  <si>
    <t>Gujarat Alkalies and Chemicals Ltd</t>
  </si>
  <si>
    <t xml:space="preserve"> Maintenance Contract of 33870 TPA Purified Phosphoric
Acid (PPA)plant at Dahej</t>
  </si>
  <si>
    <t>23000004-HB-14664</t>
  </si>
  <si>
    <t>Supply of Contract Engineer at HPCL Budge Budge lube plant</t>
  </si>
  <si>
    <t>Balmer Lawrie &amp; Co</t>
  </si>
  <si>
    <t>ROFS/2K23/02/ENQ/01</t>
  </si>
  <si>
    <t>Supply of Manpower for Processing of Oily Sludge at  ONGC, ASSAM ASSET GELEKI, ASSAM</t>
  </si>
  <si>
    <t>Pre bid Meeting is on 24.05.2023</t>
  </si>
  <si>
    <t>GAIL/JBF/20111830/PSN</t>
  </si>
  <si>
    <t>Hiring of Services for Revival And Commissioning of PTA Plant (JBF Petrochemicals Limited, Mangalore)</t>
  </si>
  <si>
    <t>RFQ 7026785</t>
  </si>
  <si>
    <t>Hiring of Mechanical Engineers" at HPL Complex, Haldia</t>
  </si>
  <si>
    <t>Ministry of Railway</t>
  </si>
  <si>
    <t>GEM/2023/B/3443385</t>
  </si>
  <si>
    <t>for Outsourcing of escorting for primary based Garib Rath trains- T/s 12215/16  (DEE-BDTS), T/s - 22405/06 (Delhi Anand Vihar-Bhagalpur), T/s -12212/11 (Delhi Anand Vihar –Muzaffarpur), T/s - 22410/09 (Delhi Anand Vihar - Sasaram) and train no. 12436/35 Delhi Anand Vihar- JYG Garib Rath for three years</t>
  </si>
  <si>
    <t>The Fertiliser and Chemicals Travancore Ltd</t>
  </si>
  <si>
    <t>MM/180/E27442</t>
  </si>
  <si>
    <t>Manpower Supply To Fact on Contract Basis for Two Years</t>
  </si>
  <si>
    <t>Regretted Since requirement is for Blue collar workers wherein union is involved</t>
  </si>
  <si>
    <t>GAIL/JBF/20111926/RSG</t>
  </si>
  <si>
    <t>Hiring of Services for Instrumentation Maintenance Jobs for Pre-Commissioning and Commissioning Activities at JBF Petrochemicals Limited, Mangaluru, MSEZ</t>
  </si>
  <si>
    <t>GEM/2023/B/3470484</t>
  </si>
  <si>
    <t>Agency for hiring of manpower for electrical safety supervisory services for different jobs in various units of PRPC Complex.</t>
  </si>
  <si>
    <t>GEM/2023/B/3491360</t>
  </si>
  <si>
    <t>Hiring of agency for Providing Manpower, Infrastructure, Logistics &amp; Technical support for the works in Ajmer Regions, Rajasthan</t>
  </si>
  <si>
    <t>GEM/2023/B/3493600</t>
  </si>
  <si>
    <t>Annual Rate Contract for Service Assistance to CBR Project Department at CPCL’s Corporate Office, Chennai, Tamilnadu</t>
  </si>
  <si>
    <t>Regretted Since the Value is less than 15 Lakhs</t>
  </si>
  <si>
    <t>GEM/2023/B/3426889</t>
  </si>
  <si>
    <t>Rate Contract for Instrumentation Maintenance Service Support at STF and Jetty for a Period of 2 Years in BPCL Kochi Refinery</t>
  </si>
  <si>
    <t>Regretted Since at Union issue at STF</t>
  </si>
  <si>
    <t>MNGL/CP/2023-24/23</t>
  </si>
  <si>
    <t>Rate Contract for the period of two years for appointment of agency for providing watch and ward services for CNG &amp; City Gas Distribution Project of MNGL for Nanded and Nizamabad</t>
  </si>
  <si>
    <t>GEM/2023/B/3477211</t>
  </si>
  <si>
    <t>To provide CAD services for Engineering Schemes handled by MES division</t>
  </si>
  <si>
    <t>Regretted Since the SOR is based on per Drawing</t>
  </si>
  <si>
    <t>GEM/2023/B/3413091</t>
  </si>
  <si>
    <t>Annual Rate Contract for Providing ManPower Support Services For Day to Day Maintenance of Electrical System of Bongaigaon Refinery</t>
  </si>
  <si>
    <t>1) Jai Jyoti Electricals: Rs. 6,38,13,559.32/- (L1)
2) M/s. H &amp; J Brahma Engineering: Rs. 6,64,21,328.81/- (L2)
3) T &amp; C Engineers Pvt Ltd: Rs. 6,71,01,694.91/- (L3) 
Aarvi is Technically Qualified</t>
  </si>
  <si>
    <t>GEM/2023/B/3416510</t>
  </si>
  <si>
    <t>Hiring of Operational Assistance for Upkeeping of Steam System and Power Plant for 02 Years Period in PC-1&amp;2 at Gail Pata</t>
  </si>
  <si>
    <t>Regretted as Aarvi is not Qualified</t>
  </si>
  <si>
    <t>HURL/Sindri/CnM/23-24/203</t>
  </si>
  <si>
    <t>Manpower Services along with supply of tools and tackles for Instrumentation maintenance job during predictive, preventive, shutdown and daily routine maintenance for Two (02) years at HURL, Sindri Project</t>
  </si>
  <si>
    <t>GEM/2023/B/3429103</t>
  </si>
  <si>
    <t>Supply of skilled rigger, supervisor and safety officer for carrying out rigging jobs  during shutdowns in refinery units</t>
  </si>
  <si>
    <t>23000124-HB-48002</t>
  </si>
  <si>
    <t>Data Entry Services Warehouse</t>
  </si>
  <si>
    <t>1) Robarant Engineering Works Pvt Ltd: Rs. 36,14,787.79/- (L1) [-0.252%]
2) Bonace Engineers Pvt Ltd: Rs. 39,50,160/- (L2) [9%]
3) Aarvi Encon Ltd: Rs. 39,86,400/- (L3) [10%]
4) D. V. Constructions: Rs. 50,73,600/- (L4) [40%]</t>
  </si>
  <si>
    <t>GEM/2023/B/3439643</t>
  </si>
  <si>
    <t>Tender for Aviation Refuelling Manpower Services at HPCL Goa ASF</t>
  </si>
  <si>
    <t>23000005-HB-11992</t>
  </si>
  <si>
    <t>Project Supervision Jobs at VNWOT</t>
  </si>
  <si>
    <t xml:space="preserve">GEM/2023/B/3417641 </t>
  </si>
  <si>
    <t>Outsourcing of CO Boiler and waste heat boilers operations at FCCU &amp; CCU</t>
  </si>
  <si>
    <t xml:space="preserve">GEM/2023/B/3411360 </t>
  </si>
  <si>
    <t>Hiring for Service Contract for Internal Cleaning of Vessels &amp; Columns and Miscellaneous Jobs in GCU-I &amp; GCU-II Unit at Gail, Pata</t>
  </si>
  <si>
    <t>Pre Bid Meeting is on 13.06.2023</t>
  </si>
  <si>
    <t>GAIL/NOIDA/CNP/ONM/22240</t>
  </si>
  <si>
    <t>Engagement of Third Party Inspection Agency (TPIA) for Quality Surveillance of Different O And M Activities on ARC Basis for Two (02) Years</t>
  </si>
  <si>
    <t>GEM/2023/B/3422330</t>
  </si>
  <si>
    <t>Supply of Manpower to CSIR-NIO, Goa and its Regional Centres at Kochi, Visakhapatnam and Mumbai</t>
  </si>
  <si>
    <t>GEM/2023/B/3420509</t>
  </si>
  <si>
    <t>Tender for Inspection Engineering Service as per specification</t>
  </si>
  <si>
    <t>Rs. 2,86,880/-</t>
  </si>
  <si>
    <t>1) EW Inspection and NDT Pvt Ltd: Rs. 1,18,13,430/- (L1)
2) COSMOS Engineering Project Services Pvt Ltd: Rs. 1,24,52,500/- (L2)
3) MSK Manpower Consultancy: Rs. 1,29,83,004.23/- (L3)
4) Aarvi Encon Ltd: Rs. 1,60,37,633.86/- (L4)</t>
  </si>
  <si>
    <t>Indian Synthetic Rubber  Pvt. Ltd</t>
  </si>
  <si>
    <t>ARC for Supply of Manpower for Mechanical Equipment Maintenance and Work shop Manpower (Rotary Equipments)</t>
  </si>
  <si>
    <t>PLL/DHJ/HR/9849/2023</t>
  </si>
  <si>
    <t>Monthly one day in house safety training.</t>
  </si>
  <si>
    <t>23000170-HB-48002</t>
  </si>
  <si>
    <t>Documentation Services at Finance Dept at HPCL MR</t>
  </si>
  <si>
    <t>1) Krishna Garden: Rs. 10,58,000/- (L1)
2) Sinclus Engg: Rs. 12,17,400/- (L2)
3) Aarvi Encon Ltd: Rs. 14,22,065.5/- (L3)
4) Robarant Engg: Rs. 25,28.596/- (L4)
5) D. V. Const: Rs. 28,36,750/- (L5)</t>
  </si>
  <si>
    <t>Statkraft India Pvt Ltd</t>
  </si>
  <si>
    <t>RFQ 1618</t>
  </si>
  <si>
    <t>Mihir Manpower Supply</t>
  </si>
  <si>
    <t>Pre Bid Meeting is on 20.06.2023</t>
  </si>
  <si>
    <t>Saipem Chennai</t>
  </si>
  <si>
    <t>Manpower Insourcing (2 Years) - SIP Chennai Office - Frame Agreement</t>
  </si>
  <si>
    <t>GEM/2023/B/3367555</t>
  </si>
  <si>
    <t>Hiring of Service Contract for Support and Allied Services at Gail, Pata</t>
  </si>
  <si>
    <t>GEM/2023/B/3381243</t>
  </si>
  <si>
    <t>Hiring of Services for Providing O&amp;M Support Services for CNG Stations for a Period of Three (03) Years for Gail Gas Limited Bengaluru</t>
  </si>
  <si>
    <t>GEM/2023/B/3400671</t>
  </si>
  <si>
    <t>Rendering services of supervising Engineers for Project jobs at Gujarat Refinery.</t>
  </si>
  <si>
    <t>GEM/2023/B/3380595</t>
  </si>
  <si>
    <t>Providing Services of Revenue Staff at Pipelines, Bina for Assistance to Competent Authority (CA), Madhya Pradesh (M.P.)</t>
  </si>
  <si>
    <t>23000087-HB-48002</t>
  </si>
  <si>
    <t>Order for BPSTG Operation</t>
  </si>
  <si>
    <t>Arcellor Mittal Nippon Steel</t>
  </si>
  <si>
    <t>Requirement of Utility Manpower for CRM#2</t>
  </si>
  <si>
    <t>Navi Mumbai</t>
  </si>
  <si>
    <t>GEM/2023/B/3363602</t>
  </si>
  <si>
    <t>Hiring of Third Party Inspection Services Agency for various O&amp;M Civil works under GAIL Maharashtra region</t>
  </si>
  <si>
    <t>Pre Bid Meeting is on 27.06.2023</t>
  </si>
  <si>
    <t>GEM/2023/B/3397732</t>
  </si>
  <si>
    <t>Hiring of Manpower For Effluent Treatment Plant Operation At Bongaigaon Refinery</t>
  </si>
  <si>
    <t>Gaziabad</t>
  </si>
  <si>
    <t>BELGAD_SCCS_CON_2023</t>
  </si>
  <si>
    <t>Job Contract for providing Technical and Non-Technical services for SCCS</t>
  </si>
  <si>
    <t>Pre Bid Meeting is on 05.07.2023</t>
  </si>
  <si>
    <t>Oil &amp; Natural Gas Corporation Limited</t>
  </si>
  <si>
    <t>GEM/2023/B/3359525</t>
  </si>
  <si>
    <t>Providing O &amp; M services for Mechanical, Electrical, Instrumentation and process facilities and Deck cranes and cargo handling at PLQP and DDW1</t>
  </si>
  <si>
    <t>1) T&amp;C Engineering: Rs. 5,64,40,677.96/- (L1)
2) Prumatech Services Pvt Ltd: Rs. 5,65,51,806.77/- (L2)
3) South Asia Consultancy: Rs. 5,83,62,708.33/- (L3)
4) Sombansi Enviro Engg Pvt Ltd: Rs. 5,93,22,033.89/- (L4)
5) Sri Ram Traders: Rs. 6,93,48,814.28/- (L5)
6) Aarvi Encon Ltd: Rs. 7,75,52,178.88/- (L6)
7) Lakshya Powertech Pvt Ltd: Rs. 8,41,81,587.28/- (L7)</t>
  </si>
  <si>
    <t>23000001-HB-11992</t>
  </si>
  <si>
    <t>Project Supervision Works at White Oil Terminal, Visakhapatnam, HPCL</t>
  </si>
  <si>
    <t>GEM/2023/B/3368556</t>
  </si>
  <si>
    <t>Hiring of Support Services for Revenue Related Works for Mainline Bihar</t>
  </si>
  <si>
    <t>Regretted Since the Value of Work is less than 15 Lakhs</t>
  </si>
  <si>
    <t>Vadinar</t>
  </si>
  <si>
    <t>PWVDT23005</t>
  </si>
  <si>
    <t>Annual Rate Contract for Tank Farm Maintenance at IOCL, WRPL, Vadinar</t>
  </si>
  <si>
    <t>Wapcos</t>
  </si>
  <si>
    <t>Manipur</t>
  </si>
  <si>
    <t>GEM/2023/B/3391964</t>
  </si>
  <si>
    <t>Hiring of Agency for engagement of manpower for the supervision of  infrastructure projects in Manipur</t>
  </si>
  <si>
    <t>Regretted Since it is in North East State</t>
  </si>
  <si>
    <t>GEM/2023/B/3389510</t>
  </si>
  <si>
    <t>Tender for Annual Rate Contract for Civil Jobs at MRPL and CISF Township</t>
  </si>
  <si>
    <t>Khera</t>
  </si>
  <si>
    <t>GEM/2023/B/3354400</t>
  </si>
  <si>
    <t>Hiring of Contract Services for Technical Maintenance, Operational Services and Up-keeping Services of HVJ and DVPL Network Pipelines and Terminals under GAIL Khera Region for a Contract Period of Two Years</t>
  </si>
  <si>
    <t>Pre Bid Meeting is on 04.07.2023</t>
  </si>
  <si>
    <t>GEM/2023/B/3396931</t>
  </si>
  <si>
    <t>Housekeeping &amp; Office Management Services at MRPL Mumbai Office</t>
  </si>
  <si>
    <t>Pre Bid Meeting is on 11.07.2023</t>
  </si>
  <si>
    <t>Wapcos Limited</t>
  </si>
  <si>
    <t>Bhopal</t>
  </si>
  <si>
    <t>GEM/2023/B/3359699</t>
  </si>
  <si>
    <t>NIT for Providing services of Placement agencies for development of Manpower as per the requirement of MPPHED.</t>
  </si>
  <si>
    <t>1) Lions Engineering Consultants Pvt Ltd: Rs. 20,14,92,000/- (L1)
Aarvi was technically disqualified</t>
  </si>
  <si>
    <t>GEM/2023/B/3343281</t>
  </si>
  <si>
    <t>Pre Bid Meeting is on 07.07.2023</t>
  </si>
  <si>
    <t>BCPL/C&amp;P/LE23W018SD/02763</t>
  </si>
  <si>
    <t>Hiring of Mechanical Manpower Services for Annual Turn Around Planned in 2023 for BCPL Lepetkata</t>
  </si>
  <si>
    <t>HBCH/MPMMCC/HRD/01</t>
  </si>
  <si>
    <t>Outsourcing of manpower services under Technical and Non-Technical Category on contract basis</t>
  </si>
  <si>
    <t>Indian Oil-Adani Gas Private Limited</t>
  </si>
  <si>
    <t>Daman</t>
  </si>
  <si>
    <t>IOAGPL/O&amp;M/OPEN/2023-24/08
(Tender ID 2023_AGPL_152043_1)</t>
  </si>
  <si>
    <t>Annual Rate Contract for PE-PNG Operation and Maintenance Works at IOAGPL Daman</t>
  </si>
  <si>
    <t>IOAGPL/O&amp;M/OPEN/2023-24/08 (Tender ID 2023_AGPL_152043_2)</t>
  </si>
  <si>
    <t>Annual Rate Contract for PE-PNG Operation and Maintenance Works at IOAGPL Panipat</t>
  </si>
  <si>
    <t>PLLDELHR000192023</t>
  </si>
  <si>
    <t>for Providing Manpower Services in CSR</t>
  </si>
  <si>
    <t>GEM/2023/B/3346269</t>
  </si>
  <si>
    <t>Tender for Rendering Support services on round the clock basis for Maintenance of Coke cutting system &amp; Bridge crane in Phase-3 DCU</t>
  </si>
  <si>
    <t xml:space="preserve">Regretted Since Aarvi is not qualified </t>
  </si>
  <si>
    <t>GEM/2023/B/3350732</t>
  </si>
  <si>
    <t>Hiring of Services for Support &amp; Peripheral Services at Gail, KKBMPL Kochi</t>
  </si>
  <si>
    <t>BBCI/TMC/GUWAHATI/GEN-449/1293/2023
(2023_TMC_747997_1</t>
  </si>
  <si>
    <t>Outsourcing of manpower services on contract basis at Dr. Bhubaneswar Borooah Cancer Institute</t>
  </si>
  <si>
    <t>PLCC/KGPL/CON/23003
(2023_PLHO_165092_1)</t>
  </si>
  <si>
    <t xml:space="preserve">Engagement of Supervising Agency for Day-to-Day Supervision of Pipeline Construction for Quality Surveillance and Conformity Assessment in Kandla Gorakhpur LPG Pipeline Project Supervising Agency 
1) Group A1 - Gujarat </t>
  </si>
  <si>
    <t>PLCC/KGPL/CON/23003
(2023_PLHO_165092_2)</t>
  </si>
  <si>
    <t>Engagement of Supervising Agency for Day-to-Day Supervision of Pipeline Construction for Quality Surveillance and Conformity Assessment in Kandla Gorakhpur LPG Pipeline Project Supervising Agency 
1) Group B1 - Madhya Pradesh</t>
  </si>
  <si>
    <t>Pre Bid Meeting is on 10.07.2023</t>
  </si>
  <si>
    <t>PLCC/KGPL/CON/23003
(2023_PLHO_165092_3)</t>
  </si>
  <si>
    <t>Engagement of Supervising Agency for Day-to-Day Supervision of Pipeline Construction for Quality Surveillance and Conformity Assessment in Kandla Gorakhpur LPG Pipeline Project Supervising Agency 
1) Group C1 - Uttar Pradesh</t>
  </si>
  <si>
    <t>HELSK23012</t>
  </si>
  <si>
    <t>Assistance in Maintenance jobs at Haldia Refinery</t>
  </si>
  <si>
    <t xml:space="preserve">Electronics Corporation of India </t>
  </si>
  <si>
    <t>Kaiga</t>
  </si>
  <si>
    <t>CSD_56-05-6420</t>
  </si>
  <si>
    <t>Hiring of Skilled and Semi-Skilled Manpower at NPCIL, Kaiga</t>
  </si>
  <si>
    <t>GEM/2023/B/3322541</t>
  </si>
  <si>
    <t>Assistance in Round-the-Clock Terminal Operations of NRMT</t>
  </si>
  <si>
    <t>1) Ramen Kumar Phukon: Rs. 2,21,66,587.79/- (L1)
2) Aaarvi Encon Ltd: Rs. 2,21,66,587.79/- (L1)
3) Badrul Ali: Rs. 2,21,66,587.79/- (L1)
4) M k Agarwalla: Rs. 2,21,66,587.79/- (L1)
5) D. P. Traders: Rs. 2,21,66,587.79/= (L1)
6) Nityanand Bros: Rs. 2,21,66,587.79/- (L1)
7) Bishwajit Deb: Rs. 2,21,66,587.79/- (L1)
8) North East Energy Services: Rs. 2,21,66,587.79/- (L1)
9) Hydro Pneumatic Engineer (HYD) Pvt Ltd: Rs. 2,32,01,028.56/- (L2)
10) Petrotech: Rs. 2,41,00,358.69/- (L3)</t>
  </si>
  <si>
    <t>GEM/2023/B/3330190</t>
  </si>
  <si>
    <t>Hiring of O&amp;M Support Services of Round The Clock and G-Shift Duties at Terminals and Maintenance Bases Under Dibiyapur Region for 02 Years</t>
  </si>
  <si>
    <t>GEM/2023/B/3290739</t>
  </si>
  <si>
    <t>Housekeeping &amp; Operation Assistance Contract at Automatic Slabbing and Packing Unit, Wax Plant, NRL</t>
  </si>
  <si>
    <t>HURL/HQ/CS281</t>
  </si>
  <si>
    <t>Sap Application Management Services and Manpower Support for HURL for One Year</t>
  </si>
  <si>
    <t>Regretted Since Job is for Un Skilled Labour</t>
  </si>
  <si>
    <t>2321C00220</t>
  </si>
  <si>
    <t>Hiring of Agency for supply of Manpower for Managing Non-core Activities (Back  office jobs) of OPaL</t>
  </si>
  <si>
    <t>23000019-HD-46009</t>
  </si>
  <si>
    <t>Operation &amp; Monitoring of DMP's</t>
  </si>
  <si>
    <t>GEM/2023/B/3322979</t>
  </si>
  <si>
    <t>Hiring of O&amp;M Support Services of Round the Clock And G-Shift Duties at Terminals and Maintenance Bases Under Dibiyapur Region for 02 Years</t>
  </si>
  <si>
    <t>1) Nice International Limited: Rs. 2,58,04,853.05/- (L1)
2) Sheetal Prasad Contractor: Rs. 2,58,04,853.05/- (L1)
3) Magin Construction Company: Rs. 2,58,04,853.05/- (L1)
4) Venturer Engineers: Rs. 2,58,04,853.05/- (L1)
5) Aarvi Encon Ltd 3,04,49,726.61/- (L2)
6) Integrated Telnet Services &amp; Contracts: Rs. 3,04,49,726.61/- (L2)
7) OBUL Consultancy and Contracts Pvt Ltd: Rs. 3,04,49,726.61/- (L2)
8) AV Gangadharan Hospitality and HR Services LLP: Rs. 3,04,49,726.61/- (L2)
9) Mehra Engineering: Rs. 4,44,06,180/- (L3)
10) Knowteq Concepts Pvt Ltd: Rs. 4,98,56,271.90/- (L4)</t>
  </si>
  <si>
    <t>GEM/2023/B/3322990</t>
  </si>
  <si>
    <t>1) Nice International Limited: Rs. 2,58,04,853.05/- (L1)
2) Sheetal Prasad Contractor: Rs. 2,58,04,853.05/- (L1)
3) Magin Construction Company: Rs. 2,58,04,853.05/- (L1)
4) Venturer Engineers: Rs. 2,58,04,853.05/- (L1)
5) Aarvi Encon Ltd: Rs. 3,04,49,726.61/- (L2)
6) Integrated Telnet Services &amp; Contracts: Rs. 3,04,49,726.61/- (L2)
7) OBUL Consultancy and Contracts Pvt Ltd: Rs. 3,04,49,726.61/- (L2)
8) AV Gangadharan Hospitality and HR Services LLP: Rs. 3,04,49,726.61/- (L2)</t>
  </si>
  <si>
    <t>GEM/2023/B/3323000</t>
  </si>
  <si>
    <t>1) Nice International Limited: Rs. 1,30,79,049.69/- (L1)
2) Singh and Sons Infotech Pvt Ltd: Rs. 1,30,79,049.69/- (L1)
3) Sheetal Prasad Contractor: Rs. 1,30,79,049.69/- (L1)
4) Atul Engineering Works: Rs. 1,30,79,049.69/- (L1)
5) Magin Construction Company: Rs. 1,30,79,049.69/- (L1)
6) Venturer Engineers: Rs. 1,30,79,049.69/- (L1)
7) Jyoti Engineering: Rs. 1,30,79,049.69/- (L1)
8) Verma Traders: Rs. 1,30,79,049.69/- (L1)
9) Integrated Telnet Services &amp; Contracts: Rs. 1,54,33,278.64/- (L2)
10) OBUL Consultancy and Contracts Pvt Ltd: Rs. 1,54,33,278.64/- (L2) 
11) AV Gangadharan Hospitality and HR Services LLP: Rs. 1,54,33,278.64/- (L2)
12) Aarvi Encon Ltd: Rs. 1,60,07,782.53/- (L3)
13) Mehra Engineering: Rs. 1,67,53,980/- (L4)
14) Knowteq Concepts Pvt Ltd: Rs. 1,89,36,676.95/- (L5)</t>
  </si>
  <si>
    <t>GEM/2023/B/3345154</t>
  </si>
  <si>
    <t>Assistance In Providing Services for Tank Wagon Loading and Unloading Operations for Total Qty Of 72000 EACH For 2 Years As Per Scope Of Job STC And BOQ</t>
  </si>
  <si>
    <t>H/G/CNM/23-24/C-272/Stores Services</t>
  </si>
  <si>
    <t>for Support services for stores department at HURL Gorakhpur</t>
  </si>
  <si>
    <t>WRCC/2022-23/PT/188</t>
  </si>
  <si>
    <t>Outsourcing of Operations &amp; Maintenance of Aviation Fuel Station (AFS) at Keshod</t>
  </si>
  <si>
    <t>Kolkatta</t>
  </si>
  <si>
    <t>GEM/2023/B/3304970</t>
  </si>
  <si>
    <t>Rate Contract for Hiring of Agency for Providing Manpower at WDB (Warship Design Bureau) SSG (Surface Ship Group) New Delhi on Temporary Basis for P17A</t>
  </si>
  <si>
    <t xml:space="preserve">Assam Petro-Chemicals Limited </t>
  </si>
  <si>
    <t>APL/CnP/HR/2022-23/131</t>
  </si>
  <si>
    <t>Hiring of Man Management Services for Assistance in Operation / CnP /TS Department of Assam Petro-Chemicals Limited</t>
  </si>
  <si>
    <t>Mysuru</t>
  </si>
  <si>
    <t>FT/20(11)/E-VII(Manpower)/2023</t>
  </si>
  <si>
    <t>Annual Contract for Supply of Manpower for Laboratory and Support Services at CSIR-CFTRI, Mysuru</t>
  </si>
  <si>
    <t>GEM/2023/B/3337886</t>
  </si>
  <si>
    <t>Providing manpower services for sampling and related misc. jobs at QC Lab</t>
  </si>
  <si>
    <t>Pre Bid Meeting is on 03.08.2023</t>
  </si>
  <si>
    <t>TMH/HRD/TENDER/VNS/2023/01</t>
  </si>
  <si>
    <t>Manpower Services MTS (Multi Task Staff- Unskilled category)</t>
  </si>
  <si>
    <t>Since the Competitors Quote Less than 2%</t>
  </si>
  <si>
    <t>22001208-HB-48002</t>
  </si>
  <si>
    <t>Motor PM and equipment monitoring</t>
  </si>
  <si>
    <t>Pre Bid Meeting is on 07.08.2023</t>
  </si>
  <si>
    <t>MNGL/CP/2022-23/224</t>
  </si>
  <si>
    <t>Rate Contract for the period of Two years for deployment of fire technician on contract staffing services for fire and safety department of different MNGL offices</t>
  </si>
  <si>
    <t>Pre Bid Meeting is on 04.08.2023</t>
  </si>
  <si>
    <t>PLL/DHJ/EL/9801/2022-23</t>
  </si>
  <si>
    <t>ARC for Miscellaneous electrical activities for two years at Petronet LNG Ltd., Dahej</t>
  </si>
  <si>
    <t>Mahanagar Gas Ltd</t>
  </si>
  <si>
    <t>MGL/C&amp;P/E&amp;P/5080/2022-23/BB</t>
  </si>
  <si>
    <t>Hiring of Engineers on a contract basis for undertaking site supervision and associated activities of Projects, O&amp;M, HSE, E&amp;P, AI, and other departments</t>
  </si>
  <si>
    <t>Pre Bid Meeting is on 05.08.2023</t>
  </si>
  <si>
    <t>GEM/2023/B/3312191</t>
  </si>
  <si>
    <t>Operation and maintenance of mechanized petrocoke handling system of Coker-A from conveyor to bunkers (truck loading) at Barauni Refinery</t>
  </si>
  <si>
    <t>GSFC/ENQ/F&amp;F/ L2/ENQ/MACHNIERY MAINTENANCE ARC/2023-24</t>
  </si>
  <si>
    <t>Annual Rate Contract for Jobs related to Mechanical Maintenance of Common and Unique machinery in fertiliser &amp; fiber group plants for a period of 01.07.2023 to 30.06.2025</t>
  </si>
  <si>
    <t>Tushar/Subhash</t>
  </si>
  <si>
    <t>GEM/2023/B/3287176</t>
  </si>
  <si>
    <t>Providing Helpdesk for Office Management Services for 2 Years at BINA Refinery BPCL Madhya Pradesh</t>
  </si>
  <si>
    <t>1) Adecco India Pvt Ltd: Rs. 1,72,60,075.42/- (L1)
2) Knight Frank (India) Pvt Ltd: Rs. 2,06,64,226.27/- (L2)
3) N N Infra: Rs. 2,60,32,750.84/- (L3)
4) Prumatech Infosystems Pvt Ltd: Rs. 2,66,84,760.16/- (L4)
5) ACE Infotexis Pvt Ltd: Rs. 2,84,93,705.08/- (L5)
Aarvi was Technically Disqualified</t>
  </si>
  <si>
    <t>Gujarat International Finance Tec</t>
  </si>
  <si>
    <t>GIFT/ENG/MECH/SC/2023/01</t>
  </si>
  <si>
    <t>Appointment of Agency for “Operation and maintenance of DCS Plant &amp; Systems along with chilled water distribution network and O&amp;M of HVAC systems of MMR Building in DTA area and O&amp;M of HVAC systems of GIFT House Building in SEZ area of GIFT City for two years</t>
  </si>
  <si>
    <t>Pre Bid Meeting is on 08.08.2023</t>
  </si>
  <si>
    <t>GEM/2023/B/3287122</t>
  </si>
  <si>
    <t xml:space="preserve"> ARC for Support Services for Surveillance and Compliance of Work Permit and Clearance System at IOCL Haldia Refinery</t>
  </si>
  <si>
    <t>Mahesh / Reyaz</t>
  </si>
  <si>
    <t>1) Pioneer Solutions Pvt Ltd: Rs. 3,67,28,481.35/- (L1)
2) Aaarvi Encon Ltd: Rs. 3,76,47,823.72/- (L2)</t>
  </si>
  <si>
    <t>GEM/2023/B/3284825</t>
  </si>
  <si>
    <t>Surveillance, Inspection and Compliance of Work Permit and Clearance System at Electrical Maintenance Dept. of IOCL Haldia Refinery</t>
  </si>
  <si>
    <t>GEM/2023/B/3297956</t>
  </si>
  <si>
    <t>Engineering drawing preparation and drafting services for shutdown jobs and other process modification schemes at IOCL Haldia Refinery</t>
  </si>
  <si>
    <t>GEM/2023/B/3249554</t>
  </si>
  <si>
    <t>Selection of Manpower Service Provider/Agency for providing 60 Nos. of Third Party Manpower of different categories for North Eastern Region including Payroll Services and Maintenance &amp; Compliance of all applicable Statutes</t>
  </si>
  <si>
    <t>Pre Bid Meeting is on 17.08.2023</t>
  </si>
  <si>
    <t>GEM/2023/B/3298797</t>
  </si>
  <si>
    <t>Miscellaneous Support Services in DYIP Unit Areas of Haldia Refinery</t>
  </si>
  <si>
    <t>Ircon International Limited</t>
  </si>
  <si>
    <t>IRCON/3026/MAHSR/T2/Manpower</t>
  </si>
  <si>
    <t>Rendering of Safety, Health, Environment, Occupational Health and Technical manpower services for the site activities for Double Line High Speed Railway Project between Zaroli Village at Maharashtra-Gujarat Border and Vadodara for MAHSR T2 Project</t>
  </si>
  <si>
    <t>WRCC/2022-23/PT/169</t>
  </si>
  <si>
    <t>Operation and Maintenance Contract for Vadodara White Oil Terminal VWOT initially for period of three years and extendable by two more years at the same rates terms and conditions on sole discretion of the Corporation</t>
  </si>
  <si>
    <t>CPCL/PMC/T-052/2022-23</t>
  </si>
  <si>
    <t>Providing Service Assistance to projects Electrical Department for plant Pre-commissioning and commissioning activities at Manali Refinery of CPCL</t>
  </si>
  <si>
    <t>CPCL/PMC/T-054/2022-23</t>
  </si>
  <si>
    <t>Engagement of Manpower assistance to Instrumentation works for Coke Handling system commissioning at Manali Refinery of CPCL</t>
  </si>
  <si>
    <t>Consultancy Services for Construction Safety at TCS Indore SEZ, Balance U Blocks</t>
  </si>
  <si>
    <t>Goa Natural Gas Pvt Ltd</t>
  </si>
  <si>
    <t>GNGPL/C&amp;P/T- 49</t>
  </si>
  <si>
    <t>Hiring Agency for Providing Technical and Non-Technical Manpower for City Gas Distribution Project of Goa Natural Gas Pvt Ltd in North Goa</t>
  </si>
  <si>
    <t>GEM/2023/B/3264907</t>
  </si>
  <si>
    <t>Contract for Shore Tank Farm STF Operation at Puthuvypeen for a period of three years</t>
  </si>
  <si>
    <t xml:space="preserve">1) Hind Erectors: Rs. 3,82,87,260/- (L1)
2) Mayflower Technical Services: Rs. 4,22,78,153.38/- (L2)
3) Aarvi Encon Ltd: Rs. 4,60,39,897.40/- (L3) </t>
  </si>
  <si>
    <t>GEM/2023/B/3256329</t>
  </si>
  <si>
    <t>Providing Professional Services for Revenue Related Works of Right of User Activities in Haryana State and Uttar Pradesh state for Piyala-Jewar ATF Pipeline (PIPL) Project</t>
  </si>
  <si>
    <t>1) Theodesh Consultants: Rs. 1,16,80,608.95/- (L1)
2) Aarvi Encon Ltd: Rs. 1,32,63,242.01/- (L2)
3) MS Associates: Rs. 1,51,49,402.88/- (L3)</t>
  </si>
  <si>
    <t>GEM/2023/B/3219104</t>
  </si>
  <si>
    <t>E- Tender for Engagement of an agency / Service provider for Forecourt Sales activities and Executive Assistants at various locations in West India</t>
  </si>
  <si>
    <t>Pre Bid Meeting is on 18.08.2023</t>
  </si>
  <si>
    <t>GEM/2023/B/3302322</t>
  </si>
  <si>
    <t>Providing Manpower Services for Sampling and Related Misc. Jobs at QC Lab</t>
  </si>
  <si>
    <t>GEM/2023/B/3229071</t>
  </si>
  <si>
    <t>Providing Services for Hiring Engineers for Office / Procurement/ Contract/ Site Assistants For E&amp;C Projects In Mumbai Refinery</t>
  </si>
  <si>
    <t>22001219-HB-48002</t>
  </si>
  <si>
    <t>Documentation Services.</t>
  </si>
  <si>
    <t>1) DV Construction: Rs. 49,25,751.01/- (L1) [-10.678%]
2) OM Construction: Rs. 49,39,774.63/- (L2) [-10.4237%]
3) Krishna Garden: Rs. 51,08,014.05/- (L3) [-7.37%]
4) Aarvi Encon Ltd: Rs. 59,55,768/- (L4) [+8%]
5) Cosmos Engineering Project Services Pvt Ltd: Rs. 74,44,710/- (L5) [-35%]
6) Robarant Engg Works Pvt Ltd: Rs. 77,20,440/- (L6) [+40%]</t>
  </si>
  <si>
    <t>GEM/2023/B/3290665</t>
  </si>
  <si>
    <t>Engagement of Staffing Agency for Sourcing of CSR Manpower for 3 Years</t>
  </si>
  <si>
    <t>GEM/2023/B/3079803</t>
  </si>
  <si>
    <t>Hiring of Safety Officers for Safety Surveillance in Project Areas and Shutdown Units</t>
  </si>
  <si>
    <t>Rs. 7,21,040/-</t>
  </si>
  <si>
    <t>MNGL/CP/2022-23/175</t>
  </si>
  <si>
    <t>Tender for Rate Contract for the period of 14 months for Hiring of Construction Supervision Agency (CSA) for CGD Network of Pune, Nashik, Sindhudurg, Nanded, Nizamabad &amp; Ramanagara GA of MNGL</t>
  </si>
  <si>
    <t>Pre Bid Meeting is on 16.01.2023</t>
  </si>
  <si>
    <t>H/G/CNM/23-24/C-421R/TE-830</t>
  </si>
  <si>
    <t>for Supply of Manpower for Electrical Maintenance related jobs at HURL Gorakhpur</t>
  </si>
  <si>
    <t>GEM/2024/B/4720164</t>
  </si>
  <si>
    <t>for Contract of Manpower (DigiBuddies) for DigiYatra Project for 1 year (2024-25) at  D.A.B.H Airport, Indore (M.P)</t>
  </si>
  <si>
    <t>regretted Since requirement is very less</t>
  </si>
  <si>
    <t>DC/8588-000-SE-T-0021/24</t>
  </si>
  <si>
    <t>for Empanelment of agencies for hiring of Human Resources (other than Modellers)</t>
  </si>
  <si>
    <t>Pre Bid Meeting is on 11.03.2024</t>
  </si>
  <si>
    <t>GEM/2024/B/4736339</t>
  </si>
  <si>
    <t>for Providing Manpower for Carrying Out Maintenance Services as Per Job Specification at HPCL Mundra Terminal</t>
  </si>
  <si>
    <t>Chennai Metro Rail Limited</t>
  </si>
  <si>
    <t>CMRL/PPD/CS/DPR-05/2024</t>
  </si>
  <si>
    <t>for Preparation of Detailed Project Report ( D P R ) for introducing Mass Rapid Transit System between Koyambedu and Avadi as part of Chennai Metro Rail Limited network</t>
  </si>
  <si>
    <t>MNGL/CP/2023-24/181</t>
  </si>
  <si>
    <t>Rate contract for a period of two year for hiring of Construction Supervision Agency (CSA) for City Gas Distribution Network of Pune GA of MNGL</t>
  </si>
  <si>
    <t>Pre Bid Meeting is on 12.03.2024</t>
  </si>
  <si>
    <t>Central U. P. Gas Limited</t>
  </si>
  <si>
    <t>Kanpur</t>
  </si>
  <si>
    <t>GEM/2024/B/4743306</t>
  </si>
  <si>
    <t>Bid Document for the Hiring of Staffing Services for Kanpur, Bareilly and Jhansi</t>
  </si>
  <si>
    <t>GEM/2024/B/4766826</t>
  </si>
  <si>
    <t>Hiring of Support Services for Shutdown 2024-25 at Haldia Refinery</t>
  </si>
  <si>
    <t>Devangothi</t>
  </si>
  <si>
    <t>GEM/2024/B/4737359</t>
  </si>
  <si>
    <t>Providing Operation &amp; Maintenance service for White Oil Terminal in MRPL Devangonthi Bangalore</t>
  </si>
  <si>
    <t>Pre Bid Meeting is on 19.03.2024</t>
  </si>
  <si>
    <t>2300011034-HB-06000</t>
  </si>
  <si>
    <t>for MR II ELECTRICAL O and M at HPCL Mumbai refinery</t>
  </si>
  <si>
    <t>Kochi Salem Pipeline Private Limited</t>
  </si>
  <si>
    <t>1000000000KSPPL/KOCHI/ENGGMANPOWER/2024</t>
  </si>
  <si>
    <t>for Invitation for Bids(IFB) for Providing Graduate Engineers as Operations Assistants to Support KSPPL Operations</t>
  </si>
  <si>
    <t>HBCHM/MANPOWERSERVICES/2024/01</t>
  </si>
  <si>
    <t>for Outsourcing of Manpower services on contract basis</t>
  </si>
  <si>
    <t>Pre Bid Meeting is on 21.03.2024</t>
  </si>
  <si>
    <t>Agartala</t>
  </si>
  <si>
    <t>GEM/2024/B/4763805</t>
  </si>
  <si>
    <t>for Hiring of Support / Peripheral / Allied Services for Services Dept. (HR, F&amp;A, C&amp;P and F&amp;S) for a Period of 02 Years at Gail Agartala</t>
  </si>
  <si>
    <t>CMRL/NCB/P&amp;D/CS/DPR-08/2024</t>
  </si>
  <si>
    <t>for Preparation of Detail Project Report including market analysis, transactional advice, land use report with preparation of Tender Documents for property development at Kattupakkam &amp; Alapakkam Junction Metro stations, Chennai</t>
  </si>
  <si>
    <t>Arabian Industries Projects LLC</t>
  </si>
  <si>
    <t>Hiring of Mechanical Instrument and Electrical manpower | Nimr Amal 2024 S/D</t>
  </si>
  <si>
    <t>HURL/BR/CC/23-24/812</t>
  </si>
  <si>
    <t>Services of Experienced DCS Operators for operation of plant at HURL Barauni</t>
  </si>
  <si>
    <t>GAIL/MUM/C&amp;P/O&amp;M/23/080</t>
  </si>
  <si>
    <t>Operation &amp; Maintenance Assistance Services in Thal, Mangaon &amp; Pune Region Pipeline Network &amp; Installation</t>
  </si>
  <si>
    <t>RFQ_7028005</t>
  </si>
  <si>
    <t>Hiring of Engineers for Turnaround Shutdown works at HPL Site Haldia</t>
  </si>
  <si>
    <t>Tender No. 3846 (9210008183)</t>
  </si>
  <si>
    <t>Hiring of Services towards Testing of Samples of Refinery and Petrochemical Units at Water Lab area of HMEL's Technical Services Laboratory on Contract Basis</t>
  </si>
  <si>
    <t>1) 109 Parties: Rs. 1,70,06,636.55/- (L1)
2) Affinity Solutions: Rs. 1,70,97,357.22/- (L2)
3) Planet Retails: Rs. 1,71,67,142.35/- (L3)
4) Boss Construction Company: Rs. 1,74,46,282.88/- (L4) 
5) Authentic Human Jobs Solutions Pvt Ltd: Rs. 1,78,64,993.66/- (L5)
6) Khodal Enterprises: Rs. 1,81,16,220.14/- (L6)
7) NG Services: Rs. 1,81,16,220.14/- (L6) 
8) Shree Kankeshawari: Rs. 1,81,18,174.35/- (L7)
9) Safal Hospitality and Maintenance Services: Rs. 1,85,62,844.98/- (L8 - Not Evaluated)
10) Aarvi Encon Ltd: Rs. 2,38,80,472.00/- (L9 - Not Evaluated)</t>
  </si>
  <si>
    <t>1) IRC Engineering Services India Pvt Ltd: Rs. 47,46,441.30/- (L1)
2) International Certification Services Pvt Ltd: Rs. 52,43,713.82/- (L2) 
3) Aarvi Encon Ltd: Rs. 59,14,923.72/- (L3) 
4) TUV India P Ltd: Rs. 63,74,500/- (L4)</t>
  </si>
  <si>
    <t>1) GA Digital Webword Pvt Ltd: Rs. 9,18,00,951.17/- (L1) 
2) Vishal Experts Services Pvt Ltd: Rs. 9,18,00,951.17/- (L1) 
3) Singh and Sons Infotech Pvt Ltd: Rs. 9,18,00,951.17/- (L1)
4) HS Utility Services: Rs. 9,18,00,951.17/- (L1)
5) Venturer Engineers: Rs. 9,18,00,951.17/- (L1) 
6) Sinclus Engineering and Consulting Pvt Ltd: Rs. 9,18,00,951.17/- (L1)
7) Laraon Engineers and Consultants Pvt Ltd: Rs. 9,18,00,951.17/- (L1)
8) V and S Enterprises: Rs. 9,18,00,951.17/- (L1)
9) Vashu Global Services: Rs. 9,33,07,737.40/- (L2) 
10) Aarvi Encon Ltd: Rs. 9,34,20,746.37/- (L3) 
11) Cosmos Systems: Rs. 10,92,42,001.81/- (L4) 
12) Bonace Engineers Pvt Ltd: Rs. 13,32,17,207.41/- (L5)</t>
  </si>
  <si>
    <t>1) Energon Petroproducts Pvt Ltd: Rs. 4,16,50,556.56/- (L1) 
2) Sanmarg Projects Pvt Ltd: Rs. 4,32,97,473.07/- (L2)
3) Aarvi Encon Ltd: Rs. 5,36,07,581.99/- (L3)
4) Makeen Energy India Pvt Ltd: Rs. 6,28,72,536.73/- (L4)</t>
  </si>
  <si>
    <t>Sabarmati Gas Ltd</t>
  </si>
  <si>
    <t>Sabarmati</t>
  </si>
  <si>
    <t>SGL-TEND-142-2023-24</t>
  </si>
  <si>
    <t>for Hiring agency for Manpower Outsourcing at SGL Establishments</t>
  </si>
  <si>
    <t>Pre Bid Meeting is on 18.03.2024</t>
  </si>
  <si>
    <t>Maharashtra Airport Development Co. Ltd</t>
  </si>
  <si>
    <t>Amravati</t>
  </si>
  <si>
    <t xml:space="preserve">MADC/Amravati/2024/Manpower/ </t>
  </si>
  <si>
    <t>for Supply of Professional Manpower at Amravati Belora Airport, Amravati, Maharashtra</t>
  </si>
  <si>
    <t>GEM/2024/B/4804648</t>
  </si>
  <si>
    <t>for Hiring of Support Services for Operation &amp; Maintenance of Natural Gas Pipeline Network Under Gail Agartala for a Period of 02 Years</t>
  </si>
  <si>
    <t xml:space="preserve"> MIL/ AFS-22/2024/ 799</t>
  </si>
  <si>
    <t>for Work of Supply of Professional Manpower for Airport Rescue and Firefighting Services at Dr. Babasaheb Ambedkar International Airport Nagpur</t>
  </si>
  <si>
    <t>Solar Energy Corporation of India Limited</t>
  </si>
  <si>
    <t>GEM/2024/B/4819352</t>
  </si>
  <si>
    <t>Selection of Agency for providing Contractual Manpower services at SECI</t>
  </si>
  <si>
    <t>Pre Bid Meeting is on 04.04.2024</t>
  </si>
  <si>
    <t>IHB Limited</t>
  </si>
  <si>
    <t>Madhya Pradesh</t>
  </si>
  <si>
    <t>GEM/2024/B/4820210</t>
  </si>
  <si>
    <t>Providing Operation &amp; Maintenance (O&amp;M) services for receiving stations and SV/IP stations in Madhya Pradesh under Kandla Gorakhpur LPG Pipeline Project</t>
  </si>
  <si>
    <t>Pre Bid Meeting is on 10.04.2024</t>
  </si>
  <si>
    <t>GEM/2024/B/4819503</t>
  </si>
  <si>
    <t>for Operational Assistance in pump house, Tank operation, LPG Gantry, Road weighbridge and Rail Loading / Unloading Operation at Numaligarh Refinery Marketing Terminal</t>
  </si>
  <si>
    <t>Regretted  - Manpower required is for Housekeeping, Painting, Civil work, excavation work, Fabrication Work etc.</t>
  </si>
  <si>
    <t>Regretted Since Bank Guarantee is not received on time</t>
  </si>
  <si>
    <t>[</t>
  </si>
  <si>
    <t>GEM/2024/B/4825070</t>
  </si>
  <si>
    <t>for Providing Manpower Services (Drilling supervisor) during drilling and testing services in Operatorship Block CB-ONHP-2017/9, Cambay, Gujarat</t>
  </si>
  <si>
    <t>GEM/2024/B/4826102</t>
  </si>
  <si>
    <t>for Providing safety supervisors for Bongaigaon Refinery</t>
  </si>
  <si>
    <t>GEM/2024/B/4733572</t>
  </si>
  <si>
    <t>for Hiring of Contract Services for Providing of Operation and Instrumentation Support Services for Undera Region Under Gail RPNHQ, Vadodara for a Period of 02 Years</t>
  </si>
  <si>
    <t>GEM/2024/B/4799459</t>
  </si>
  <si>
    <t>for Hiring of Electrical O&amp;M Services for Two Years at Konkan LNG Limited (KLL)</t>
  </si>
  <si>
    <t>GDT Lakwa</t>
  </si>
  <si>
    <t>GEM/2024/B/4821234</t>
  </si>
  <si>
    <t>for Hiring of Support Services for Operation &amp; Maintenance of GAIL GDT Lakwa for a Period of 02 Years</t>
  </si>
  <si>
    <t>GEM/2024/B/4832692</t>
  </si>
  <si>
    <t>for Annual Rate Contract for various data entry work in Logistics at GSFC Fertilizer Nagar Complex, Vadodara</t>
  </si>
  <si>
    <t>GEM/2024/B/4832169</t>
  </si>
  <si>
    <t>for Contract for Operation of Water Treatment Plants &amp; Chemical Addition in ETP / Borewell Sampling at BPCL-KR for a Period of Three Years</t>
  </si>
  <si>
    <t>HPOil Gas Private Ltd</t>
  </si>
  <si>
    <t>HOGPL/2023-24/C&amp;P/016</t>
  </si>
  <si>
    <t>for Hiring of Agency for Providing Operation and Comprehensive Annual Maintenance Service of Booster Compressors Installed at Ambala-Kurukshetra &amp; Kolhapur GA</t>
  </si>
  <si>
    <t>GEM/2024/B/4832445</t>
  </si>
  <si>
    <t>for Hiring of Services for Assistance in Operational Activities at Operation Control Room, Dibiyapur</t>
  </si>
  <si>
    <t>GEM/2024/B/4764198</t>
  </si>
  <si>
    <t>for AMC Jobs at Downstream Plants (LLDPE-Ii, New Butene Unit, HDPE-I, HDPE-Ii &amp; Flaker Units and LLDPE-I, Butene-I &amp; All Bagging Units ) at Gail, Pata</t>
  </si>
  <si>
    <t>GEM/2024/B/4839278</t>
  </si>
  <si>
    <t>for Hiring of experienced safety supervisors for compliance of safety norms, procedures &amp; imparting safety training during Shutdown at IOCL Haldia Refinery</t>
  </si>
  <si>
    <t>ARABIAN INDUSTRIES PROJECTS LLC</t>
  </si>
  <si>
    <t>Saudi</t>
  </si>
  <si>
    <t xml:space="preserve">MICS2024-0047 </t>
  </si>
  <si>
    <t>Call Off Mechanical Maintenance Services At MIC Nimr &amp; Marmul Sites</t>
  </si>
  <si>
    <t>GEM/2024/B/4850613</t>
  </si>
  <si>
    <t>for Engagement of Skilled and Semi-Skilled manpower for Collection, Preparation of Samples for Analysis</t>
  </si>
  <si>
    <t>Airport Authority Of India</t>
  </si>
  <si>
    <t>GEM/2024/B/4854707</t>
  </si>
  <si>
    <t>for FMS Facility for Digi Yatra Implementation at Chennai Airport for Passenger Facilitation</t>
  </si>
  <si>
    <t>GEM/2024/B/4854224</t>
  </si>
  <si>
    <t>Operational Support Services for Occupational Health Centre at Bina, Dist. Sagar, Madhya Pradesh, India</t>
  </si>
  <si>
    <t>SCC/DC/OT(Press)/DEO/001/ET-2086</t>
  </si>
  <si>
    <t>for Hiring of Firm/ Agency for Providing Manpower for Data Entry Support Service in GRSE Ltd</t>
  </si>
  <si>
    <t>Pre Bid Meeting is on 24.04.2023</t>
  </si>
  <si>
    <t>Regretted - Local contractors quote at a very low margin</t>
  </si>
  <si>
    <t>Regretted Since the BEC was prepared with Specific Vendor</t>
  </si>
  <si>
    <t>GEM/2024/B/4860422</t>
  </si>
  <si>
    <t>for Hiring of Services for Chemical Handling Service at PP-1 &amp; PP- II for Two Years at Gail Pata</t>
  </si>
  <si>
    <t>Regretted Since Aarvi is Technically not Qualified</t>
  </si>
  <si>
    <t>Regretted Since the Value is Less Than 25 Lakhs</t>
  </si>
  <si>
    <t>Devangonthi</t>
  </si>
  <si>
    <t>GEM/2024/B/4858541</t>
  </si>
  <si>
    <t>Green Gas/CO/CandP/002/2024-25</t>
  </si>
  <si>
    <t>for Annual Rate Contract and Empanelment of Contractors for MDPE Laying Last Mile Connectivity and Direct Marketing Agency Works at Agra Lucknow and Unnao GA</t>
  </si>
  <si>
    <t>ISPRL_PDR_HS_ROCKSALE_24-25_01</t>
  </si>
  <si>
    <t>for Hiring of Data Entry Operators for Rock Sale Supervising Job</t>
  </si>
  <si>
    <t>Pre Bid Meeting is on 02.05.2023</t>
  </si>
  <si>
    <t>GEM/2024/B/4878021</t>
  </si>
  <si>
    <t>Ramagundam Fertilizers &amp; Chemicals Limited</t>
  </si>
  <si>
    <t>RFCL/LAB/SKILLED MANPOWER CONTRACT-4/2024 -25</t>
  </si>
  <si>
    <t>Supply of skilled manpower for bagging plant, process engineering &amp; chemical laboratory on annual rate contract basis for the period of two years at RFCL, Ramagundam</t>
  </si>
  <si>
    <t>GEM/2024/B/4863833</t>
  </si>
  <si>
    <t>Hiring of services for Operation Maintenance contract of MOPU Sagar Samrat and WO16 well head platform for 06 years inclusive of all taxes and duties</t>
  </si>
  <si>
    <t>Annual Rate Contract for Operational activity for Fertilizer bagging plant at GSFC, Fertilizernagar Complex, Vadodara for the period from 1.7.2024 to 30.6.2025</t>
  </si>
  <si>
    <t>Thal</t>
  </si>
  <si>
    <t>GEM/2024/B/4883196</t>
  </si>
  <si>
    <t>ARC for Providing Operations &amp; Maintenance Assistance Services in P/L Network and Installations of Thal, Mangaon and Pune region, for a Period of 19 Months and 11 days</t>
  </si>
  <si>
    <t>Nayara Energy</t>
  </si>
  <si>
    <t>RFP/MUM/ADMIN/920</t>
  </si>
  <si>
    <t>Deployment of Agency Manpower at different departments for IT- Marketing and IT-Corporate (for 3 Years)</t>
  </si>
  <si>
    <t>RFQ/MUM/Marketing/921</t>
  </si>
  <si>
    <t>ARC for Deployment of Agency Manpower at different departments for ADP (Asset development) (for 3 Years)</t>
  </si>
  <si>
    <t>RFQ/Pan India/Marketing/919</t>
  </si>
  <si>
    <t>ARC for Deployment of Agency Manpower at different departments for Marketing and Corporate</t>
  </si>
  <si>
    <t>GEM/2024/B/4892369</t>
  </si>
  <si>
    <t>Providing Services for Assistance in Procurement Activities for Bina Petchem and Refinery Expansion (BPREP) and Mumbai Refinery (MR)</t>
  </si>
  <si>
    <t>GEM/2024/B/4898797</t>
  </si>
  <si>
    <t>Pre Bid Meeting is on 06.05.2024</t>
  </si>
  <si>
    <t>2400012006-HB-06000</t>
  </si>
  <si>
    <t>Operations of Nitrogen Plant and MREP BCW System</t>
  </si>
  <si>
    <t>2400012135-HB-04665</t>
  </si>
  <si>
    <t>Supply of Engineering Consultant</t>
  </si>
  <si>
    <t>Housing Urban Development Corporation Ltd</t>
  </si>
  <si>
    <t>GEM/2024/B/4907964</t>
  </si>
  <si>
    <t>Engagement of Manpower Agency/Firm for providing Manpower on hire/contractual basis, across India for all offices of HUDCO, i.e, Corporate Office/ROs/HSMI on Percentage rate basis</t>
  </si>
  <si>
    <t>Pre Bid Meeting is on 09.05.2024</t>
  </si>
  <si>
    <t>GEM/2024/B/4902718</t>
  </si>
  <si>
    <t>Engagement of an Agency/Service Provider for Technical Support Service for Three Years at BPCL, BINA Refinery</t>
  </si>
  <si>
    <t>GSFC/ENQ/BZ UNL./ARC/2024-25 (7130007567)</t>
  </si>
  <si>
    <t>Annual Rate Contract for Benzene Tankers Unloading Activities at GSFC Fertilizer Nagar Complex, Vadodara for 1 year period from 1.7.2024 to 30.6.2025</t>
  </si>
  <si>
    <t>H/G/CNM/24-25/C-479/TE-989</t>
  </si>
  <si>
    <t>Annual rate Contract for mechanical maintenance job at HURL Gorakhpur</t>
  </si>
  <si>
    <t>GEM/2024/B/4903395</t>
  </si>
  <si>
    <t>ARC for integrated operations and maintenance support services including handling petroleum/ petrochemical/ hydrocarbon product at Oxoalcohol storage and dispatch facility at Dumad, Gujarat</t>
  </si>
  <si>
    <t>Pre Bid Meeting is on 13.05.2024</t>
  </si>
  <si>
    <t>2400012288-HB-06000</t>
  </si>
  <si>
    <t>Safety Training Services</t>
  </si>
  <si>
    <t>Pre Bid Meeting is on 16.05.2024</t>
  </si>
  <si>
    <t>Rfcl/Lab/Un Skilled Manpower Contract-5 / 2024-25</t>
  </si>
  <si>
    <t>Supply of Unskilled Manpower for Miscellaneous Jobs in Chemical Laboratory on Annual Rate Contract Basis for the Period of Two Years at RFCL, Ramagundam</t>
  </si>
  <si>
    <t>GEM/2024/B/4895239</t>
  </si>
  <si>
    <t>for Hiring Services of Operation &amp; Maintenance for Fire &amp; Safety Systems of PC-2 at Gail Pata for Periods Two Years</t>
  </si>
  <si>
    <t>Mangaluru</t>
  </si>
  <si>
    <t>GEM/2024/B/4898265</t>
  </si>
  <si>
    <t>for Hiring of Contract Services for Providing Operation and Maintenance (O&amp;M) of CGD Network in GGL Mangaluru</t>
  </si>
  <si>
    <t xml:space="preserve"> H/G/C&amp;M/24-25/C-474/TE-965</t>
  </si>
  <si>
    <t>for Manpower Supply and ARC for Instrument Maintenance Jobs with Tools and Tackles</t>
  </si>
  <si>
    <t>Regretted - 
1.     Value of work excluding GST is below 50 Lakhs.
2.     Lakwa is very remote location in Assam state &amp; highly impacted with local suppliers &amp; labour unions.</t>
  </si>
  <si>
    <t>GEM/2024/B/4818753</t>
  </si>
  <si>
    <t>for Hiring of Contract Services for Material Handling &amp; Support Services for C&amp;P Deptt at Gail-RPNHQ, Vadodara for a Period of 02 Years.</t>
  </si>
  <si>
    <t>Pre Bid Meeting is on 09.04.2024</t>
  </si>
  <si>
    <t>Regretted</t>
  </si>
  <si>
    <t>Haridwar Natural Gas Pvt Ltd</t>
  </si>
  <si>
    <t>Haridwar</t>
  </si>
  <si>
    <t>HNGPL/HARIDWAR/BILLING SERVICES/24-25/01</t>
  </si>
  <si>
    <t>Hiring of Agency for Carrying Meter Reading, Bill Generation &amp; Distribution, Customer Relationship Management (CRM) Activities Including Revenue Recovery For Domestic PNG and Commercial &amp; Industrial Customers of HNGPL in Haridwar GA.</t>
  </si>
  <si>
    <t>Bathinda</t>
  </si>
  <si>
    <t>"Rate contract for Job
Outsource for Capex
Projects at HMEL GGSR
Bathinda"</t>
  </si>
  <si>
    <t>Reliance Industries Ltd</t>
  </si>
  <si>
    <t>Jamnagar</t>
  </si>
  <si>
    <t>Manpower Supply for Pre-commissioning and commissioning activities of PV Solar - E&amp;I Work</t>
  </si>
  <si>
    <t>Hiring of Safety supervisors/Stewards during upcoming Mega Turn-Around at RIL VMD</t>
  </si>
  <si>
    <t>ARC FOR PASSVIE CABLING MATERIAL &amp; SERVICES FOR NOIDA AND BATHINDA</t>
  </si>
  <si>
    <t>GSFC / HXC I NEW I 2024</t>
  </si>
  <si>
    <t>Tender enquiry for complete work of Pre-commissioning, Commissioning,
GTR activities &amp; Post GTR Operation &amp; Maintenance activities of 20 MTPD HX Crystal Plant</t>
  </si>
  <si>
    <t>GEM/2024/B/4893726</t>
  </si>
  <si>
    <t>Inspection Assistance in Shipbuilding
at GRSE Kolkata and Chennai</t>
  </si>
  <si>
    <t>Providing Services for Assistance in Project Execution of Bina Petrochemical &amp; Refinery Expansion Project (BPREP)</t>
  </si>
  <si>
    <t>2200002913
(4190)</t>
  </si>
  <si>
    <t>2400012364-HB-06000</t>
  </si>
  <si>
    <t>Data Entry Services for Warehouse.</t>
  </si>
  <si>
    <t>GEM/2024/B/4927648</t>
  </si>
  <si>
    <t>Technical Manpower Services</t>
  </si>
  <si>
    <t>GEM/2024/B/4882935</t>
  </si>
  <si>
    <t>for Hiring of Support &amp; Peripheral Services for Gail Gas Bengaluru for a Period of Two Years</t>
  </si>
  <si>
    <t>GEM/2024/B/4944209</t>
  </si>
  <si>
    <t>ARC for support assistance in maintenance jobs at Mechanical workshop at Panipat Refinery</t>
  </si>
  <si>
    <t>ARC Job for supply of Material</t>
  </si>
  <si>
    <t>1) T F Constructions: Rs. 19,24,573.65/- (L1)
2) Aarvi Encon Ltd: Rs. 20,56,248.30/- (L2)</t>
  </si>
  <si>
    <t>1) CTPL Industrial Services Ltd. Rs.  22,08,000/- (L1)
2) AHA Oil Fields Services.: Rs. 23,32,800/- (L2)
3) Enquest Petro Solutions Pvt Ltd.: Rs. 35,94,000/- (L3)
4) Aarvi Encon Ltd.: Rs. 3,60,00,000/- (L4)</t>
  </si>
  <si>
    <t>1) Indian Oil Adani Ventures Ltd.: Rs. 32,27,18,737.28/- (L1)
2) Aarvi Encon Ltd.: Rs. 35,77,58,860.38/- (L2)</t>
  </si>
  <si>
    <t>1) MZ Engineering.: Rs. 1,62,26,023.20/- (L1)
2) Promantec Consultants Pvt Ltd: Rs. 1,65,34,375.42/- (L2)
3) Aarvi Encon Ltd: Rs. 1,87,41,820.33/- (L3)
4) Induspect (India) Pvt Ltd: Rs. 2,28,24,812.71/- (L4)
5) UPCEM Engineering &amp; Consultant Pvt Ltd: Rs. 2,80,24,366.10/- (L5)</t>
  </si>
  <si>
    <t>BANDR/SBU-VII/40092/NRL/PMP/Site/02</t>
  </si>
  <si>
    <t>Project Management Associate for Providing Project Management Services in connection with Supply, Fabrication and Erection of Steel Structural, Fabrication and Erection of Piping, Equipment Erection, Painting and Insulation Works for PFCC –NREP (Group B)” at NRL, Numaligarh, Assam</t>
  </si>
  <si>
    <t>Odisha</t>
  </si>
  <si>
    <t>GEM/2024/B/4961458</t>
  </si>
  <si>
    <t>for Hiring of Revenue Support Services in Odisha for SAPL Project</t>
  </si>
  <si>
    <t>Pre Bid Meeting is on 28.05.2024</t>
  </si>
  <si>
    <t>GEM/2024/B/4934826</t>
  </si>
  <si>
    <t>Contract for Service for Support and Peripheral Services at GMPL Mangaluru SEZ for a Period of 02 Years</t>
  </si>
  <si>
    <t>HURL/BR/CC/24-25/964</t>
  </si>
  <si>
    <t>for Rate Contract for Housekeeping and Manpower Supply for Ammonia, Urea, Lab and offsites Plant and Machinery &amp; Misc. Jobs. in Offsite &amp; Utility Plants at Hurl Barauni Plant</t>
  </si>
  <si>
    <t>for Hiring of Revenue Support Services in the State of Odisha for Dhamra Haldia Pipeline (DHPL) Project</t>
  </si>
  <si>
    <t>Pre Bid Meeting is on 04.06.2024</t>
  </si>
  <si>
    <t>2400013006-HB-06000</t>
  </si>
  <si>
    <t>For Warehousing Services</t>
  </si>
  <si>
    <t>GEM/2024/B/4993449</t>
  </si>
  <si>
    <t>for Hiring of Operation Support Services for Bharuch Region for a Period of Two Years</t>
  </si>
  <si>
    <t>Pre Bid Meeting is on 06.06.2024</t>
  </si>
  <si>
    <t>Shell India Pvt Ltd</t>
  </si>
  <si>
    <t>Taloja</t>
  </si>
  <si>
    <t>DOC 1985932860</t>
  </si>
  <si>
    <t>Provision of Maintenance Services for Taloja.</t>
  </si>
  <si>
    <t>1) Venturer Engineers: Rs. 1,80,86,244.58/- (L1)
2) Singh and Sons Infotech Pvt Ltd: Rs. 1,86,60,792.16/- (L2)
3) Sheetal Prasad Contractor: Rs. 1,93,32,487.79/- (L3)
4) Noble Engineers: Rs. 2,02,28,929.90/- (L4)
5) R K Enterprises: Rs. 2,02,62,306.11/- (L5)
6) Sanmarg Projects Private Limited: Rs. 2,32,34,578.24/- (L6)
7) OBUL Consultancy and Contracts Pvt Ltd: Rs. 2,33,77,760.16/- (L7)
8) Aarvi Encon Ltd: Rs. 2,64,60,076.84/- (L8)</t>
  </si>
  <si>
    <t>GEM/2024/B/4957969</t>
  </si>
  <si>
    <t>Annual Rate Contract for providing safety supervisors in Panipat Refinery &amp; Petrochemical Complex, Panipat</t>
  </si>
  <si>
    <t>GEM/2024/B/4988713</t>
  </si>
  <si>
    <t>Modification of Storm Water Drains in Operational Area at Chennai Airport- (Balance Work). SH: Job work for Technical and Office services for Project work at AAI offices at Chennai, Delhi and any Southern Region Airports</t>
  </si>
  <si>
    <t>GEM/2024/B/4925769</t>
  </si>
  <si>
    <t>Hiring of civil engineer, Scaffolding Inspector and API 936 certified engineer during shutdown at Haldia Refinery</t>
  </si>
  <si>
    <t>Odisha Power Generation Corporation Limited</t>
  </si>
  <si>
    <t>TPS/CC-2100003912/2024-25</t>
  </si>
  <si>
    <t>for Deputation of Quality Engineers (Mechanical) in OPGC-II (2 x 660 MW)” at ITPS during Annual Overhauling</t>
  </si>
  <si>
    <t>NCR</t>
  </si>
  <si>
    <t>GEM/2024/B/4961153</t>
  </si>
  <si>
    <t>for Item Rate Contract For O&amp;M Base Support Services at JLPL NCR Region for Two Years</t>
  </si>
  <si>
    <t>1) Sinclus Engineering And Consulting Private Limited.: Rs. 86,05,200/- (L1)
2) Aarvi Encon Limited: Rs. 1,05,72,542.37/- (L2) 
3) Bonace Engineers Private Limited: Rs. 1,26,40,320/- (L3)
4) M/S Sheetal Prasad Contractor: Rs. 1,54,56,000/- (L4)
5) Prumatech Infosystems Private Limited: Rs. 1,64,70,096/- (L5)</t>
  </si>
  <si>
    <t>1) Bharat Stars Services Pvt Ltd: Rs. 18,24,61,975.14/- (L1)
2) Aarvi Encon Ltd: Rs. 18,50,74,208.95/- (L2)
3) Repono Pvt Ltd: Rs. 20,00,82,472.03/- (L3)
4) IMC Limited: Rs. 39,08,89,501.69/- (L4)
5) BOMS Pvt Ltd: Rs. 46,09,59,372.03/- (L5)</t>
  </si>
  <si>
    <t>ARC for Development of Drawings at Design and Drawing Office, BPCL-Mr for 3 Years</t>
  </si>
  <si>
    <t>Pre Bid Meeting is on 07.06.2024</t>
  </si>
  <si>
    <t>GEM/2024/B/4950043</t>
  </si>
  <si>
    <t>for Hiring of Safety Supervisors for Job Supervision &amp; Safety Compliance during various Civil Maintenance Jobs in M&amp;I Shutdown 2024-25 at Mathura Refinery</t>
  </si>
  <si>
    <t>GEM/2024/B/4938972</t>
  </si>
  <si>
    <t>Rate Contract for Engaging Outsourced Supervisory Staff During Train-a TA at BPCL, KR</t>
  </si>
  <si>
    <t>Retender No. 7130007747
Old Tender No.7130007522</t>
  </si>
  <si>
    <t>Technical tender for Annual Rate Contract for Operational activity for Fertilizer bagging plant at GSFC, Fertilizernagar Complex, Vadodara</t>
  </si>
  <si>
    <t>Hiring Agency for Manpower Outsourcing</t>
  </si>
  <si>
    <t>Subhash / Tushar</t>
  </si>
  <si>
    <t>Pre Bid Meeting is on 15.06.2024</t>
  </si>
  <si>
    <t>GEM/2024/B/5020680</t>
  </si>
  <si>
    <t>for Manpower Assistance for Procurement Activities in CPO Department (MR)</t>
  </si>
  <si>
    <t>ARC for (2 Years) Hiring of 3 Field Executive for RELCAT Field cum panel operation Shift Engineer at Hazira - Polyester site</t>
  </si>
  <si>
    <t>ARC for (2 Years) Hiring of Diploma Fresher Electrical &amp; Instrument Shift Engineer at HMD-PY Site</t>
  </si>
  <si>
    <t>1) K.N.Y. Infratech India Pvt Ltd: Rs. 54,31,421.28/- (L1)
2) Singh and Sons Infotech Pvt Ltd: Rs. 54,31,421.28/- (L1)
3) Sheetal Prasad Contractor: Rs. 54,31,421.28/- (L1)
4) Mehra Engineering: Rs. 54,31,421.28/- (L1)
5) Magin Construction Company: Rs. 54,31,421.28/- (L1)
6) Venturer Engineers: Rs. 54,31,421.28/- (L1)
7) R K Construction: Rs. 54,31,421.28/- (L1)
8) Utkrasht Engineering Works: Rs. 54,31,421.28/- (L1)
9) Aarvi Encon Ltd: Rs. 58,11,620.22/- (L2)</t>
  </si>
  <si>
    <t>1) Alpheus Shipping: Rs. 1,71,15,840/- (L1)
2) Vishesh Ventures Pvt Ltd: Rs. 1,93,53,600/- (L2)
3) Bonace Engineering Pvt Ltd: Rs. 2,17,72,800/- (L3)
4) Aarvi Encon Ltd: Rs. 2,27,09,232/- (L4)
5) Induspect (India) Pvt Ltd: Rs. 2,41,16,400/- (L5)
6) MZ Engineering: Rs. 2,91,24,144.06/- (L6)
7) Promantech Engineering: Rs. 3,02,40,000/- (L7)
8) UPCEM Engineering &amp; Consultancy Pvt Ltd: Rs. 3,52,00,000/- (L8)</t>
  </si>
  <si>
    <t xml:space="preserve">GAIL </t>
  </si>
  <si>
    <t>GEM/2024/B/4995775</t>
  </si>
  <si>
    <t>Hiring of Services for Well Planning and Design along with Manpower Services for Supervision of Drilling and Testing Activities in the Block RJ-ONHP-2021/1</t>
  </si>
  <si>
    <t>GEM/2024/B/5028824</t>
  </si>
  <si>
    <t>Deployment of Inspection Engineers towards Assistance in Inspection Jobs during Shutdown and Projects Job at Guwahati Refinery</t>
  </si>
  <si>
    <t>GEM/2024/B/5039608</t>
  </si>
  <si>
    <t>Providing Inspection Services by API certified engineers and ASNT NDT Level-III Expert during Shutdown at Guwahati Refinery</t>
  </si>
  <si>
    <t>GEM/2024/B/5039744</t>
  </si>
  <si>
    <t>Providing Operational Support Services for BPCL Crude Oil Terminal (COT) at Vadinar,  Jamnagar (Gujarat)</t>
  </si>
  <si>
    <t>Regretted Since the Value of Tender is very less</t>
  </si>
  <si>
    <t>GEM/2024/B/4983972</t>
  </si>
  <si>
    <t>Electrical Pre Commissioning &amp; Commissioning Activities</t>
  </si>
  <si>
    <t>Rate Contract for Warehouse Operations (Refinery, Petrochemical and Ethanol) at HMEL Site Bathinda</t>
  </si>
  <si>
    <t xml:space="preserve">SPG/ARC/4221/2024: Services of Engineers </t>
  </si>
  <si>
    <t>RFQ/ Enquiry for Annual Rate Contract (ARC) for Availing Services of Engineers during Boiler Shutdown and Annual shutdown/ Plant shutdown at GNFC Bharuch.</t>
  </si>
  <si>
    <t>H/G/CNM/24-25/C-474/TE-965</t>
  </si>
  <si>
    <t>Manpower Supply and ARC for Instrument Maintenance Jobs with Tools and Tackles.</t>
  </si>
  <si>
    <t>Rakesh</t>
  </si>
  <si>
    <t>ISPRL/PDR/HS/NS4/T/24-25/003</t>
  </si>
  <si>
    <t>Bidding Document for Hiring of Support Services at ISPRL Padur</t>
  </si>
  <si>
    <t xml:space="preserve">1) R S Construction: Rs. 61,57,937.76/- (L1)
2) Telecom Electronics: Rs. 61,57,937.76/- (L1)
3) MZ Engineering: Rs. 61,57,937.76/- (L1)
4) Padma Enterprises: Rs. 61,57,937.76/- (L1)
5) Garden Design Centre: Rs. 61,57,937.76/- (L1)
6) ATH Construction: Rs. 65,77,896.61/- (L2)
7) TMK Engineering: Rs. 65,79,660.16/- (L3)
8) PS Engineering: Rs. 66,74,330.50/- (L4)
9) Rathod Brothers: Rs. 67,12,152.53/- (L5)
10) M S Gothra Construction: Rs. 69,96,864.40/- (L6)
11) KBUC &amp; Company: Rs. 69,96,864.40/- (L6)
12) Shivom Utility Services: Rs. 71,71,854.23/- (L7)
13) Aarvi Encon Ltd: Rs. 85,51,562.65/- (L8) </t>
  </si>
  <si>
    <t>1) Robarant Engineering Works Pvt Ltd: Rs. 16,74,000/- (L1)
2) Aarvi Encon Ltd: Rs. 26,19,000/- (L2)</t>
  </si>
  <si>
    <t>1) Ashwani Kumar: Rs. 64,92,372.88/- (L1)
2) S.M.T. Company: Rs. 66,79,095.74/- (L2)
3) Flintex Engineering: Rs. 67,41,525.42/- (L3)
4) Aarvi Encon Ltd: Rs. 68,41,938.63/- (L4)
5) N M Enterprises: Rs. 76,27,117.79/- (L5)
6) MZ Engineering: Rs. 78,14,821.18/- (L6)
7) Promantech Consultants Pvt Ltd: Rs. 81,37,793.22/- (L7)</t>
  </si>
  <si>
    <t>1) MZ Engineering: Rs. 83,55,597.45/- (L1)
2) Promantech Consultants Pvt Ltd: Rs. 85,27,100/- (L2)
3)  Aarvi Encon Ltd: Rs. 99,00,202.54/- (L3)</t>
  </si>
  <si>
    <t>1) Singh &amp; Sons infotech Pvt Ltd: Rs. 2,09,79,305.93/- (L1)
2) Sheetal Prasad Contractor: Rs. 2,09,79,305.93/- (L1)
3) Aarvi Encon Ltd: Rs. 2,09,79,305.93/- (L1)
4) Super Construction: Rs. 2,09,79,305.93/- (L1)
5) Venturer Engineers: Rs. 2,09,79,305.93/- (L1)
6) Vishal Expert Services Pvt Ltd: Rs. 2,17,87,009.27 (L2)
7) UPCEM Engineering &amp; Consultancy Pvt Ltd: Rs. 2,32,67,441.52/- (L3)</t>
  </si>
  <si>
    <t>1) ANI Integrated Services Limited: Rs. 1,96,79,732.44/- (L1)
2) Bonace Engineers Pvt Ltd: Rs. 1,97,70,176.85/- (L2)
3) Aarvi Encon Ltd: Rs. 2,03,91,982.10/- (L3)</t>
  </si>
  <si>
    <t xml:space="preserve">ADGP </t>
  </si>
  <si>
    <t>GEM/2024/B/5036162</t>
  </si>
  <si>
    <t>Information Technology ( IT) Consultant (650) vacancies for police stations in Gujarat state to be filled on outsourcing basis across 36 districts and 4 cities (Ahmedabad, Surat, Vadodara, and Rajkot)</t>
  </si>
  <si>
    <t>GEM/2024/B/5059430</t>
  </si>
  <si>
    <t>Providing maintenance services on contractual basis for Electrical &amp; Instrumentation Systems and Miscellaneous Jobs at Bharatpur Receiving Station (BRS) of Ramanmandi Rewari Kanpur Pipeline (RRKPL)</t>
  </si>
  <si>
    <t>TP/214227C/T/08</t>
  </si>
  <si>
    <t>Providing Manpower Service for DR 1.0 Expansion Project of Indian Oil Corporation Limited, Digboi Refinery, Assam</t>
  </si>
  <si>
    <t>HMEL/BTI/RKR/GS/2024-25/030 (9210008172)</t>
  </si>
  <si>
    <t>For Chemical handling, sampling &amp; Operation assistance and Transmix TT unloading at GGSR Bhatinda</t>
  </si>
  <si>
    <t>Pre Bid Meeting is on 24.06.2024</t>
  </si>
  <si>
    <t>Patalganga</t>
  </si>
  <si>
    <t>Supply of supervisors in PFY, PSF, &amp; Chemical Lab - Patalganga Polyester</t>
  </si>
  <si>
    <t>Replacement of HDPE Piping in Chlorination Unit of AS-IV Plant Cooling Tower</t>
  </si>
  <si>
    <t>Regretted Since the Value of Tender is Less</t>
  </si>
  <si>
    <t>MNGL/CP/2024-25/50</t>
  </si>
  <si>
    <t>rate contract for a period 18 months for hiring of Construction Supervision Agency (CSA) for City Gas Distribution Network of Nashik, Sindhudurg, Ramanagara, Nanded &amp; Nizamabad GA of MNGL</t>
  </si>
  <si>
    <t>Pre Bid Meeting is on 28.06.2024</t>
  </si>
  <si>
    <t>CSIR - Indian Institute of Toxicology Research</t>
  </si>
  <si>
    <t>GEM/2024/B/5076897</t>
  </si>
  <si>
    <t>Providing manpower services based on minimum wages for assistance in various scientific research laboratory related services &amp; laboratory support allied services</t>
  </si>
  <si>
    <t>NMRC/GM/HR/325 /2024</t>
  </si>
  <si>
    <t>Manpower Service Provider (Technical &amp; Non-Technical) in NMRC on contract basis</t>
  </si>
  <si>
    <t>9160001772 (5186)</t>
  </si>
  <si>
    <t>Service for Maintenance &amp; Supervision Activities of MBPL Pipeline. is Published by HPCL-Mittal Energy Limited</t>
  </si>
  <si>
    <t>Regretted Since the requirement is more for Semi Skilled Persons</t>
  </si>
  <si>
    <t>1) Induspect (India) Pvt Ltd: Rs. 71,61,115.25/- (L1)
2) International Certification Services Pvt Ltd: Rs. 74,09,704.23/- (L2)
3) Aarvi Encon Ltd: Rs. 74,95,724.40/- (L3)</t>
  </si>
  <si>
    <t>1) Varun Hitech Engineering Services Pvt Ltd: Rs. 6,44,11,039.83/- (L1),
2) Conceptia Software Tehnologies Pvt Ltd: Rs. 6,89,60,504.74/- 
3) Aarvi Encon Ltd: Rs. 10,68,03,302.03/- (L3)</t>
  </si>
  <si>
    <t>GEM/2024/B/5101436</t>
  </si>
  <si>
    <t xml:space="preserve"> Hiring of Manpower for Upkeepment, Operation and Maintenance of Guesthouse and Warehouse of KG Basin Project Office, Kakinada for a period of 2 (Two) years</t>
  </si>
  <si>
    <t>BGL/622/2024-25</t>
  </si>
  <si>
    <t>Engagement of Consultants for PMC &amp; O&amp;M Services at Hyderabad, Vijayawada &amp; Kakinada for 02 Years</t>
  </si>
  <si>
    <t>2400013661-HB-06600</t>
  </si>
  <si>
    <t>Inspection services for Minor Projects</t>
  </si>
  <si>
    <t>2400014046-HB-06000</t>
  </si>
  <si>
    <t>Order for O and M of BPSTG Plant</t>
  </si>
  <si>
    <t>2400014045-HB-06000</t>
  </si>
  <si>
    <t>O &amp; M OF D M W Plant</t>
  </si>
  <si>
    <t>Gujarat State Petroleum Corporation Limited</t>
  </si>
  <si>
    <t>GSPC/Well Site Cleaning/2024-25/578</t>
  </si>
  <si>
    <t>Hiring of Well Site Cleaning Services on Callout basis for onshore Blocks in Gujarat operated by GSPC</t>
  </si>
  <si>
    <t>GAIL India Ltd</t>
  </si>
  <si>
    <t>GEM/2024/B/5121196</t>
  </si>
  <si>
    <t>IRC for Operational, Instrumentation, GAIL TEL &amp; Peripheral Service under Vizag, G. Konduru &amp; Cherlapally Region in VSPL</t>
  </si>
  <si>
    <t>Pre Bid Meeting is on 08.07.2024</t>
  </si>
  <si>
    <t>Gujarat Narmada Valley Fertilizers &amp; Chemicals Limited (GNFC)</t>
  </si>
  <si>
    <t>SPG/ARC/4221/2024</t>
  </si>
  <si>
    <t>Services of Engineers</t>
  </si>
  <si>
    <t>Pre Bid Meeting is on 16.07.2024</t>
  </si>
  <si>
    <t>GEM/2024/B/5134950</t>
  </si>
  <si>
    <t>Providing Manpower for Instrumentation Related Jobs at Uran Terminal.</t>
  </si>
  <si>
    <t>GEM/2024/B/5138609</t>
  </si>
  <si>
    <t>Providing Services of Experienced Engineers and Other Manpower Services on Contract Basis for BPCL MRPL Project Offices in Mumbai Refinery and Rasayani</t>
  </si>
  <si>
    <t xml:space="preserve">Hindustan Aeronautics Limited (HAL) </t>
  </si>
  <si>
    <t>Nashik</t>
  </si>
  <si>
    <t>GEM/2024/B/5066818</t>
  </si>
  <si>
    <t>Work Package for Store Activities for Two Years 2024-26</t>
  </si>
  <si>
    <t>2400013834-HB-06600</t>
  </si>
  <si>
    <t>Safety Services at Warehouse Areas</t>
  </si>
  <si>
    <t>2400014188-HB-06000</t>
  </si>
  <si>
    <t>Inspection Services – Projects</t>
  </si>
  <si>
    <t>Tidel Park Limited</t>
  </si>
  <si>
    <t>TIDEL/2024-25/03</t>
  </si>
  <si>
    <t>E-Tender for Selection of Agency for Supply of Manpower on Outsourcing Basis</t>
  </si>
  <si>
    <t>Tamilnadu Newsprint and Papers Limited</t>
  </si>
  <si>
    <t>TNPL/TOS/U1/242513001752</t>
  </si>
  <si>
    <t>Providing Outsourced Manpower Assistance -Engineer for various Offsites</t>
  </si>
  <si>
    <t>GSPC/Well Site Services/2024-25/579</t>
  </si>
  <si>
    <t>Hiring of Well Site Services on Callout basis for onshore Blocks in Gujarat operated by GSPC</t>
  </si>
  <si>
    <t>1) Aarvi Encon Ltd: Rs. 6,26,48,215.17/- (L1)
2) Sanmarg Projects Pvt Ltd: Rs. 6,55,14,863.72/- (L2)
3) Energon petroproducts Pvt Ltd: Rs. 7,08,42,012.71/- (L3)
4) Keshayona Procon Limited: Rs. 8,96,06,655.90/- (L4)</t>
  </si>
  <si>
    <t>1) Aarvi: Rs. 2,65,04,193.72/- (L1)
2)Prumatech: Rs. 3,05,83,280/- (L2)
3) Fabtech: Rs. 3,36,41,000.00 (L3)
4) Sinclus: Rs. 3,95,45,000.00 (L4)</t>
  </si>
  <si>
    <t>1) Mainwire Outsource Pvt Ltd: Rs. 1,17,66,032.20/- (L1)
2) MARS Mountain Security Services Pvt Ltd: Rs. 1,17,66,032.20/- (L1)
3) Geogravity Services Pvt Ltd: Rs. 1,17,66,032.20/- (L1)
4) Goswami Security Services Pvt Ltd.: Rs. 1,17,66,032.20/- (L1)
Aarvi was Technically Disqualified</t>
  </si>
  <si>
    <t>10000000000KSPPL/COIMBATORE/CA STAFF/2024/01</t>
  </si>
  <si>
    <t xml:space="preserve"> Hiring of Retired Revenue Staffs &amp; Office Staff through a Manpower Agency, on Contract Basis for Tamilnadu Project works of Kochi Salem Pipeline PVT LTD KSPPL(A Local-BPCL Joint Venture)</t>
  </si>
  <si>
    <t>HURL/BR/CC/24-25/1017/1055</t>
  </si>
  <si>
    <t>Manpower Deployment and Assistance in the UPH Plant at HURL Barauni Plant</t>
  </si>
  <si>
    <t>GEM/2024/B/5163221</t>
  </si>
  <si>
    <t>Engagement of Supervising Agency for day-to-day supervision of pipeline construction work for quality surveillance and conformity assessment in Kandla Gorakhpur (KGPL) LPG Pipeline Project. Group A1 – Gujarat Group B1 – Madhya Pradesh Group C1 – Uttar Pradesh</t>
  </si>
  <si>
    <t>GEM/2024/B/5170092</t>
  </si>
  <si>
    <t>Hiring of External Resources on Contract Basis for Various LPG Plants</t>
  </si>
  <si>
    <t>Pre Bid Meeting is on 24.07.2024</t>
  </si>
  <si>
    <t>Delhi International Airport Limited</t>
  </si>
  <si>
    <t>RFQ/DIAL/24-25/0167</t>
  </si>
  <si>
    <t>Annual Operation &amp; Maintenance Contract of WTP-STP and
Associated Facilities Including Distribution Network at IGI Airport,New Delhi</t>
  </si>
  <si>
    <t>HMEL</t>
  </si>
  <si>
    <t>5320 (9450000223)</t>
  </si>
  <si>
    <t xml:space="preserve">Service enquiry for providing safety officer </t>
  </si>
  <si>
    <t>Regretted Since the requirement is more for Un-Skilled Persons</t>
  </si>
  <si>
    <t>Regretted Since the value of Tender is less</t>
  </si>
  <si>
    <t>1) Friends Earth Movers: Rs. 1,82,64,841.61/- (L1)
2) Ashwani Kumar: Rs. 1,87,21,186.44/- (L2)
3) Smart Automation: Rs. 1,91,74,032.19- (L3)
4) Aarvi Encon Ltd: Rs. 1,93,05,937.28/- (L4)
5) Hindustan Fabricators &amp; contractors: Rs. 1,94,64,840.67/- (L5)
6) Kurj Projects Pvt Ltd: Rs. 1,98,69,050.84/- (L6)
7) Kamal Electricals: Rs. 2,02,75,126.23/- (L7)
8) MZ Engineering: Rs. 2,15,53,230.36/- (L8)
9) ASK EHS Engineering &amp; Consultants Pvt Ltd: Rs. 2,64,96,000/- (L9)</t>
  </si>
  <si>
    <t>Mahul</t>
  </si>
  <si>
    <t>2400014066-HB-01585</t>
  </si>
  <si>
    <t>Contract Lab Analyst at Mahul Lab</t>
  </si>
  <si>
    <t>SBR Operations Contract at site Barabanki Manufacturing Division, Uttar Pradesh</t>
  </si>
  <si>
    <t>V.O. Chidambaranar Port Trust</t>
  </si>
  <si>
    <t>FIN-EST0CORR(MISC)/4/2022</t>
  </si>
  <si>
    <t>HNGPL/HARIDWAR/BILLING SERVICES/2024-25/01</t>
  </si>
  <si>
    <t>Hiring an agency of billing service provider for carrying meter reading, bill generation, bill distribution, including revenue recovery for DPNG, commercial &amp; industrial customers of HNGPL in Haridwar GA” for the period of two year</t>
  </si>
  <si>
    <t>2400014671-HB-04546</t>
  </si>
  <si>
    <t>Providing Technical Manpower Services at HPCL Mazgaon Lube Plant</t>
  </si>
  <si>
    <t xml:space="preserve"> ZW6TL24001</t>
  </si>
  <si>
    <t>O and M contract for U field and Onshore MEG facility OMF at OOT of Eastern Offshore Asset EOA Kakinada for three years</t>
  </si>
  <si>
    <t>GEM/2024/B/5206732</t>
  </si>
  <si>
    <t>Providing Service for Hiring Contract Engineers at Pipelines</t>
  </si>
  <si>
    <t>GEM/2024/B/5200613</t>
  </si>
  <si>
    <t>Hiring Service of Operational Assistance in ISBL &amp; OSBL Plants at GMPL Mangalore for Period of 2 Years.</t>
  </si>
  <si>
    <t>Pre Bid Meeting is on 31.07.2024</t>
  </si>
  <si>
    <t>Gujarat State Petroleum Corporation</t>
  </si>
  <si>
    <t>GSPC/O &amp; M Services/TARAPUR RFPSC/24-25/587</t>
  </si>
  <si>
    <t>for Hiring of Operation &amp; Maintenance (O &amp; M) Services of Production Facilities</t>
  </si>
  <si>
    <t>HNGPL/HARIDWAR/TECH&amp;NON-TECH MANPOWER/24-25/01</t>
  </si>
  <si>
    <t>Hiring an agency of Technical and Non-Technical Manpower for HNGPL in Haridwar GA for two Years</t>
  </si>
  <si>
    <t>Pre Bid Meeting is on 05.08.2024</t>
  </si>
  <si>
    <t>Kavaratti</t>
  </si>
  <si>
    <t>GEM/2024/B/5256577</t>
  </si>
  <si>
    <t>Operation &amp; Maintenance Contract for the IOC Lab at Kavaratti Island in the Union Territory of Lakshadweep (UTL) for a Period of One Year</t>
  </si>
  <si>
    <t>GEM/2024/B/5246401</t>
  </si>
  <si>
    <t>Providing Safety Supervisors to Assist Safety Department At Barauni</t>
  </si>
  <si>
    <t>Kailaras</t>
  </si>
  <si>
    <t>GEM/2024/B/5232623</t>
  </si>
  <si>
    <t>Pre Bid Meeting is on 13.08.2024</t>
  </si>
  <si>
    <t>GEM/2024/B/5273091</t>
  </si>
  <si>
    <t>Hiring of Service Contract for Operational Assistance in ECU &amp; GSU of BCPL, Lepetkata for a Period of 02 Years</t>
  </si>
  <si>
    <t>Pre Bid Meeting is on 23.08.2024</t>
  </si>
  <si>
    <t>GEM/2024/B/5171560</t>
  </si>
  <si>
    <t>GEM/2024/B/5166529</t>
  </si>
  <si>
    <t>Hiring of Contract Services for Operational Assistance of DVPL-I&amp;II, HVJ, Associated Utilities and Providing Control Room Support on Round the Clock Basis at Gail Jhabua Compressor Station for a Period of Two Years</t>
  </si>
  <si>
    <t>Ramgarh</t>
  </si>
  <si>
    <t>GEM/2024/B/5239519</t>
  </si>
  <si>
    <t>Hiring of Support Service for Operational &amp; Maintenance Activities of Ramgarh for a Period of 2 Years</t>
  </si>
  <si>
    <t>GEM/2024/B/5291719</t>
  </si>
  <si>
    <t>Providing 9 No Of Semiskilled Manpower for Collecting Sample in Rotating Shift And (3+1) Semiskilled Manpower in General Shift for Cleaning and Other General Purpose in Laboratory</t>
  </si>
  <si>
    <t>GEM/2024/B/5284182</t>
  </si>
  <si>
    <t>ARC for Instrumentation Maintenance jobs to be executed during Shutdown in next 2 years at various units at PR/PREP AND PX/PTA</t>
  </si>
  <si>
    <t>GEM/2024/B/5298736</t>
  </si>
  <si>
    <t>Hiring of Service Contract for Field Operational Assistance in Bagging and Dispatch of Finished Product at Product Warehouse, BCPL Lepetkata for 02 (Two) Years</t>
  </si>
  <si>
    <t>GEM/2024/B/5292462</t>
  </si>
  <si>
    <t>Providing manpower for Manpower for Operations Assistance Service at Visakha Black Oil Terminal</t>
  </si>
  <si>
    <t>National Institute of Technology</t>
  </si>
  <si>
    <t>GEM/2024/B/5242356</t>
  </si>
  <si>
    <t>Manpower Outsourcing Services</t>
  </si>
  <si>
    <t>GEM/2024/B/5287928</t>
  </si>
  <si>
    <t>Engagement of Service Providers for assistance and various miscellaneous jobs at inspection department, Guwahati Refinery</t>
  </si>
  <si>
    <t>RFQ_7028668</t>
  </si>
  <si>
    <t>RFQ_7028676</t>
  </si>
  <si>
    <t>Tender for "HIRING of MASTER TECHNICIAN &amp; HEAVY RIGGER_TA'25" at HPL Complex, Haldia</t>
  </si>
  <si>
    <t>HIRING of ENGINEERs (STATIC &amp; ROTARY) _TA'25" at HPL Complex</t>
  </si>
  <si>
    <t>Larsen &amp; Toubro</t>
  </si>
  <si>
    <t>Doc 4736570745</t>
  </si>
  <si>
    <t>Manpower for SSF Well Pads.</t>
  </si>
  <si>
    <t>PT. SAIPEM INDONESIA</t>
  </si>
  <si>
    <t>Blue Collar Manpower Supply for Karimun Yard</t>
  </si>
  <si>
    <t>RFP 11915227 - 6001824795</t>
  </si>
  <si>
    <t>GNGPL/C and P/2024/T-17</t>
  </si>
  <si>
    <t>Annual Rate Contract for Hiring of Agency to Provide Manpower and Operation and Maintenance Service at Goa Natural Gas Pvt Ltd in North GOA GA for One Years</t>
  </si>
  <si>
    <t>GEM/2024/B/5303540</t>
  </si>
  <si>
    <t>Engagement of Agency for providing experienced contractual Engineers/Officers across different sections of  Numaligarh Refinery Expansion Project</t>
  </si>
  <si>
    <t>Barabanki</t>
  </si>
  <si>
    <t>Hiring of Engineers on contract basis at Barabanki Manufacturing Division</t>
  </si>
  <si>
    <t>Agency Engineer for Construction power &amp; Misc. electrical jobs</t>
  </si>
  <si>
    <t>Agency Engineer for Construction power &amp; Misc. elect jobs</t>
  </si>
  <si>
    <t>Regretted Since the Value of Tender is less</t>
  </si>
  <si>
    <t>GEM/2024/B/5286079</t>
  </si>
  <si>
    <t>Hiring of Contract Engineers (Civil) for Assisting Field Maintenance Works in BPCL Mumbai Refinery.</t>
  </si>
  <si>
    <t>CC Energy Development</t>
  </si>
  <si>
    <t>Oman</t>
  </si>
  <si>
    <t>PR-010515</t>
  </si>
  <si>
    <t>Provision of Integrated Maintenance Services at Blocks 3 &amp; 4</t>
  </si>
  <si>
    <t>Rites Limited</t>
  </si>
  <si>
    <t>GEM/2024/B/5303750</t>
  </si>
  <si>
    <t>Procurement of Non-consultancy Services</t>
  </si>
  <si>
    <t>Vadodara Gas Ltd</t>
  </si>
  <si>
    <t>VGL/CO/C&amp;P-HR/BD202406S155</t>
  </si>
  <si>
    <t>Hiring of Manpower through Third Party for Peripheral and Support Service at VGL</t>
  </si>
  <si>
    <t>SECI/C&amp;P/EOI/17/0002/24-25</t>
  </si>
  <si>
    <t>Selection of Executing Agency for setting up of Hydrogen Hubs under National Green Hydrogen Mission</t>
  </si>
  <si>
    <t xml:space="preserve">BHEL </t>
  </si>
  <si>
    <t>ID/TBSG/24-25/H2FC/001</t>
  </si>
  <si>
    <t>LONG TERM STRATEGIC TIE-UPs WITH FUEL CELL OEM for Green Hydrogen Fuel Cell Locomotive(s)</t>
  </si>
  <si>
    <t>GEM/2024/B/5312550</t>
  </si>
  <si>
    <t>Providing Service Assistance for Day-To-Day Maintenance Jobs in Garage Area at CPCL Manali</t>
  </si>
  <si>
    <t>Pre Bid Meeting is on 29.08.2024</t>
  </si>
  <si>
    <t>GEM/2024/B/5315106</t>
  </si>
  <si>
    <t>Support &amp; Peripheral Services in NCR (O&amp;M), Noida</t>
  </si>
  <si>
    <t>GEM/2024/B/5327990</t>
  </si>
  <si>
    <t>Upkeepment of CCU</t>
  </si>
  <si>
    <t>GEM/2024/B/5290230</t>
  </si>
  <si>
    <t>Annual Rate Contract (ARC) for Instrumentation Maintenance Activities at Gail, Vaghodia for a Period of Two Years</t>
  </si>
  <si>
    <t>RFQ/VAD/MECH/1135</t>
  </si>
  <si>
    <t>ARC For Operation &amp; Maintenance Of Workshop Facilities And Heavy Equipment Of Refinery &amp; PP at Nayara Refinery Site</t>
  </si>
  <si>
    <t>MGL/C&amp;P/E&amp;P/5867/2024-25/BB</t>
  </si>
  <si>
    <t>Providing Engineers on Contract Basis for undertaking site supervision and associated activities of Project for a short term of eight months</t>
  </si>
  <si>
    <t>Pre Bid Meeting is on 03.09.2024</t>
  </si>
  <si>
    <t>Regretted since the tender is on contract basis</t>
  </si>
  <si>
    <t>Operation and Maintenance (O &amp; M) of Water Soluble Fertilizer Plant, SAG-SAL Plant and LBCN plant at GSFC Fertilizer Nagar Complex</t>
  </si>
  <si>
    <t>Rate Contract for Technical Assistance on Monthly Basis for Site Work</t>
  </si>
  <si>
    <t>Pre Bid Meeting is on 04.09.2024</t>
  </si>
  <si>
    <t>RFQ_7028827</t>
  </si>
  <si>
    <t>Hiring of Fire Operator_TA'25" at HPL Complex, Haldia</t>
  </si>
  <si>
    <t>GEM/2024/B/5349914</t>
  </si>
  <si>
    <t>for Hiring Agency for Manpower Outsourcing</t>
  </si>
  <si>
    <t>Pre Bid Meeting is on 10.09.2024</t>
  </si>
  <si>
    <t>2400015818-HB-05000</t>
  </si>
  <si>
    <t>Technical Services for ATF Pipeline of Mumbai ASF</t>
  </si>
  <si>
    <t>GEM/2024/B/5337331</t>
  </si>
  <si>
    <t>Tender for Providing Manpower Service For Carrying out Refractory jobs in Refinery</t>
  </si>
  <si>
    <t>GEM/2024/B/5340943</t>
  </si>
  <si>
    <t>GEM/2024/B/5354987</t>
  </si>
  <si>
    <t>Supply of Chemists Manpower for Sample Collection and Analysis of Various Samples in Chemical Laboratory at HURL, Barauni</t>
  </si>
  <si>
    <t>2400015949-HB-06000</t>
  </si>
  <si>
    <t>Preservation Services at MR WH</t>
  </si>
  <si>
    <t>1) Dinu Electricals.: Rs. 90,91,102.41/- (L1)
2) Anil Kumar K. K.: Rs. 96,18,983.05/- (L2)
3) Mecon Engineering Construction.: Rs. 1,04,04,238.00/- (L3)
4) Technocrats.: Rs. 1,04,78,814.27/- (L4)
5) C. P. Saidhu.: Rs. 1,38,02,966.94/- (L5)
6) Aarvi Encon Ltd.: Rs. 1,42,37,205.54/- (L6)</t>
  </si>
  <si>
    <t>Regret - 100% MSE purchase preference</t>
  </si>
  <si>
    <t>Regretted Since it is only Housekeeping Job</t>
  </si>
  <si>
    <t>Regretted Due to MSE bidders</t>
  </si>
  <si>
    <t>GEM/2024/B/5366414</t>
  </si>
  <si>
    <t>Hiring of Services for Operational Assistance Service at Polypropylene Plant in Gail, Pata</t>
  </si>
  <si>
    <t>Pre Bid Meeting is on 20.09.2024</t>
  </si>
  <si>
    <t>Coimbatore / Bengalure</t>
  </si>
  <si>
    <t>Providing Service for Assisting Competent Authority Regarding ROU Acquisition Related Activities for Iurgur (Coimbatore)- Devangothi (Bengalure) Pipeline(IDPL) Project.</t>
  </si>
  <si>
    <t>Tripura Natural Gas Company Ltd.</t>
  </si>
  <si>
    <t>Tripura</t>
  </si>
  <si>
    <t>TNGCL/CNP/Manpower/HR/SC(203)/2024-25</t>
  </si>
  <si>
    <t>Hiring of Service Provider for Providing Manpower Support Service ATTNGCL for a Period of 36 Months</t>
  </si>
  <si>
    <t>2400015960-HB-09550</t>
  </si>
  <si>
    <t>Technical Services for Operation of CAAS Facility</t>
  </si>
  <si>
    <t>TNGCL/CNP/HSE Manpower/FNS/SC(902)/2024-25</t>
  </si>
  <si>
    <t>Hiring of HSE Related Manpower for CGD Project of TNGL</t>
  </si>
  <si>
    <t>GEM/2024/B/5407330</t>
  </si>
  <si>
    <t>Hiring of AMC service for HVAC, SPLIT &amp; Window Type Air-Conditioning System at KLL Plant &amp; Office for 2 Years</t>
  </si>
  <si>
    <t>Auraiya</t>
  </si>
  <si>
    <t>National Thermal Power Corporation (NTPC)</t>
  </si>
  <si>
    <t>GEM/2024/B/5345412</t>
  </si>
  <si>
    <t>Contract for Deployment of Manpower for NON OnM Support for Auraiya</t>
  </si>
  <si>
    <t xml:space="preserve">Jawaharlal Nehru Port Authority </t>
  </si>
  <si>
    <t>Nhava Sheva</t>
  </si>
  <si>
    <t>JNPA/M&amp;EE/DGM (US)/Manpower/2024/E-347</t>
  </si>
  <si>
    <t>Engagement of Engineers on contract basis for JNPA M&amp;EE section</t>
  </si>
  <si>
    <t>Operation and Maintenance (O &amp; M) of A. Water Soluble Fertilizer plant including repacking B. Sardar Amin Granules(SAG) Sardar Amin Liquid(SAL) Plants &amp;C. Liquid Boronated Calcium Nitrate plant (LBCN)</t>
  </si>
  <si>
    <t>Providing Services for Occupational Health Centre (OHC) at GSPC LNG Terminal, Mundra, Gujarat, India</t>
  </si>
  <si>
    <t>GLL/Tender/2024-25/OHC/08
(106504)</t>
  </si>
  <si>
    <t>HSCC (India) Limited</t>
  </si>
  <si>
    <t>HSCC/HRM/OMA/2024</t>
  </si>
  <si>
    <t>Engagement of Agencies for providing Manpower on Hire basis in Pan India Offices/Sites of HSCC (India) Limited</t>
  </si>
  <si>
    <t>Pre Bid Meeting is on 24.09.2024</t>
  </si>
  <si>
    <t>VGL/CO/C&amp;P-HR/BD202406S155 - R1</t>
  </si>
  <si>
    <t>Karnataka</t>
  </si>
  <si>
    <t>GEM/2024/B/5423267</t>
  </si>
  <si>
    <t>Contract Engineer for Projects Across Karnataka State</t>
  </si>
  <si>
    <t>Nuclear Power Corporation of India Limited</t>
  </si>
  <si>
    <t>GEM/2024/B/5336923</t>
  </si>
  <si>
    <t>Manpower Assistance for operation of Industrial Canteen RRS, Unit#5&amp;6</t>
  </si>
  <si>
    <t>GEM/2024/B/5411150</t>
  </si>
  <si>
    <t>Hiring of Operation Support Services for Bharuch Region for a Period of Two Years</t>
  </si>
  <si>
    <t>Inland Waterways Authority of India (IWAI)</t>
  </si>
  <si>
    <t>GEM/2024/B/5373707</t>
  </si>
  <si>
    <t>Engagement of skilled Crew for operation, safety and maintenance of vessels of IWAI as per defined scope for a period of 18 months for N.W.-01 (Kolkata-Kahalgaon) and Protocol Route</t>
  </si>
  <si>
    <t>Talcher</t>
  </si>
  <si>
    <t>GEM/2024/B/5406413</t>
  </si>
  <si>
    <t>Providing Specialist Services (Certified Scaffolder Specialist &amp;amp; Certified Rigger Specialist) for strengthening of Safety Culture and effective implementation of Health, Safety &amp;amp; Environment Management System at 3X800 MW PVUNL PATRATU STPP (EPC) Project &amp;amp; 2X660 MW BHEL TALCHER PROJECT</t>
  </si>
  <si>
    <t>GEM/2024/B/5391205</t>
  </si>
  <si>
    <t>Operational Services for the Green Hydrogen Unit</t>
  </si>
  <si>
    <t>GEM/2024/B/5419206</t>
  </si>
  <si>
    <t>Hiring of Operation &amp; Maintenance Support Service for JHBDPL-Odisha section Natural Gas Pipeline</t>
  </si>
  <si>
    <t>Pre Bid Meeting is on 03.10.2024</t>
  </si>
  <si>
    <t>2404C00144</t>
  </si>
  <si>
    <t>Operation &amp; Maintenance of Product Warehouse at OPaL, Dahej</t>
  </si>
  <si>
    <t>2418C00431</t>
  </si>
  <si>
    <t>Hiring agency for operation execution assistance services at OPaL, Dahej</t>
  </si>
  <si>
    <t>GEM/2024/B/5416573</t>
  </si>
  <si>
    <t>Annual operation and maintenance of Sub-station, power house, internal &amp; external electrical installations etc. at DATS Complex, IGI Airport, New  Delhi for two years</t>
  </si>
  <si>
    <t>GEM/2024/B/5433890</t>
  </si>
  <si>
    <t>Service Assistance for Instrumentation Jobs at CPCL</t>
  </si>
  <si>
    <t>Pre Bid Meeting is on 01.10.2024</t>
  </si>
  <si>
    <t>Coimbatore</t>
  </si>
  <si>
    <t>GEM/2024/B/5428221</t>
  </si>
  <si>
    <t>IGGL-100067</t>
  </si>
  <si>
    <t>Hiring of Agency for Providing Support &amp; Peripheral Manpower Service for IGGL Corporate Office on Contractual Basis</t>
  </si>
  <si>
    <t>GEM/2024/B/5460323</t>
  </si>
  <si>
    <t>Manpower at Mumbai Based Offices</t>
  </si>
  <si>
    <t>Boingaigaon</t>
  </si>
  <si>
    <t>GEM/2024/B/5425916</t>
  </si>
  <si>
    <t>Support Services for Mechanical Maintenance of DHDT, GTG &amp; BSVI Block and EPT Unit at Bongaigaon Refinery</t>
  </si>
  <si>
    <t>2400016355-HB-04957</t>
  </si>
  <si>
    <t>Contract Engineers for Chennai Lube Plant</t>
  </si>
  <si>
    <t>Metro Rail Corporation Limited</t>
  </si>
  <si>
    <t>N1-HR-07/2024</t>
  </si>
  <si>
    <t>Providing Administrative / Technical Support Services in Maharashtra Metro Rail Corporation Limited on outsourced basis for a period of 02 (two) years</t>
  </si>
  <si>
    <t>GEM/2024/B/5461949</t>
  </si>
  <si>
    <t>Outsourcing services for Supply of Highly Skilled Technicians for day to day operation &amp; maintenance of testing and processing equipments at PADC, Paradip</t>
  </si>
  <si>
    <t>National Small Industries Corporation Limited (NSIC)</t>
  </si>
  <si>
    <t>GEM/2024/B/5471744</t>
  </si>
  <si>
    <t>Personnel for Allied Services in NSIC Technical Services Centre</t>
  </si>
  <si>
    <t>GEM/2024/B/5469421</t>
  </si>
  <si>
    <t>Annual Rate Contract for Electrical Safety Supervisors at IOCL Gujarat Refinery</t>
  </si>
  <si>
    <t>Providing Service for Assistance in Planning at Coimbatore LPG Plant.</t>
  </si>
  <si>
    <t>Airports Authority Of India (AAI)</t>
  </si>
  <si>
    <t>GEM/2024/B/5444135</t>
  </si>
  <si>
    <t>Provision of Technical Assistant services to Engineering office Civil at AAI/ RHQ-SR,  Chennai &amp; Salem Airport</t>
  </si>
  <si>
    <t>Jewar</t>
  </si>
  <si>
    <t>GEM/2024/B/5471695</t>
  </si>
  <si>
    <t>Providing Service for Third Party Inspection QC Engineer for Piyala Jewar Airport ATF Pipeline Project</t>
  </si>
  <si>
    <t>GEM/2024/B/5471049</t>
  </si>
  <si>
    <t xml:space="preserve"> Providing Job of Cylinder handling services and Production line services at Nashik LPG Plant</t>
  </si>
  <si>
    <t>GEM/2024/B/5457078</t>
  </si>
  <si>
    <t>Support Services for assisting construction works of KKNPP 3&amp;4 Units for 2 years</t>
  </si>
  <si>
    <t>Regretted Since it is on Minimum Wages Basis</t>
  </si>
  <si>
    <t>VGL/CO/C&amp;P-HR/BD202406S155 - R1 - II</t>
  </si>
  <si>
    <t>THDC India Limited</t>
  </si>
  <si>
    <t>THDCIL/NCR/CC-491</t>
  </si>
  <si>
    <t>Empanelment of agencies for providing Manpower (Secretarial &amp; Technical) on Contract Basis at THDCIL’s Corporate Office Rishikesh and other Office/Units.</t>
  </si>
  <si>
    <t>Nayara Energy Limited</t>
  </si>
  <si>
    <t>RFP/MUM/Marketing/101024</t>
  </si>
  <si>
    <t>Rishikesh</t>
  </si>
  <si>
    <t>Operation, maintenance &amp; housekeeping of Electrical &amp; Fire fighting facility at Pali depot for a period of 3 years</t>
  </si>
  <si>
    <t>RFQ/VAD/MECH/1193</t>
  </si>
  <si>
    <t>ARCs for CPP O&amp;M Manpower Deployment for CPP Base Plant (77MW), Coal Handling Plant (CHP), Phase- 1&amp;2 and Ash Handling Plant (AHP) (For 3 years).</t>
  </si>
  <si>
    <t>6555 (9160001921)</t>
  </si>
  <si>
    <t>Operation &amp; Maintenance Contract for HMPL Station (COT - Mundra, IPS - 2, IPS - 3, IPS - 4 and CRT - Bathinda)</t>
  </si>
  <si>
    <t>Salem Division – Gati Shakti/Southern Railway</t>
  </si>
  <si>
    <t>SA-GSU-OT-07-2024-01</t>
  </si>
  <si>
    <t>Petronet LNG Limited (PLL)</t>
  </si>
  <si>
    <t>PLL/DHJ/ME/10530/2024-25</t>
  </si>
  <si>
    <t>Selection of Contractor for Annual Maintenance Contract (AMC) for Assistance in Maintenance Activities at Petronet LNG Limited ,Dahej(Gujarat) India</t>
  </si>
  <si>
    <t>GEM/2024/B/5496178</t>
  </si>
  <si>
    <t>Pre Bid Meeting is on 16.10.2024</t>
  </si>
  <si>
    <t>1) Shree Kedarlingh Enterprises.: Rs. 26,64,000/- (L1)
2) Aarvi Encon Ltd.: Rs. 33,07,824/- (L2)
3) Shree Ganesh Enterprises.: Rs. 36,72,000/- (L3)</t>
  </si>
  <si>
    <t>1) Aaditya Sai Enterprises.: Rs. 63,55,899.83/- (L1) [4.80%]
2) Madhu NM.: Rs. 64,34,742.10/- (L2) [6.10%]
3) G Ramesh.: Rs. 65,62,102.69/- (L3) [8.20%]
4) Gopal.: Rs. 66,10,621.01/- (L4) [9.00%]
5) Aarvi Encon Ltd.: Rs.66,10,621.01/- (L5) [9.00%]</t>
  </si>
  <si>
    <t xml:space="preserve">RFCL /Site/Mech/COM/2023/11/RE/SD_MANPOWER </t>
  </si>
  <si>
    <t>Contract for Supply of Manpower for various Mechanical Shutdown Works</t>
  </si>
  <si>
    <t>Railway Autonomous - Gati Shakti Vishwavidyalaya</t>
  </si>
  <si>
    <t>GEM/2024/B/5508647</t>
  </si>
  <si>
    <t>Providing manpower outsourcing services to Gati Shakti Vishwavidyalaya, Lalbaug, Vadodara for period of two years and extendable by one year</t>
  </si>
  <si>
    <t>RFCL/Elect/ARC 24-26/factory mtc/001</t>
  </si>
  <si>
    <t>Annual Rate Contract for Assistance of Manpower for Maintaining Shifts in CP&amp;O, Ammonia, Urea and Bagging, Factory area Maintenance, Murmur Pump House Maintenance, Battery and Earth Pits Maintenance and Substation Cleaning for the Year 2024-26 at RFCL , Ramagundam</t>
  </si>
  <si>
    <t>RFCL/Elect/ARC/24-26/Township mtc/001</t>
  </si>
  <si>
    <t>Annual rate Contract for Assistance of Man power in Township and Township Area maintenance for the year 2024-26 at RFCL, Ramagundam</t>
  </si>
  <si>
    <t>Brahmaputra Cracker And Polymer Limited</t>
  </si>
  <si>
    <t>GEM/2024/B/5502233</t>
  </si>
  <si>
    <t>Hiring of Peripheral and Support Services at BCPL Lepetkata, Lakwa and Guwahati</t>
  </si>
  <si>
    <t>Pre Bid Meeting is on 22.10.2024</t>
  </si>
  <si>
    <t>GEM/2024/B/5492856</t>
  </si>
  <si>
    <t>Assistance in various Inspection &amp; Non Destructive Testing (NDT) jobs at Mathura Refinery</t>
  </si>
  <si>
    <t>Hiring of Trained Nursing Staff and Doctors During TA-2025 at HMEL Refinery Site, Bathinda</t>
  </si>
  <si>
    <t>GEM/2024/B/5500002</t>
  </si>
  <si>
    <t>Providing Service assistance, Hydra on hire and supplying consumables in various Mechanical/Electrical/T&amp;I maintenance at WRPL Jamnagar Pump Station</t>
  </si>
  <si>
    <t>GEM/2024/B/5433812</t>
  </si>
  <si>
    <t>Pre Bid Meeting is on 06.11.2024</t>
  </si>
  <si>
    <t>GEM/2024/B/5493974</t>
  </si>
  <si>
    <t>Supply of Experienced Field Operations &amp; Semi-Skilled Worker for Operations at HURL Barauni Plant</t>
  </si>
  <si>
    <t>GEM/2024/B/5502081</t>
  </si>
  <si>
    <t>Operation Contract for WPT, DM &amp; CPU Plants at HURL Barauni</t>
  </si>
  <si>
    <t>GEM/2024/B/5528689</t>
  </si>
  <si>
    <t>Technical Manpower for SOD SBU</t>
  </si>
  <si>
    <t>Deputation of agency manpower for instrumentation jobs for Turnaround- 2026 for refinery Vadinar sites</t>
  </si>
  <si>
    <t>JSW Steel Limited</t>
  </si>
  <si>
    <t>Dolvi</t>
  </si>
  <si>
    <t>3100756956-1300301290-DOLVI-Revenue Services</t>
  </si>
  <si>
    <t>Electrical work service for HARSCO.</t>
  </si>
  <si>
    <t>2400016822-HB-06000</t>
  </si>
  <si>
    <t>GEM/2024/B/5533752</t>
  </si>
  <si>
    <t>Hiring of Manpower for Revenue Support Services for JHBDPL Odisha for 01 Year</t>
  </si>
  <si>
    <t>Pre Bid Meeting is on 04.11.2024</t>
  </si>
  <si>
    <t>2400016894-HB-04546</t>
  </si>
  <si>
    <t>Providing Clerical Assistance Jobs at Mazgaon Lube Plant</t>
  </si>
  <si>
    <t>Regretted Since the Manpower required &amp; Value of Tender is less</t>
  </si>
  <si>
    <t>2400016758-HB-06000</t>
  </si>
  <si>
    <t>Engagement of Safety Stewards at MR, HPCL</t>
  </si>
  <si>
    <t xml:space="preserve">Regretted Since the contract is non divisible &amp; pro MSE </t>
  </si>
  <si>
    <t>AAI</t>
  </si>
  <si>
    <t>Trichy</t>
  </si>
  <si>
    <t>GEM/2024/B/5440022</t>
  </si>
  <si>
    <t>Annual Maintenance, operation of E&amp;M Installations in New Residential Colony and CISF barrack located at wireless station at Trichy Airport (2024-2026)</t>
  </si>
  <si>
    <t>Pawan Goswami</t>
  </si>
  <si>
    <t>CPCL – CBRP 1524</t>
  </si>
  <si>
    <t>2400016870-HB-06000</t>
  </si>
  <si>
    <t>Operational Service for Access Control Section MR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</si>
</sst>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quot;₹&quot;\ * #,##0.00_ ;_ &quot;₹&quot;\ * \-#,##0.00_ ;_ &quot;₹&quot;\ * &quot;-&quot;??_ ;_ @_ "/>
  </numFmts>
  <fonts count="18" x14ac:knownFonts="1">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11"/>
      <color theme="0"/>
      <name val="Calibri"/>
      <family val="2"/>
      <scheme val="minor"/>
    </font>
    <font>
      <b/>
      <u/>
      <sz val="11"/>
      <color theme="5" tint="-0.499984740745262"/>
      <name val="Calibri"/>
      <family val="2"/>
      <scheme val="minor"/>
    </font>
    <font>
      <sz val="8"/>
      <color theme="1"/>
      <name val="Calibri"/>
      <family val="2"/>
      <scheme val="minor"/>
    </font>
    <font>
      <b/>
      <u/>
      <sz val="11"/>
      <color theme="8" tint="-0.499984740745262"/>
      <name val="Calibri"/>
      <family val="2"/>
      <scheme val="minor"/>
    </font>
    <font>
      <b/>
      <u/>
      <sz val="11"/>
      <color rgb="FF002060"/>
      <name val="Calibri"/>
      <family val="2"/>
      <scheme val="minor"/>
    </font>
    <font>
      <sz val="11"/>
      <color rgb="FFFF0000"/>
      <name val="Calibri"/>
      <family val="2"/>
      <scheme val="minor"/>
    </font>
    <font>
      <b/>
      <sz val="11"/>
      <color theme="0"/>
      <name val="Calibri"/>
      <family val="2"/>
      <scheme val="minor"/>
    </font>
    <font>
      <b/>
      <sz val="10"/>
      <color theme="5" tint="-0.499984740745262"/>
      <name val="Calibri"/>
      <family val="2"/>
      <scheme val="minor"/>
    </font>
    <font>
      <b/>
      <u/>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scheme val="minor"/>
    </font>
    <font>
      <sz val="10"/>
      <color indexed="8"/>
      <name val="Calibri"/>
      <family val="2"/>
    </font>
    <font>
      <sz val="10"/>
      <name val="Calibri"/>
      <family val="2"/>
    </font>
  </fonts>
  <fills count="9">
    <fill>
      <patternFill patternType="none"/>
    </fill>
    <fill>
      <patternFill patternType="gray125"/>
    </fill>
    <fill>
      <patternFill patternType="solid">
        <fgColor theme="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4"/>
      </patternFill>
    </fill>
    <fill>
      <patternFill patternType="solid">
        <fgColor theme="4" tint="0.59999389629810485"/>
        <bgColor indexed="64"/>
      </patternFill>
    </fill>
  </fills>
  <borders count="27">
    <border>
      <left/>
      <right/>
      <top/>
      <bottom/>
      <diagonal/>
    </border>
    <border>
      <left style="thin">
        <color auto="1"/>
      </left>
      <right style="thin">
        <color auto="1"/>
      </right>
      <top style="thin">
        <color auto="1"/>
      </top>
      <bottom style="thin">
        <color auto="1"/>
      </bottom>
      <diagonal/>
    </border>
    <border>
      <left/>
      <right style="hair">
        <color theme="4" tint="0.79998168889431442"/>
      </right>
      <top/>
      <bottom style="hair">
        <color theme="4" tint="0.79998168889431442"/>
      </bottom>
      <diagonal/>
    </border>
    <border>
      <left style="hair">
        <color theme="4" tint="0.79998168889431442"/>
      </left>
      <right style="hair">
        <color theme="4" tint="0.79998168889431442"/>
      </right>
      <top/>
      <bottom style="hair">
        <color theme="4" tint="0.79998168889431442"/>
      </bottom>
      <diagonal/>
    </border>
    <border>
      <left/>
      <right style="hair">
        <color theme="4" tint="0.79998168889431442"/>
      </right>
      <top style="hair">
        <color theme="4" tint="0.79998168889431442"/>
      </top>
      <bottom style="hair">
        <color theme="4" tint="0.79998168889431442"/>
      </bottom>
      <diagonal/>
    </border>
    <border>
      <left style="thin">
        <color theme="4" tint="-0.499984740745262"/>
      </left>
      <right/>
      <top style="thin">
        <color theme="4" tint="-0.499984740745262"/>
      </top>
      <bottom/>
      <diagonal/>
    </border>
    <border>
      <left/>
      <right/>
      <top style="thin">
        <color theme="4" tint="-0.499984740745262"/>
      </top>
      <bottom/>
      <diagonal/>
    </border>
    <border>
      <left/>
      <right style="thin">
        <color theme="4" tint="-0.499984740745262"/>
      </right>
      <top style="thin">
        <color theme="4" tint="-0.499984740745262"/>
      </top>
      <bottom/>
      <diagonal/>
    </border>
    <border>
      <left style="thin">
        <color theme="4" tint="-0.499984740745262"/>
      </left>
      <right/>
      <top/>
      <bottom/>
      <diagonal/>
    </border>
    <border>
      <left style="hair">
        <color theme="4" tint="0.79998168889431442"/>
      </left>
      <right style="thin">
        <color theme="4" tint="-0.499984740745262"/>
      </right>
      <top/>
      <bottom style="hair">
        <color theme="4" tint="0.79998168889431442"/>
      </bottom>
      <diagonal/>
    </border>
    <border>
      <left style="hair">
        <color theme="4" tint="0.79998168889431442"/>
      </left>
      <right style="thin">
        <color theme="4" tint="-0.499984740745262"/>
      </right>
      <top style="hair">
        <color theme="4" tint="0.79998168889431442"/>
      </top>
      <bottom style="hair">
        <color theme="4" tint="0.79998168889431442"/>
      </bottom>
      <diagonal/>
    </border>
    <border>
      <left style="thin">
        <color theme="4" tint="-0.499984740745262"/>
      </left>
      <right/>
      <top/>
      <bottom style="thin">
        <color theme="4" tint="-0.499984740745262"/>
      </bottom>
      <diagonal/>
    </border>
    <border>
      <left/>
      <right style="hair">
        <color theme="4" tint="0.79998168889431442"/>
      </right>
      <top style="hair">
        <color theme="4" tint="0.79998168889431442"/>
      </top>
      <bottom style="thin">
        <color theme="4" tint="-0.499984740745262"/>
      </bottom>
      <diagonal/>
    </border>
    <border>
      <left style="hair">
        <color theme="4" tint="0.79998168889431442"/>
      </left>
      <right style="thin">
        <color theme="4" tint="-0.499984740745262"/>
      </right>
      <top style="hair">
        <color theme="4" tint="0.79998168889431442"/>
      </top>
      <bottom style="thin">
        <color theme="4" tint="-0.499984740745262"/>
      </bottom>
      <diagonal/>
    </border>
    <border>
      <left style="hair">
        <color theme="4" tint="0.79998168889431442"/>
      </left>
      <right style="hair">
        <color theme="4" tint="0.79998168889431442"/>
      </right>
      <top style="hair">
        <color theme="4" tint="0.79998168889431442"/>
      </top>
      <bottom style="thin">
        <color theme="4" tint="-0.499984740745262"/>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style="hair">
        <color theme="4" tint="0.79998168889431442"/>
      </left>
      <right/>
      <top/>
      <bottom style="hair">
        <color theme="4" tint="0.79998168889431442"/>
      </bottom>
      <diagonal/>
    </border>
    <border>
      <left style="hair">
        <color theme="4" tint="0.79998168889431442"/>
      </left>
      <right/>
      <top style="hair">
        <color theme="4" tint="0.79998168889431442"/>
      </top>
      <bottom style="thin">
        <color theme="4" tint="-0.499984740745262"/>
      </bottom>
      <diagonal/>
    </border>
    <border>
      <left/>
      <right style="hair">
        <color theme="4" tint="0.79998168889431442"/>
      </right>
      <top/>
      <bottom/>
      <diagonal/>
    </border>
    <border>
      <left style="hair">
        <color theme="4" tint="0.79998168889431442"/>
      </left>
      <right style="hair">
        <color theme="4" tint="0.79998168889431442"/>
      </right>
      <top/>
      <bottom/>
      <diagonal/>
    </border>
    <border>
      <left style="hair">
        <color theme="4" tint="0.79998168889431442"/>
      </left>
      <right/>
      <top/>
      <bottom/>
      <diagonal/>
    </border>
    <border>
      <left style="hair">
        <color theme="4" tint="0.79998168889431442"/>
      </left>
      <right style="thin">
        <color theme="4" tint="-0.499984740745262"/>
      </right>
      <top/>
      <bottom/>
      <diagonal/>
    </border>
    <border>
      <left style="thin">
        <color auto="1"/>
      </left>
      <right style="thin">
        <color auto="1"/>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s>
  <cellStyleXfs count="8">
    <xf numFmtId="0" fontId="0" fillId="0" borderId="0"/>
    <xf numFmtId="9" fontId="1" fillId="0" borderId="0" applyFont="0" applyFill="0" applyBorder="0" applyAlignment="0" applyProtection="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2" fillId="5" borderId="0" applyNumberFormat="0" applyBorder="0" applyAlignment="0" applyProtection="0"/>
    <xf numFmtId="0" fontId="1" fillId="6" borderId="0" applyNumberFormat="0" applyBorder="0" applyAlignment="0" applyProtection="0"/>
    <xf numFmtId="44" fontId="1" fillId="0" borderId="0" applyFont="0" applyFill="0" applyBorder="0" applyAlignment="0" applyProtection="0"/>
  </cellStyleXfs>
  <cellXfs count="80">
    <xf numFmtId="0" fontId="0" fillId="0" borderId="0" xfId="0"/>
    <xf numFmtId="0" fontId="3" fillId="0" borderId="0" xfId="0" applyFont="1" applyProtection="1">
      <protection hidden="1"/>
    </xf>
    <xf numFmtId="0" fontId="4" fillId="2" borderId="0" xfId="2" applyFont="1" applyAlignment="1" applyProtection="1">
      <alignment horizontal="center"/>
      <protection hidden="1"/>
    </xf>
    <xf numFmtId="0" fontId="5" fillId="0" borderId="0" xfId="0" applyFont="1" applyProtection="1">
      <protection hidden="1"/>
    </xf>
    <xf numFmtId="0" fontId="6" fillId="0" borderId="0" xfId="0" applyFont="1" applyAlignment="1" applyProtection="1">
      <alignment wrapText="1" shrinkToFit="1"/>
      <protection hidden="1"/>
    </xf>
    <xf numFmtId="0" fontId="3" fillId="4" borderId="17" xfId="4" applyFont="1" applyBorder="1" applyAlignment="1" applyProtection="1">
      <alignment horizontal="center" vertical="center"/>
      <protection hidden="1"/>
    </xf>
    <xf numFmtId="0" fontId="8" fillId="0" borderId="0" xfId="0" applyFont="1" applyAlignment="1" applyProtection="1">
      <alignment horizontal="center" vertical="center"/>
      <protection hidden="1"/>
    </xf>
    <xf numFmtId="0" fontId="9" fillId="0" borderId="0" xfId="0" applyFont="1" applyProtection="1">
      <protection hidden="1"/>
    </xf>
    <xf numFmtId="0" fontId="3" fillId="0" borderId="0" xfId="0" applyFont="1" applyAlignment="1" applyProtection="1">
      <alignment horizontal="center" vertical="center"/>
      <protection hidden="1"/>
    </xf>
    <xf numFmtId="0" fontId="4" fillId="0" borderId="0" xfId="0" applyFont="1" applyAlignment="1" applyProtection="1">
      <alignment horizontal="center" vertical="center"/>
      <protection hidden="1"/>
    </xf>
    <xf numFmtId="0" fontId="10" fillId="5" borderId="5" xfId="5" applyFont="1" applyBorder="1" applyAlignment="1" applyProtection="1">
      <alignment horizontal="center" vertical="center"/>
      <protection hidden="1"/>
    </xf>
    <xf numFmtId="0" fontId="7" fillId="8" borderId="6" xfId="5" applyFont="1" applyFill="1" applyBorder="1" applyAlignment="1" applyProtection="1">
      <alignment horizontal="center" vertical="center"/>
      <protection hidden="1"/>
    </xf>
    <xf numFmtId="0" fontId="7" fillId="8" borderId="7" xfId="5" applyFont="1" applyFill="1" applyBorder="1" applyAlignment="1" applyProtection="1">
      <alignment horizontal="center" vertical="center"/>
      <protection hidden="1"/>
    </xf>
    <xf numFmtId="0" fontId="4" fillId="0" borderId="0" xfId="0" applyFont="1"/>
    <xf numFmtId="0" fontId="3" fillId="6" borderId="8" xfId="6" applyFont="1" applyBorder="1" applyAlignment="1" applyProtection="1">
      <alignment horizontal="center" vertical="center" wrapText="1"/>
      <protection hidden="1"/>
    </xf>
    <xf numFmtId="0" fontId="3" fillId="0" borderId="2" xfId="0" applyFont="1" applyBorder="1" applyAlignment="1" applyProtection="1">
      <alignment horizontal="center" vertical="center"/>
      <protection hidden="1"/>
    </xf>
    <xf numFmtId="0" fontId="3" fillId="0" borderId="3" xfId="0" applyFont="1" applyBorder="1" applyAlignment="1" applyProtection="1">
      <alignment horizontal="center" vertical="center"/>
      <protection hidden="1"/>
    </xf>
    <xf numFmtId="0" fontId="3" fillId="0" borderId="18" xfId="0" applyFont="1" applyBorder="1" applyAlignment="1" applyProtection="1">
      <alignment horizontal="center" vertical="center"/>
      <protection hidden="1"/>
    </xf>
    <xf numFmtId="0" fontId="3" fillId="0" borderId="9" xfId="0" applyFont="1" applyBorder="1" applyAlignment="1" applyProtection="1">
      <alignment horizontal="center" vertical="center"/>
      <protection hidden="1"/>
    </xf>
    <xf numFmtId="4" fontId="3" fillId="0" borderId="20" xfId="7" applyNumberFormat="1" applyFont="1" applyBorder="1" applyAlignment="1" applyProtection="1">
      <alignment horizontal="center" vertical="center"/>
      <protection hidden="1"/>
    </xf>
    <xf numFmtId="4" fontId="3" fillId="0" borderId="21" xfId="7" applyNumberFormat="1" applyFont="1" applyBorder="1" applyAlignment="1" applyProtection="1">
      <alignment horizontal="center" vertical="center"/>
      <protection hidden="1"/>
    </xf>
    <xf numFmtId="4" fontId="3" fillId="0" borderId="22" xfId="7" applyNumberFormat="1" applyFont="1" applyBorder="1" applyAlignment="1" applyProtection="1">
      <alignment horizontal="center" vertical="center"/>
      <protection hidden="1"/>
    </xf>
    <xf numFmtId="4" fontId="3" fillId="0" borderId="23" xfId="7" applyNumberFormat="1" applyFont="1" applyBorder="1" applyAlignment="1" applyProtection="1">
      <alignment horizontal="center" vertical="center"/>
      <protection hidden="1"/>
    </xf>
    <xf numFmtId="0" fontId="3" fillId="6" borderId="11" xfId="6" applyFont="1" applyBorder="1" applyAlignment="1" applyProtection="1">
      <alignment horizontal="center" vertical="center" wrapText="1"/>
      <protection hidden="1"/>
    </xf>
    <xf numFmtId="10" fontId="3" fillId="0" borderId="12" xfId="1" applyNumberFormat="1" applyFont="1" applyBorder="1" applyAlignment="1" applyProtection="1">
      <alignment horizontal="center" vertical="center"/>
      <protection hidden="1"/>
    </xf>
    <xf numFmtId="10" fontId="3" fillId="0" borderId="14" xfId="1" applyNumberFormat="1" applyFont="1" applyBorder="1" applyAlignment="1" applyProtection="1">
      <alignment horizontal="center" vertical="center"/>
      <protection hidden="1"/>
    </xf>
    <xf numFmtId="10" fontId="3" fillId="0" borderId="19" xfId="1" applyNumberFormat="1" applyFont="1" applyBorder="1" applyAlignment="1" applyProtection="1">
      <alignment horizontal="center" vertical="center"/>
      <protection hidden="1"/>
    </xf>
    <xf numFmtId="10" fontId="3" fillId="0" borderId="13" xfId="1" applyNumberFormat="1" applyFont="1" applyBorder="1" applyAlignment="1" applyProtection="1">
      <alignment horizontal="center" vertical="center"/>
      <protection hidden="1"/>
    </xf>
    <xf numFmtId="0" fontId="4" fillId="0" borderId="0" xfId="0" applyFont="1" applyProtection="1">
      <protection hidden="1"/>
    </xf>
    <xf numFmtId="0" fontId="3" fillId="0" borderId="0" xfId="0" applyFont="1" applyAlignment="1" applyProtection="1">
      <alignment horizontal="center" vertical="center" wrapText="1"/>
      <protection hidden="1"/>
    </xf>
    <xf numFmtId="4" fontId="3" fillId="0" borderId="2" xfId="7" applyNumberFormat="1" applyFont="1" applyBorder="1" applyAlignment="1" applyProtection="1">
      <alignment horizontal="center" vertical="center"/>
      <protection hidden="1"/>
    </xf>
    <xf numFmtId="4" fontId="3" fillId="0" borderId="9" xfId="7" applyNumberFormat="1" applyFont="1" applyBorder="1" applyAlignment="1" applyProtection="1">
      <alignment horizontal="center" vertical="center"/>
      <protection hidden="1"/>
    </xf>
    <xf numFmtId="10" fontId="3" fillId="0" borderId="4" xfId="1" applyNumberFormat="1" applyFont="1" applyBorder="1" applyAlignment="1" applyProtection="1">
      <alignment horizontal="center" vertical="center"/>
      <protection hidden="1"/>
    </xf>
    <xf numFmtId="10" fontId="3" fillId="0" borderId="10" xfId="1" applyNumberFormat="1" applyFont="1" applyBorder="1" applyAlignment="1" applyProtection="1">
      <alignment horizontal="center" vertical="center"/>
      <protection hidden="1"/>
    </xf>
    <xf numFmtId="0" fontId="3" fillId="0" borderId="0" xfId="0" applyFont="1"/>
    <xf numFmtId="10" fontId="3" fillId="0" borderId="0" xfId="1" applyNumberFormat="1" applyFont="1" applyAlignment="1" applyProtection="1">
      <alignment horizontal="center" vertical="center"/>
      <protection hidden="1"/>
    </xf>
    <xf numFmtId="0" fontId="11" fillId="0" borderId="0" xfId="0" applyFont="1" applyAlignment="1" applyProtection="1">
      <alignment horizontal="right"/>
      <protection hidden="1"/>
    </xf>
    <xf numFmtId="15" fontId="0" fillId="3" borderId="0" xfId="3" applyNumberFormat="1" applyFont="1" applyAlignment="1" applyProtection="1">
      <alignment horizontal="center"/>
      <protection locked="0" hidden="1"/>
    </xf>
    <xf numFmtId="0" fontId="12" fillId="7" borderId="1" xfId="0" applyFont="1" applyFill="1" applyBorder="1" applyAlignment="1">
      <alignment horizontal="center" vertical="center" wrapText="1"/>
    </xf>
    <xf numFmtId="0" fontId="13" fillId="0" borderId="0" xfId="0" applyFont="1" applyAlignment="1" applyProtection="1">
      <alignment vertical="center"/>
      <protection locked="0"/>
    </xf>
    <xf numFmtId="0" fontId="13" fillId="0" borderId="1" xfId="0" applyFont="1" applyBorder="1" applyAlignment="1">
      <alignment horizontal="center" vertical="center" wrapText="1"/>
    </xf>
    <xf numFmtId="0" fontId="13" fillId="0" borderId="1" xfId="0" applyFont="1" applyBorder="1" applyAlignment="1" applyProtection="1">
      <alignment horizontal="center" vertical="center" wrapText="1"/>
      <protection locked="0"/>
    </xf>
    <xf numFmtId="15" fontId="13" fillId="0" borderId="1" xfId="0" applyNumberFormat="1" applyFont="1" applyBorder="1" applyAlignment="1" applyProtection="1">
      <alignment vertical="center" wrapText="1"/>
      <protection locked="0"/>
    </xf>
    <xf numFmtId="0" fontId="13" fillId="0" borderId="1" xfId="0" applyFont="1" applyBorder="1" applyAlignment="1" applyProtection="1">
      <alignment vertical="center" wrapText="1"/>
      <protection locked="0"/>
    </xf>
    <xf numFmtId="4" fontId="13" fillId="0" borderId="1" xfId="0" applyNumberFormat="1" applyFont="1" applyBorder="1" applyAlignment="1" applyProtection="1">
      <alignment horizontal="center" vertical="center" wrapText="1"/>
      <protection locked="0"/>
    </xf>
    <xf numFmtId="0" fontId="13" fillId="0" borderId="0" xfId="0" applyFont="1" applyAlignment="1" applyProtection="1">
      <alignment vertical="center" wrapText="1"/>
      <protection locked="0"/>
    </xf>
    <xf numFmtId="0" fontId="13" fillId="0" borderId="1" xfId="0" quotePrefix="1" applyFont="1" applyBorder="1" applyAlignment="1" applyProtection="1">
      <alignment vertical="center" wrapText="1"/>
      <protection locked="0"/>
    </xf>
    <xf numFmtId="0" fontId="14" fillId="0" borderId="1" xfId="0" applyFont="1" applyBorder="1" applyAlignment="1" applyProtection="1">
      <alignment horizontal="center" vertical="center" wrapText="1"/>
      <protection locked="0"/>
    </xf>
    <xf numFmtId="15" fontId="13" fillId="0" borderId="1" xfId="0" applyNumberFormat="1" applyFont="1" applyBorder="1" applyAlignment="1" applyProtection="1">
      <alignment horizontal="center" vertical="center" wrapText="1"/>
      <protection locked="0"/>
    </xf>
    <xf numFmtId="4" fontId="13" fillId="0" borderId="1" xfId="0" applyNumberFormat="1" applyFont="1" applyBorder="1" applyAlignment="1" applyProtection="1">
      <alignment vertical="center" wrapText="1"/>
      <protection locked="0"/>
    </xf>
    <xf numFmtId="4" fontId="13" fillId="0" borderId="1" xfId="0" applyNumberFormat="1" applyFont="1" applyBorder="1" applyAlignment="1" applyProtection="1">
      <alignment vertical="center"/>
      <protection locked="0"/>
    </xf>
    <xf numFmtId="15" fontId="13" fillId="0" borderId="0" xfId="0" applyNumberFormat="1" applyFont="1" applyProtection="1">
      <protection locked="0"/>
    </xf>
    <xf numFmtId="0" fontId="0" fillId="0" borderId="1" xfId="0" applyBorder="1" applyAlignment="1" applyProtection="1">
      <alignment vertical="center" wrapText="1"/>
      <protection locked="0"/>
    </xf>
    <xf numFmtId="0" fontId="0" fillId="0" borderId="1" xfId="0" applyBorder="1" applyAlignment="1" applyProtection="1">
      <alignment horizontal="center" vertical="center" wrapText="1"/>
      <protection locked="0"/>
    </xf>
    <xf numFmtId="0" fontId="1" fillId="0" borderId="1" xfId="0" applyFont="1" applyBorder="1" applyAlignment="1" applyProtection="1">
      <alignment vertical="center" wrapText="1"/>
      <protection locked="0"/>
    </xf>
    <xf numFmtId="15" fontId="0" fillId="0" borderId="1" xfId="0" applyNumberFormat="1" applyBorder="1" applyAlignment="1" applyProtection="1">
      <alignment vertical="center" wrapText="1"/>
      <protection locked="0"/>
    </xf>
    <xf numFmtId="4" fontId="0" fillId="0" borderId="1" xfId="0" applyNumberFormat="1" applyBorder="1" applyAlignment="1" applyProtection="1">
      <alignment horizontal="center" vertical="center" wrapText="1"/>
      <protection locked="0"/>
    </xf>
    <xf numFmtId="15" fontId="1" fillId="0" borderId="1" xfId="0" applyNumberFormat="1" applyFont="1" applyBorder="1" applyAlignment="1" applyProtection="1">
      <alignment vertical="center" wrapText="1"/>
      <protection locked="0"/>
    </xf>
    <xf numFmtId="4" fontId="1" fillId="0" borderId="1" xfId="0" applyNumberFormat="1" applyFont="1" applyBorder="1" applyAlignment="1" applyProtection="1">
      <alignment horizontal="center" vertical="center" wrapText="1"/>
      <protection locked="0"/>
    </xf>
    <xf numFmtId="0" fontId="1" fillId="0" borderId="1" xfId="0" applyFont="1" applyBorder="1" applyAlignment="1" applyProtection="1">
      <alignment horizontal="center" vertical="center" wrapText="1"/>
      <protection locked="0"/>
    </xf>
    <xf numFmtId="0" fontId="13" fillId="0" borderId="1" xfId="0" applyFont="1" applyBorder="1" applyAlignment="1" applyProtection="1">
      <alignment vertical="center"/>
      <protection locked="0"/>
    </xf>
    <xf numFmtId="0" fontId="0" fillId="0" borderId="1" xfId="0" applyBorder="1" applyAlignment="1" applyProtection="1">
      <alignment wrapText="1"/>
      <protection locked="0"/>
    </xf>
    <xf numFmtId="0" fontId="1" fillId="0" borderId="0" xfId="0" applyFont="1" applyAlignment="1" applyProtection="1">
      <alignment horizontal="center" vertical="center" wrapText="1"/>
      <protection locked="0"/>
    </xf>
    <xf numFmtId="14" fontId="0" fillId="0" borderId="1" xfId="0" applyNumberFormat="1" applyBorder="1" applyAlignment="1" applyProtection="1">
      <alignment vertical="center" wrapText="1"/>
      <protection locked="0"/>
    </xf>
    <xf numFmtId="0" fontId="13" fillId="0" borderId="0" xfId="0" applyFont="1" applyAlignment="1" applyProtection="1">
      <alignment horizontal="center" vertical="center" wrapText="1"/>
      <protection locked="0"/>
    </xf>
    <xf numFmtId="0" fontId="17" fillId="0" borderId="1" xfId="0" applyFont="1" applyBorder="1" applyAlignment="1" applyProtection="1">
      <alignment vertical="center" wrapText="1"/>
      <protection locked="0"/>
    </xf>
    <xf numFmtId="4" fontId="1" fillId="0" borderId="1" xfId="0" applyNumberFormat="1" applyFont="1" applyBorder="1" applyAlignment="1" applyProtection="1">
      <alignment vertical="center" wrapText="1"/>
      <protection locked="0"/>
    </xf>
    <xf numFmtId="0" fontId="0" fillId="0" borderId="24" xfId="0" applyBorder="1" applyAlignment="1" applyProtection="1">
      <alignment vertical="center" wrapText="1"/>
      <protection locked="0"/>
    </xf>
    <xf numFmtId="4" fontId="1" fillId="0" borderId="1" xfId="0" applyNumberFormat="1" applyFont="1" applyBorder="1" applyAlignment="1" applyProtection="1">
      <alignment vertical="center"/>
      <protection locked="0"/>
    </xf>
    <xf numFmtId="0" fontId="0" fillId="0" borderId="0" xfId="0" applyAlignment="1" applyProtection="1">
      <alignment horizontal="center" vertical="center" wrapText="1"/>
      <protection locked="0"/>
    </xf>
    <xf numFmtId="0" fontId="16" fillId="0" borderId="1" xfId="0" applyFont="1" applyBorder="1" applyAlignment="1" applyProtection="1">
      <alignment vertical="center" wrapText="1"/>
      <protection locked="0"/>
    </xf>
    <xf numFmtId="0" fontId="13" fillId="0" borderId="26" xfId="0" applyFont="1" applyBorder="1" applyAlignment="1" applyProtection="1">
      <alignment vertical="center" wrapText="1"/>
      <protection locked="0"/>
    </xf>
    <xf numFmtId="0" fontId="13" fillId="0" borderId="24" xfId="0" applyFont="1" applyBorder="1" applyAlignment="1" applyProtection="1">
      <alignment vertical="center" wrapText="1"/>
      <protection locked="0"/>
    </xf>
    <xf numFmtId="0" fontId="13" fillId="0" borderId="25" xfId="0" applyFont="1" applyBorder="1" applyAlignment="1" applyProtection="1">
      <alignment vertical="center" wrapText="1"/>
      <protection locked="0"/>
    </xf>
    <xf numFmtId="14" fontId="13" fillId="0" borderId="1" xfId="0" applyNumberFormat="1" applyFont="1" applyBorder="1" applyAlignment="1" applyProtection="1">
      <alignment horizontal="center" vertical="center" wrapText="1"/>
      <protection locked="0"/>
    </xf>
    <xf numFmtId="0" fontId="15" fillId="0" borderId="1" xfId="0" applyFont="1" applyBorder="1" applyAlignment="1" applyProtection="1">
      <alignment horizontal="left" vertical="center" wrapText="1"/>
      <protection locked="0"/>
    </xf>
    <xf numFmtId="4" fontId="13" fillId="0" borderId="0" xfId="0" applyNumberFormat="1" applyFont="1" applyAlignment="1" applyProtection="1">
      <alignment horizontal="center" vertical="center" wrapText="1"/>
      <protection locked="0"/>
    </xf>
    <xf numFmtId="0" fontId="0" fillId="0" borderId="24" xfId="0" applyBorder="1" applyAlignment="1" applyProtection="1">
      <alignment horizontal="center" vertical="center" wrapText="1"/>
      <protection locked="0"/>
    </xf>
    <xf numFmtId="0" fontId="7" fillId="8" borderId="15" xfId="5" applyFont="1" applyFill="1" applyBorder="1" applyAlignment="1" applyProtection="1">
      <alignment horizontal="center" vertical="center"/>
      <protection hidden="1"/>
    </xf>
    <xf numFmtId="0" fontId="7" fillId="8" borderId="16" xfId="5" applyFont="1" applyFill="1" applyBorder="1" applyAlignment="1" applyProtection="1">
      <alignment horizontal="center" vertical="center"/>
      <protection hidden="1"/>
    </xf>
  </cellXfs>
  <cellStyles count="8">
    <cellStyle name="20% - Accent2" xfId="3" builtinId="34"/>
    <cellStyle name="20% - Accent3" xfId="4" builtinId="38"/>
    <cellStyle name="20% - Accent5" xfId="6" builtinId="46"/>
    <cellStyle name="Accent2" xfId="2" builtinId="33"/>
    <cellStyle name="Accent5" xfId="5" builtinId="45"/>
    <cellStyle name="Currency" xfId="7" builtinId="4"/>
    <cellStyle name="Normal" xfId="0" builtinId="0"/>
    <cellStyle name="Percent" xfId="1" builtinId="5"/>
  </cellStyles>
  <dxfs count="9076">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ill>
        <patternFill patternType="solid">
          <fgColor rgb="FFE2EFDA"/>
          <bgColor indexed="65"/>
        </patternFill>
      </fill>
    </dxf>
    <dxf>
      <fill>
        <patternFill patternType="solid">
          <fgColor rgb="FFFFCCFF"/>
          <bgColor indexed="65"/>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9075"/>
      <tableStyleElement type="headerRow" dxfId="9074"/>
    </tableStyle>
  </tableStyles>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1"/>
  <sheetViews>
    <sheetView showGridLines="0" showRowColHeaders="0" zoomScale="120" zoomScaleNormal="120" workbookViewId="0">
      <selection activeCell="B5" sqref="B5:C5"/>
    </sheetView>
  </sheetViews>
  <sheetFormatPr defaultColWidth="0" defaultRowHeight="14.5" zeroHeight="1" x14ac:dyDescent="0.35"/>
  <cols>
    <col min="1" max="1" width="13.81640625" style="1" customWidth="1"/>
    <col min="2" max="2" width="21.26953125" style="1" customWidth="1"/>
    <col min="3" max="6" width="15.54296875" style="1" customWidth="1"/>
    <col min="7" max="8" width="8.7265625" style="1" customWidth="1"/>
    <col min="9" max="13" width="8.7265625" style="1" hidden="1" customWidth="1"/>
    <col min="14" max="16" width="0" style="1" hidden="1" customWidth="1"/>
    <col min="17" max="16384" width="8.7265625" style="1" hidden="1"/>
  </cols>
  <sheetData>
    <row r="1" spans="1:10" x14ac:dyDescent="0.35"/>
    <row r="2" spans="1:10" x14ac:dyDescent="0.35">
      <c r="C2" s="2" t="s">
        <v>22</v>
      </c>
      <c r="D2" s="2" t="s">
        <v>23</v>
      </c>
      <c r="F2" s="3"/>
    </row>
    <row r="3" spans="1:10" x14ac:dyDescent="0.35">
      <c r="A3" s="4"/>
      <c r="C3" s="37">
        <v>45017</v>
      </c>
      <c r="D3" s="37">
        <v>45382</v>
      </c>
    </row>
    <row r="4" spans="1:10" x14ac:dyDescent="0.35">
      <c r="A4" s="4"/>
    </row>
    <row r="5" spans="1:10" ht="20.149999999999999" customHeight="1" x14ac:dyDescent="0.35">
      <c r="A5" s="4"/>
      <c r="B5" s="78" t="s">
        <v>25</v>
      </c>
      <c r="C5" s="79"/>
      <c r="D5" s="5">
        <f>COUNTIFS('Tender Submitted'!$C:$C,"&gt;="&amp;Dashboard!$C$3,'Tender Submitted'!$C:$C,"&lt;="&amp;Dashboard!$D$3)</f>
        <v>429</v>
      </c>
      <c r="E5" s="6" t="s">
        <v>42</v>
      </c>
      <c r="I5" s="7"/>
    </row>
    <row r="6" spans="1:10" ht="10" customHeight="1" x14ac:dyDescent="0.35">
      <c r="A6" s="4"/>
      <c r="B6" s="8"/>
      <c r="C6" s="8"/>
      <c r="D6" s="8"/>
      <c r="E6" s="9">
        <f>COUNTIFS('Tender Submitted'!$B:$B,"Tender Received",'Tender Submitted'!$C:$C,"&gt;="&amp;Dashboard!$C$3,'Tender Submitted'!$C:$C,"&lt;="&amp;Dashboard!$D$3)</f>
        <v>0</v>
      </c>
      <c r="I6" s="7"/>
    </row>
    <row r="7" spans="1:10" ht="20.149999999999999" customHeight="1" x14ac:dyDescent="0.35">
      <c r="A7" s="4"/>
      <c r="B7" s="10" t="s">
        <v>21</v>
      </c>
      <c r="C7" s="11" t="s">
        <v>16</v>
      </c>
      <c r="D7" s="11" t="s">
        <v>17</v>
      </c>
      <c r="E7" s="11" t="s">
        <v>34</v>
      </c>
      <c r="F7" s="12" t="s">
        <v>18</v>
      </c>
      <c r="J7" s="13" t="s">
        <v>27</v>
      </c>
    </row>
    <row r="8" spans="1:10" ht="15" customHeight="1" x14ac:dyDescent="0.35">
      <c r="A8" s="4"/>
      <c r="B8" s="14" t="s">
        <v>26</v>
      </c>
      <c r="C8" s="15">
        <f>COUNTIFS('Tender Submitted'!$B:$B,Dashboard!J7,'Tender Submitted'!$C:$C,"&gt;="&amp;Dashboard!$C$3,'Tender Submitted'!$C:$C,"&lt;="&amp;Dashboard!$D$3)+COUNTIFS('Tender Submitted'!$B:$B,Dashboard!J9,'Tender Submitted'!$C:$C,"&gt;="&amp;Dashboard!$C$3,'Tender Submitted'!$C:$C,"&lt;="&amp;Dashboard!$D$3)+COUNTIFS('Tender Submitted'!$B:$B,Dashboard!J11,'Tender Submitted'!$C:$C,"&gt;="&amp;Dashboard!$C$3,'Tender Submitted'!$C:$C,"&lt;="&amp;Dashboard!$D$3)</f>
        <v>145</v>
      </c>
      <c r="D8" s="16">
        <f>COUNTIFS('Tender Submitted'!$B:$B,Dashboard!J8,'Tender Submitted'!$C:$C,"&gt;="&amp;Dashboard!$C$3,'Tender Submitted'!$C:$C,"&lt;="&amp;Dashboard!$D$3)</f>
        <v>273</v>
      </c>
      <c r="E8" s="17">
        <f>COUNTIFS('Tender Submitted'!$B:$B,Dashboard!J13,'Tender Submitted'!$C:$C,"&gt;="&amp;Dashboard!$C$3,'Tender Submitted'!$C:$C,"&lt;="&amp;Dashboard!$D$3)</f>
        <v>11</v>
      </c>
      <c r="F8" s="18">
        <f>COUNTIFS('Tender Submitted'!$B:$B,Dashboard!J10,'Tender Submitted'!$C:$C,"&gt;="&amp;Dashboard!$C$3,'Tender Submitted'!$C:$C,"&lt;="&amp;Dashboard!$D$3)</f>
        <v>0</v>
      </c>
      <c r="J8" s="13" t="s">
        <v>28</v>
      </c>
    </row>
    <row r="9" spans="1:10" ht="15" customHeight="1" x14ac:dyDescent="0.35">
      <c r="A9" s="4"/>
      <c r="B9" s="14" t="s">
        <v>37</v>
      </c>
      <c r="C9" s="19">
        <f>SUMIFS('Tender Submitted'!$I:$I,'Tender Submitted'!$B:$B,Dashboard!J7,'Tender Submitted'!$C:$C,"&gt;="&amp;Dashboard!$C$3,'Tender Submitted'!$C:$C,"&lt;="&amp;Dashboard!$D$3)+SUMIFS('Tender Submitted'!$I:$I,'Tender Submitted'!$B:$B,Dashboard!J9,'Tender Submitted'!$C:$C,"&gt;="&amp;Dashboard!$C$3,'Tender Submitted'!$C:$C,"&lt;="&amp;Dashboard!$D$3)+SUMIFS('Tender Submitted'!$I:$I,'Tender Submitted'!$B:$B,Dashboard!J11,'Tender Submitted'!$C:$C,"&gt;="&amp;Dashboard!$C$3,'Tender Submitted'!$C:$C,"&lt;="&amp;Dashboard!$D$3)</f>
        <v>5123039340.6856012</v>
      </c>
      <c r="D9" s="20">
        <f>SUMIFS('Tender Submitted'!$I:$I,'Tender Submitted'!$B:$B,Dashboard!J8,'Tender Submitted'!$C:$C,"&gt;="&amp;Dashboard!$C$3,'Tender Submitted'!$C:$C,"&lt;="&amp;Dashboard!$D$3)</f>
        <v>0</v>
      </c>
      <c r="E9" s="21">
        <f>SUMIFS('Tender Submitted'!$I:$I,'Tender Submitted'!$B:$B,Dashboard!J13,'Tender Submitted'!$C:$C,"&gt;="&amp;Dashboard!$C$3,'Tender Submitted'!$C:$C,"&lt;="&amp;Dashboard!$D$3)</f>
        <v>263377176.72271186</v>
      </c>
      <c r="F9" s="22">
        <f>SUMIFS('Tender Submitted'!$I:$I,'Tender Submitted'!$B:$B,Dashboard!J10,'Tender Submitted'!$C:$C,"&gt;="&amp;Dashboard!$C$3,'Tender Submitted'!$C:$C,"&lt;="&amp;Dashboard!$D$3)</f>
        <v>0</v>
      </c>
      <c r="J9" s="13" t="s">
        <v>29</v>
      </c>
    </row>
    <row r="10" spans="1:10" ht="15" customHeight="1" x14ac:dyDescent="0.35">
      <c r="A10" s="4"/>
      <c r="B10" s="23" t="s">
        <v>38</v>
      </c>
      <c r="C10" s="24">
        <f>IFERROR(C8/$D$5,"-")</f>
        <v>0.33799533799533799</v>
      </c>
      <c r="D10" s="25">
        <f>IFERROR(D8/$D$5,"-")</f>
        <v>0.63636363636363635</v>
      </c>
      <c r="E10" s="26">
        <f>IFERROR(E8/$D$5,"-")</f>
        <v>2.564102564102564E-2</v>
      </c>
      <c r="F10" s="27">
        <f>IFERROR(F8/$D$5,"-")</f>
        <v>0</v>
      </c>
      <c r="I10" s="28"/>
      <c r="J10" s="13" t="s">
        <v>30</v>
      </c>
    </row>
    <row r="11" spans="1:10" ht="15" customHeight="1" x14ac:dyDescent="0.35">
      <c r="A11" s="4"/>
      <c r="B11" s="29"/>
      <c r="C11" s="8"/>
      <c r="D11" s="8"/>
      <c r="E11" s="8"/>
      <c r="J11" s="13" t="s">
        <v>31</v>
      </c>
    </row>
    <row r="12" spans="1:10" ht="20.149999999999999" customHeight="1" x14ac:dyDescent="0.35">
      <c r="A12" s="4"/>
      <c r="B12" s="10" t="s">
        <v>21</v>
      </c>
      <c r="C12" s="11" t="s">
        <v>19</v>
      </c>
      <c r="D12" s="12" t="s">
        <v>20</v>
      </c>
      <c r="E12" s="8"/>
      <c r="J12" s="13" t="s">
        <v>32</v>
      </c>
    </row>
    <row r="13" spans="1:10" ht="20.149999999999999" customHeight="1" x14ac:dyDescent="0.35">
      <c r="A13" s="4"/>
      <c r="B13" s="14" t="s">
        <v>26</v>
      </c>
      <c r="C13" s="15">
        <f>COUNTIFS('Tender Submitted'!$B:$B,Dashboard!J9,'Tender Submitted'!$C:$C,"&gt;="&amp;Dashboard!$C$3,'Tender Submitted'!$C:$C,"&lt;="&amp;Dashboard!$D$3)</f>
        <v>23</v>
      </c>
      <c r="D13" s="18">
        <f>COUNTIFS('Tender Submitted'!$B:$B,Dashboard!J11,'Tender Submitted'!$C:$C,"&gt;="&amp;Dashboard!$C$3,'Tender Submitted'!$C:$C,"&lt;="&amp;Dashboard!$D$3)</f>
        <v>68</v>
      </c>
      <c r="E13" s="8"/>
      <c r="J13" s="13" t="s">
        <v>33</v>
      </c>
    </row>
    <row r="14" spans="1:10" ht="15" customHeight="1" x14ac:dyDescent="0.35">
      <c r="A14" s="4"/>
      <c r="B14" s="14" t="s">
        <v>39</v>
      </c>
      <c r="C14" s="30">
        <f>SUMIFS('Tender Submitted'!$I:$I,'Tender Submitted'!$B:$B,Dashboard!J9,'Tender Submitted'!$C:$C,"&gt;="&amp;Dashboard!$C$3,'Tender Submitted'!$C:$C,"&lt;="&amp;Dashboard!$D$3)</f>
        <v>1022419211.7531323</v>
      </c>
      <c r="D14" s="31">
        <f>SUMIFS('Tender Submitted'!$I:$I,'Tender Submitted'!$B:$B,Dashboard!J11,'Tender Submitted'!$C:$C,"&gt;="&amp;Dashboard!$C$3,'Tender Submitted'!$C:$C,"&lt;="&amp;Dashboard!$D$3)</f>
        <v>2812242360.7470093</v>
      </c>
      <c r="E14" s="8"/>
    </row>
    <row r="15" spans="1:10" ht="15" customHeight="1" x14ac:dyDescent="0.35">
      <c r="A15" s="4"/>
      <c r="B15" s="14" t="s">
        <v>40</v>
      </c>
      <c r="C15" s="32">
        <f>IFERROR(C13/$C$8,"-")</f>
        <v>0.15862068965517243</v>
      </c>
      <c r="D15" s="33">
        <f>IFERROR(D13/$C$8,"-")</f>
        <v>0.4689655172413793</v>
      </c>
    </row>
    <row r="16" spans="1:10" ht="15" customHeight="1" x14ac:dyDescent="0.35">
      <c r="B16" s="23" t="s">
        <v>41</v>
      </c>
      <c r="C16" s="24">
        <f>IFERROR(SUMIFS('Tender Submitted'!$I:$I,'Tender Submitted'!$B:$B,Dashboard!J9,'Tender Submitted'!$C:$C,"&gt;="&amp;Dashboard!$C$3,'Tender Submitted'!$C:$C,"&lt;="&amp;Dashboard!$D$3)/C9,0)</f>
        <v>0.19957278165588027</v>
      </c>
      <c r="D16" s="27">
        <f>IFERROR(SUMIFS('Tender Submitted'!$I:$I,'Tender Submitted'!$B:$B,Dashboard!J11,'Tender Submitted'!$C:$C,"&gt;="&amp;Dashboard!$C$3,'Tender Submitted'!$C:$C,"&lt;="&amp;Dashboard!$D$3)/C9,0)</f>
        <v>0.54894022351400784</v>
      </c>
    </row>
    <row r="17" spans="2:6" x14ac:dyDescent="0.35">
      <c r="B17" s="34"/>
      <c r="C17" s="35"/>
      <c r="D17" s="35"/>
    </row>
    <row r="18" spans="2:6" x14ac:dyDescent="0.35">
      <c r="F18" s="36" t="s">
        <v>24</v>
      </c>
    </row>
    <row r="19" spans="2:6" x14ac:dyDescent="0.35"/>
    <row r="20" spans="2:6" x14ac:dyDescent="0.35"/>
    <row r="21" spans="2:6" x14ac:dyDescent="0.35"/>
  </sheetData>
  <sheetProtection password="D8A0" sheet="1" objects="1" scenarios="1"/>
  <mergeCells count="1">
    <mergeCell ref="B5:C5"/>
  </mergeCells>
  <pageMargins left="0.7" right="0.7" top="0.75" bottom="0.75" header="0.3" footer="0.3"/>
  <pageSetup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8200"/>
  <sheetViews>
    <sheetView tabSelected="1" zoomScale="61" zoomScaleNormal="61" workbookViewId="0">
      <pane ySplit="1" topLeftCell="A644" activePane="bottomLeft" state="frozen"/>
      <selection pane="bottomLeft" activeCell="D636" sqref="D636"/>
    </sheetView>
  </sheetViews>
  <sheetFormatPr defaultColWidth="8.81640625" defaultRowHeight="14.5" x14ac:dyDescent="0.35"/>
  <cols>
    <col min="1" max="1" width="4.81640625" style="39" bestFit="1" customWidth="1"/>
    <col min="2" max="3" width="19.26953125" style="39" customWidth="1"/>
    <col min="4" max="4" width="10.7265625" style="39" customWidth="1"/>
    <col min="5" max="5" width="19.26953125" style="39" customWidth="1"/>
    <col min="6" max="6" width="13.1796875" style="39" customWidth="1"/>
    <col min="7" max="9" width="15.81640625" style="39" customWidth="1"/>
    <col min="10" max="10" width="22.26953125" style="39" customWidth="1"/>
    <col min="11" max="11" width="8.81640625" style="39"/>
    <col min="12" max="12" width="20" style="39" customWidth="1"/>
    <col min="13" max="13" width="18" style="39" customWidth="1"/>
    <col min="14" max="14" width="10.1796875" style="39" customWidth="1"/>
    <col min="15" max="16" width="11" style="39" customWidth="1"/>
    <col min="17" max="17" width="14.453125" style="39" customWidth="1"/>
    <col min="18" max="18" width="10.81640625" style="39" customWidth="1"/>
    <col min="19" max="16384" width="8.81640625" style="39"/>
  </cols>
  <sheetData>
    <row r="1" spans="1:18" ht="43.5" x14ac:dyDescent="0.35">
      <c r="A1" s="38" t="s">
        <v>0</v>
      </c>
      <c r="B1" s="38" t="s">
        <v>1</v>
      </c>
      <c r="C1" s="38" t="s">
        <v>2</v>
      </c>
      <c r="D1" s="38" t="s">
        <v>3</v>
      </c>
      <c r="E1" s="38" t="s">
        <v>4</v>
      </c>
      <c r="F1" s="38" t="s">
        <v>5</v>
      </c>
      <c r="G1" s="38" t="s">
        <v>6</v>
      </c>
      <c r="H1" s="38" t="s">
        <v>35</v>
      </c>
      <c r="I1" s="38" t="s">
        <v>36</v>
      </c>
      <c r="J1" s="38" t="s">
        <v>7</v>
      </c>
      <c r="K1" s="38" t="s">
        <v>8</v>
      </c>
      <c r="L1" s="38" t="s">
        <v>9</v>
      </c>
      <c r="M1" s="38" t="s">
        <v>10</v>
      </c>
      <c r="N1" s="38" t="s">
        <v>11</v>
      </c>
      <c r="O1" s="38" t="s">
        <v>12</v>
      </c>
      <c r="P1" s="38" t="s">
        <v>13</v>
      </c>
      <c r="Q1" s="38" t="s">
        <v>14</v>
      </c>
      <c r="R1" s="38" t="s">
        <v>15</v>
      </c>
    </row>
    <row r="2" spans="1:18" ht="101.5" x14ac:dyDescent="0.35">
      <c r="A2" s="40">
        <f t="shared" ref="A2:A65" si="0">ROW()-1</f>
        <v>1</v>
      </c>
      <c r="B2" s="41" t="s">
        <v>32</v>
      </c>
      <c r="C2" s="42">
        <v>45582</v>
      </c>
      <c r="D2" s="42">
        <v>45602</v>
      </c>
      <c r="E2" s="52" t="s">
        <v>1849</v>
      </c>
      <c r="F2" s="52" t="s">
        <v>55</v>
      </c>
      <c r="G2" s="52" t="s">
        <v>1850</v>
      </c>
      <c r="H2" s="44"/>
      <c r="I2" s="44"/>
      <c r="J2" s="52" t="s">
        <v>1851</v>
      </c>
      <c r="K2" s="52" t="s">
        <v>79</v>
      </c>
      <c r="L2" s="43"/>
      <c r="M2" s="43"/>
      <c r="N2" s="43" t="s">
        <v>83</v>
      </c>
      <c r="O2" s="43"/>
      <c r="P2" s="43" t="s">
        <v>80</v>
      </c>
      <c r="Q2" s="41"/>
      <c r="R2" s="41"/>
    </row>
    <row r="3" spans="1:18" ht="58" x14ac:dyDescent="0.35">
      <c r="A3" s="40">
        <f t="shared" si="0"/>
        <v>2</v>
      </c>
      <c r="B3" s="41" t="s">
        <v>32</v>
      </c>
      <c r="C3" s="42">
        <v>45582</v>
      </c>
      <c r="D3" s="42">
        <v>45600</v>
      </c>
      <c r="E3" s="52" t="s">
        <v>1856</v>
      </c>
      <c r="F3" s="52" t="s">
        <v>110</v>
      </c>
      <c r="G3" s="52" t="s">
        <v>1857</v>
      </c>
      <c r="H3" s="44"/>
      <c r="I3" s="44"/>
      <c r="J3" s="52" t="s">
        <v>1858</v>
      </c>
      <c r="K3" s="52" t="s">
        <v>82</v>
      </c>
      <c r="L3" s="43"/>
      <c r="M3" s="43"/>
      <c r="N3" s="43" t="s">
        <v>83</v>
      </c>
      <c r="O3" s="43"/>
      <c r="P3" s="43" t="s">
        <v>80</v>
      </c>
      <c r="Q3" s="53" t="s">
        <v>1859</v>
      </c>
      <c r="R3" s="41"/>
    </row>
    <row r="4" spans="1:18" ht="101.5" x14ac:dyDescent="0.35">
      <c r="A4" s="40">
        <f t="shared" si="0"/>
        <v>3</v>
      </c>
      <c r="B4" s="41" t="s">
        <v>32</v>
      </c>
      <c r="C4" s="42">
        <v>45579</v>
      </c>
      <c r="D4" s="42">
        <v>45604</v>
      </c>
      <c r="E4" s="43" t="s">
        <v>1840</v>
      </c>
      <c r="F4" s="43"/>
      <c r="G4" s="52" t="s">
        <v>1841</v>
      </c>
      <c r="H4" s="44"/>
      <c r="I4" s="44"/>
      <c r="J4" s="52" t="s">
        <v>1842</v>
      </c>
      <c r="K4" s="52" t="s">
        <v>147</v>
      </c>
      <c r="L4" s="43"/>
      <c r="M4" s="43"/>
      <c r="N4" s="43" t="s">
        <v>83</v>
      </c>
      <c r="O4" s="43"/>
      <c r="P4" s="43" t="s">
        <v>80</v>
      </c>
      <c r="Q4" s="41"/>
      <c r="R4" s="41"/>
    </row>
    <row r="5" spans="1:18" ht="72.5" x14ac:dyDescent="0.35">
      <c r="A5" s="40">
        <f t="shared" si="0"/>
        <v>4</v>
      </c>
      <c r="B5" s="41" t="s">
        <v>32</v>
      </c>
      <c r="C5" s="42">
        <v>45590</v>
      </c>
      <c r="D5" s="42">
        <v>45607</v>
      </c>
      <c r="E5" s="52" t="s">
        <v>61</v>
      </c>
      <c r="F5" s="52" t="s">
        <v>101</v>
      </c>
      <c r="G5" s="52" t="s">
        <v>1893</v>
      </c>
      <c r="H5" s="44"/>
      <c r="I5" s="44"/>
      <c r="J5" s="52" t="s">
        <v>969</v>
      </c>
      <c r="K5" s="52" t="s">
        <v>85</v>
      </c>
      <c r="L5" s="53"/>
      <c r="M5" s="41"/>
      <c r="N5" s="43" t="s">
        <v>83</v>
      </c>
      <c r="O5" s="43"/>
      <c r="P5" s="43" t="s">
        <v>80</v>
      </c>
      <c r="Q5" s="41"/>
      <c r="R5" s="41"/>
    </row>
    <row r="6" spans="1:18" ht="188.5" x14ac:dyDescent="0.35">
      <c r="A6" s="40">
        <f t="shared" si="0"/>
        <v>5</v>
      </c>
      <c r="B6" s="41" t="s">
        <v>32</v>
      </c>
      <c r="C6" s="42">
        <v>45582</v>
      </c>
      <c r="D6" s="42">
        <v>45607</v>
      </c>
      <c r="E6" s="52" t="s">
        <v>450</v>
      </c>
      <c r="F6" s="52" t="s">
        <v>126</v>
      </c>
      <c r="G6" s="52" t="s">
        <v>1852</v>
      </c>
      <c r="H6" s="44"/>
      <c r="I6" s="44"/>
      <c r="J6" s="52" t="s">
        <v>1853</v>
      </c>
      <c r="K6" s="52" t="s">
        <v>82</v>
      </c>
      <c r="L6" s="43"/>
      <c r="M6" s="43"/>
      <c r="N6" s="43" t="s">
        <v>83</v>
      </c>
      <c r="O6" s="43"/>
      <c r="P6" s="43" t="s">
        <v>80</v>
      </c>
      <c r="Q6" s="41"/>
      <c r="R6" s="41"/>
    </row>
    <row r="7" spans="1:18" ht="101.5" x14ac:dyDescent="0.35">
      <c r="A7" s="40">
        <f t="shared" si="0"/>
        <v>6</v>
      </c>
      <c r="B7" s="41" t="s">
        <v>32</v>
      </c>
      <c r="C7" s="42">
        <v>45582</v>
      </c>
      <c r="D7" s="42">
        <v>45607</v>
      </c>
      <c r="E7" s="52" t="s">
        <v>450</v>
      </c>
      <c r="F7" s="52" t="s">
        <v>126</v>
      </c>
      <c r="G7" s="52" t="s">
        <v>1854</v>
      </c>
      <c r="H7" s="44"/>
      <c r="I7" s="44"/>
      <c r="J7" s="52" t="s">
        <v>1855</v>
      </c>
      <c r="K7" s="52" t="s">
        <v>82</v>
      </c>
      <c r="L7" s="43"/>
      <c r="M7" s="43"/>
      <c r="N7" s="43" t="s">
        <v>83</v>
      </c>
      <c r="O7" s="43"/>
      <c r="P7" s="43" t="s">
        <v>80</v>
      </c>
      <c r="Q7" s="41"/>
      <c r="R7" s="41"/>
    </row>
    <row r="8" spans="1:18" ht="58" x14ac:dyDescent="0.35">
      <c r="A8" s="40">
        <f t="shared" si="0"/>
        <v>7</v>
      </c>
      <c r="B8" s="41" t="s">
        <v>32</v>
      </c>
      <c r="C8" s="42">
        <v>45584</v>
      </c>
      <c r="D8" s="42">
        <v>45623</v>
      </c>
      <c r="E8" s="52" t="s">
        <v>137</v>
      </c>
      <c r="F8" s="52" t="s">
        <v>67</v>
      </c>
      <c r="G8" s="52" t="s">
        <v>1865</v>
      </c>
      <c r="H8" s="44"/>
      <c r="I8" s="44"/>
      <c r="J8" s="52" t="s">
        <v>1787</v>
      </c>
      <c r="K8" s="52" t="s">
        <v>79</v>
      </c>
      <c r="L8" s="52"/>
      <c r="M8" s="43"/>
      <c r="N8" s="43" t="s">
        <v>83</v>
      </c>
      <c r="O8" s="43"/>
      <c r="P8" s="43" t="s">
        <v>80</v>
      </c>
      <c r="Q8" s="53" t="s">
        <v>1866</v>
      </c>
      <c r="R8" s="41"/>
    </row>
    <row r="9" spans="1:18" ht="29" x14ac:dyDescent="0.35">
      <c r="A9" s="40">
        <f t="shared" si="0"/>
        <v>8</v>
      </c>
      <c r="B9" s="41" t="s">
        <v>32</v>
      </c>
      <c r="C9" s="42">
        <v>45586</v>
      </c>
      <c r="D9" s="42">
        <v>45607</v>
      </c>
      <c r="E9" s="52" t="s">
        <v>52</v>
      </c>
      <c r="F9" s="52" t="s">
        <v>43</v>
      </c>
      <c r="G9" s="52" t="s">
        <v>1871</v>
      </c>
      <c r="H9" s="44"/>
      <c r="I9" s="44"/>
      <c r="J9" s="52" t="s">
        <v>1872</v>
      </c>
      <c r="K9" s="52" t="s">
        <v>81</v>
      </c>
      <c r="L9" s="52"/>
      <c r="M9" s="43"/>
      <c r="N9" s="43" t="s">
        <v>83</v>
      </c>
      <c r="O9" s="43"/>
      <c r="P9" s="43" t="s">
        <v>80</v>
      </c>
      <c r="Q9" s="53" t="s">
        <v>1866</v>
      </c>
      <c r="R9" s="41"/>
    </row>
    <row r="10" spans="1:18" ht="58" x14ac:dyDescent="0.35">
      <c r="A10" s="40">
        <f t="shared" si="0"/>
        <v>9</v>
      </c>
      <c r="B10" s="41" t="s">
        <v>32</v>
      </c>
      <c r="C10" s="42">
        <v>45589</v>
      </c>
      <c r="D10" s="42">
        <v>45609</v>
      </c>
      <c r="E10" s="52" t="s">
        <v>49</v>
      </c>
      <c r="F10" s="52" t="s">
        <v>1443</v>
      </c>
      <c r="G10" s="52" t="s">
        <v>1879</v>
      </c>
      <c r="H10" s="44"/>
      <c r="I10" s="44"/>
      <c r="J10" s="52" t="s">
        <v>1880</v>
      </c>
      <c r="K10" s="52" t="s">
        <v>84</v>
      </c>
      <c r="L10" s="43"/>
      <c r="M10" s="43"/>
      <c r="N10" s="43" t="s">
        <v>83</v>
      </c>
      <c r="O10" s="43"/>
      <c r="P10" s="43" t="s">
        <v>80</v>
      </c>
      <c r="Q10" s="69" t="s">
        <v>1881</v>
      </c>
      <c r="R10" s="41"/>
    </row>
    <row r="11" spans="1:18" ht="43.5" x14ac:dyDescent="0.35">
      <c r="A11" s="40">
        <f t="shared" si="0"/>
        <v>10</v>
      </c>
      <c r="B11" s="41" t="s">
        <v>32</v>
      </c>
      <c r="C11" s="42">
        <v>45595</v>
      </c>
      <c r="D11" s="42">
        <v>45607</v>
      </c>
      <c r="E11" s="52" t="s">
        <v>52</v>
      </c>
      <c r="F11" s="52" t="s">
        <v>43</v>
      </c>
      <c r="G11" s="52" t="s">
        <v>1894</v>
      </c>
      <c r="H11" s="44"/>
      <c r="I11" s="44"/>
      <c r="J11" s="52" t="s">
        <v>1895</v>
      </c>
      <c r="K11" s="52" t="s">
        <v>81</v>
      </c>
      <c r="L11" s="53"/>
      <c r="M11" s="41"/>
      <c r="N11" s="41" t="s">
        <v>83</v>
      </c>
      <c r="O11" s="41"/>
      <c r="P11" s="41" t="s">
        <v>80</v>
      </c>
      <c r="Q11" s="41"/>
      <c r="R11" s="41"/>
    </row>
    <row r="12" spans="1:18" ht="58" x14ac:dyDescent="0.35">
      <c r="A12" s="40">
        <f t="shared" si="0"/>
        <v>11</v>
      </c>
      <c r="B12" s="41" t="s">
        <v>28</v>
      </c>
      <c r="C12" s="42">
        <v>45587</v>
      </c>
      <c r="D12" s="42">
        <v>45588</v>
      </c>
      <c r="E12" s="52" t="s">
        <v>1874</v>
      </c>
      <c r="F12" s="52" t="s">
        <v>1875</v>
      </c>
      <c r="G12" s="52" t="s">
        <v>1876</v>
      </c>
      <c r="H12" s="44"/>
      <c r="I12" s="44"/>
      <c r="J12" s="52" t="s">
        <v>1877</v>
      </c>
      <c r="K12" s="52" t="s">
        <v>81</v>
      </c>
      <c r="L12" s="52"/>
      <c r="M12" s="43"/>
      <c r="N12" s="43" t="s">
        <v>83</v>
      </c>
      <c r="O12" s="43"/>
      <c r="P12" s="43" t="s">
        <v>80</v>
      </c>
      <c r="Q12" s="41"/>
      <c r="R12" s="41"/>
    </row>
    <row r="13" spans="1:18" ht="101.5" x14ac:dyDescent="0.35">
      <c r="A13" s="40">
        <f t="shared" si="0"/>
        <v>12</v>
      </c>
      <c r="B13" s="41" t="s">
        <v>27</v>
      </c>
      <c r="C13" s="42">
        <v>45587</v>
      </c>
      <c r="D13" s="42">
        <v>45590</v>
      </c>
      <c r="E13" s="52" t="s">
        <v>1888</v>
      </c>
      <c r="F13" s="52" t="s">
        <v>1889</v>
      </c>
      <c r="G13" s="52" t="s">
        <v>1890</v>
      </c>
      <c r="H13" s="44"/>
      <c r="I13" s="44"/>
      <c r="J13" s="52" t="s">
        <v>1891</v>
      </c>
      <c r="K13" s="52" t="s">
        <v>1892</v>
      </c>
      <c r="L13" s="41"/>
      <c r="M13" s="41"/>
      <c r="N13" s="41" t="s">
        <v>83</v>
      </c>
      <c r="O13" s="41"/>
      <c r="P13" s="41" t="s">
        <v>80</v>
      </c>
      <c r="Q13" s="41"/>
      <c r="R13" s="41"/>
    </row>
    <row r="14" spans="1:18" ht="87" x14ac:dyDescent="0.35">
      <c r="A14" s="40">
        <f t="shared" si="0"/>
        <v>13</v>
      </c>
      <c r="B14" s="41" t="s">
        <v>28</v>
      </c>
      <c r="C14" s="42">
        <v>45566</v>
      </c>
      <c r="D14" s="42">
        <v>45586</v>
      </c>
      <c r="E14" s="52" t="s">
        <v>437</v>
      </c>
      <c r="F14" s="52" t="s">
        <v>265</v>
      </c>
      <c r="G14" s="52" t="s">
        <v>1795</v>
      </c>
      <c r="H14" s="44"/>
      <c r="I14" s="44"/>
      <c r="J14" s="52" t="s">
        <v>1796</v>
      </c>
      <c r="K14" s="52" t="s">
        <v>82</v>
      </c>
      <c r="L14" s="43"/>
      <c r="M14" s="43"/>
      <c r="N14" s="43" t="s">
        <v>83</v>
      </c>
      <c r="O14" s="43"/>
      <c r="P14" s="43" t="s">
        <v>80</v>
      </c>
      <c r="Q14" s="53" t="s">
        <v>1887</v>
      </c>
      <c r="R14" s="41"/>
    </row>
    <row r="15" spans="1:18" ht="29" x14ac:dyDescent="0.35">
      <c r="A15" s="40">
        <f t="shared" si="0"/>
        <v>14</v>
      </c>
      <c r="B15" s="41" t="s">
        <v>28</v>
      </c>
      <c r="C15" s="42">
        <v>45569</v>
      </c>
      <c r="D15" s="42">
        <v>45586</v>
      </c>
      <c r="E15" s="52" t="s">
        <v>52</v>
      </c>
      <c r="F15" s="52" t="s">
        <v>43</v>
      </c>
      <c r="G15" s="52" t="s">
        <v>1797</v>
      </c>
      <c r="H15" s="44"/>
      <c r="I15" s="44"/>
      <c r="J15" s="52" t="s">
        <v>1798</v>
      </c>
      <c r="K15" s="52" t="s">
        <v>81</v>
      </c>
      <c r="L15" s="43"/>
      <c r="M15" s="43"/>
      <c r="N15" s="43" t="s">
        <v>83</v>
      </c>
      <c r="O15" s="43"/>
      <c r="P15" s="43" t="s">
        <v>80</v>
      </c>
      <c r="Q15" s="41"/>
      <c r="R15" s="41"/>
    </row>
    <row r="16" spans="1:18" ht="116" x14ac:dyDescent="0.35">
      <c r="A16" s="40">
        <f t="shared" si="0"/>
        <v>15</v>
      </c>
      <c r="B16" s="41" t="s">
        <v>27</v>
      </c>
      <c r="C16" s="42">
        <v>45575</v>
      </c>
      <c r="D16" s="42">
        <v>45586</v>
      </c>
      <c r="E16" s="52" t="s">
        <v>1827</v>
      </c>
      <c r="F16" s="52" t="s">
        <v>1832</v>
      </c>
      <c r="G16" s="43" t="s">
        <v>1828</v>
      </c>
      <c r="H16" s="44"/>
      <c r="I16" s="44"/>
      <c r="J16" s="52" t="s">
        <v>1829</v>
      </c>
      <c r="K16" s="52" t="s">
        <v>82</v>
      </c>
      <c r="L16" s="43"/>
      <c r="M16" s="43"/>
      <c r="N16" s="43" t="s">
        <v>83</v>
      </c>
      <c r="O16" s="43"/>
      <c r="P16" s="43" t="s">
        <v>80</v>
      </c>
      <c r="Q16" s="53"/>
      <c r="R16" s="41"/>
    </row>
    <row r="17" spans="1:18" ht="101.5" x14ac:dyDescent="0.35">
      <c r="A17" s="40">
        <f t="shared" si="0"/>
        <v>16</v>
      </c>
      <c r="B17" s="41" t="s">
        <v>27</v>
      </c>
      <c r="C17" s="42">
        <v>45575</v>
      </c>
      <c r="D17" s="42">
        <v>45588</v>
      </c>
      <c r="E17" s="52" t="s">
        <v>1830</v>
      </c>
      <c r="F17" s="52"/>
      <c r="G17" s="52" t="s">
        <v>1834</v>
      </c>
      <c r="H17" s="44"/>
      <c r="I17" s="44"/>
      <c r="J17" s="52" t="s">
        <v>1835</v>
      </c>
      <c r="K17" s="52" t="s">
        <v>79</v>
      </c>
      <c r="L17" s="43"/>
      <c r="M17" s="43"/>
      <c r="N17" s="43" t="s">
        <v>83</v>
      </c>
      <c r="O17" s="43"/>
      <c r="P17" s="43" t="s">
        <v>80</v>
      </c>
      <c r="Q17" s="41"/>
      <c r="R17" s="41"/>
    </row>
    <row r="18" spans="1:18" ht="58" x14ac:dyDescent="0.35">
      <c r="A18" s="40">
        <f t="shared" si="0"/>
        <v>17</v>
      </c>
      <c r="B18" s="41" t="s">
        <v>28</v>
      </c>
      <c r="C18" s="42">
        <v>45582</v>
      </c>
      <c r="D18" s="42">
        <v>45589</v>
      </c>
      <c r="E18" s="52" t="s">
        <v>63</v>
      </c>
      <c r="F18" s="52" t="s">
        <v>372</v>
      </c>
      <c r="G18" s="52" t="s">
        <v>1860</v>
      </c>
      <c r="H18" s="44"/>
      <c r="I18" s="44"/>
      <c r="J18" s="52" t="s">
        <v>1861</v>
      </c>
      <c r="K18" s="52" t="s">
        <v>82</v>
      </c>
      <c r="L18" s="52"/>
      <c r="M18" s="43"/>
      <c r="N18" s="43" t="s">
        <v>83</v>
      </c>
      <c r="O18" s="43"/>
      <c r="P18" s="43" t="s">
        <v>80</v>
      </c>
      <c r="Q18" s="41"/>
      <c r="R18" s="41"/>
    </row>
    <row r="19" spans="1:18" ht="58" x14ac:dyDescent="0.35">
      <c r="A19" s="40">
        <f t="shared" si="0"/>
        <v>18</v>
      </c>
      <c r="B19" s="41" t="s">
        <v>28</v>
      </c>
      <c r="C19" s="57">
        <v>45572</v>
      </c>
      <c r="D19" s="57">
        <v>45590</v>
      </c>
      <c r="E19" s="52" t="s">
        <v>1809</v>
      </c>
      <c r="F19" s="54" t="s">
        <v>77</v>
      </c>
      <c r="G19" s="52" t="s">
        <v>1810</v>
      </c>
      <c r="H19" s="58"/>
      <c r="I19" s="58"/>
      <c r="J19" s="52" t="s">
        <v>1811</v>
      </c>
      <c r="K19" s="52" t="s">
        <v>85</v>
      </c>
      <c r="L19" s="54"/>
      <c r="M19" s="54"/>
      <c r="N19" s="54" t="s">
        <v>83</v>
      </c>
      <c r="O19" s="54"/>
      <c r="P19" s="54" t="s">
        <v>80</v>
      </c>
      <c r="Q19" s="59"/>
      <c r="R19" s="59"/>
    </row>
    <row r="20" spans="1:18" ht="72.5" x14ac:dyDescent="0.35">
      <c r="A20" s="40">
        <f t="shared" si="0"/>
        <v>19</v>
      </c>
      <c r="B20" s="41" t="s">
        <v>27</v>
      </c>
      <c r="C20" s="42">
        <v>45586</v>
      </c>
      <c r="D20" s="42">
        <v>45589</v>
      </c>
      <c r="E20" s="52" t="s">
        <v>328</v>
      </c>
      <c r="F20" s="52" t="s">
        <v>89</v>
      </c>
      <c r="G20" s="52" t="s">
        <v>1867</v>
      </c>
      <c r="H20" s="44"/>
      <c r="I20" s="44">
        <v>46800000</v>
      </c>
      <c r="J20" s="52" t="s">
        <v>1868</v>
      </c>
      <c r="K20" s="52" t="s">
        <v>82</v>
      </c>
      <c r="L20" s="52"/>
      <c r="M20" s="41"/>
      <c r="N20" s="41" t="s">
        <v>83</v>
      </c>
      <c r="O20" s="41"/>
      <c r="P20" s="41" t="s">
        <v>80</v>
      </c>
      <c r="Q20" s="41"/>
      <c r="R20" s="41"/>
    </row>
    <row r="21" spans="1:18" ht="58" x14ac:dyDescent="0.35">
      <c r="A21" s="40">
        <f t="shared" si="0"/>
        <v>20</v>
      </c>
      <c r="B21" s="41" t="s">
        <v>28</v>
      </c>
      <c r="C21" s="42">
        <v>45582</v>
      </c>
      <c r="D21" s="42">
        <v>45591</v>
      </c>
      <c r="E21" s="52" t="s">
        <v>140</v>
      </c>
      <c r="F21" s="52" t="s">
        <v>141</v>
      </c>
      <c r="G21" s="52">
        <v>9450000159</v>
      </c>
      <c r="H21" s="44"/>
      <c r="I21" s="44"/>
      <c r="J21" s="52" t="s">
        <v>1862</v>
      </c>
      <c r="K21" s="52" t="s">
        <v>79</v>
      </c>
      <c r="L21" s="43"/>
      <c r="M21" s="43"/>
      <c r="N21" s="43" t="s">
        <v>83</v>
      </c>
      <c r="O21" s="43"/>
      <c r="P21" s="43" t="s">
        <v>80</v>
      </c>
      <c r="Q21" s="41"/>
      <c r="R21" s="41"/>
    </row>
    <row r="22" spans="1:18" ht="72.5" x14ac:dyDescent="0.35">
      <c r="A22" s="40">
        <f t="shared" si="0"/>
        <v>21</v>
      </c>
      <c r="B22" s="41" t="s">
        <v>27</v>
      </c>
      <c r="C22" s="42">
        <v>45579</v>
      </c>
      <c r="D22" s="42">
        <v>45589</v>
      </c>
      <c r="E22" s="52" t="s">
        <v>1830</v>
      </c>
      <c r="F22" s="43"/>
      <c r="G22" s="52">
        <v>6000116039</v>
      </c>
      <c r="H22" s="44"/>
      <c r="I22" s="44"/>
      <c r="J22" s="52" t="s">
        <v>1873</v>
      </c>
      <c r="K22" s="52" t="s">
        <v>79</v>
      </c>
      <c r="L22" s="43"/>
      <c r="M22" s="43"/>
      <c r="N22" s="43" t="s">
        <v>83</v>
      </c>
      <c r="O22" s="43"/>
      <c r="P22" s="43" t="s">
        <v>80</v>
      </c>
      <c r="Q22" s="41"/>
      <c r="R22" s="41"/>
    </row>
    <row r="23" spans="1:18" ht="58" x14ac:dyDescent="0.35">
      <c r="A23" s="40">
        <f t="shared" si="0"/>
        <v>22</v>
      </c>
      <c r="B23" s="41" t="s">
        <v>28</v>
      </c>
      <c r="C23" s="57">
        <v>45575</v>
      </c>
      <c r="D23" s="57">
        <v>45593</v>
      </c>
      <c r="E23" s="52" t="s">
        <v>1768</v>
      </c>
      <c r="F23" s="52" t="s">
        <v>62</v>
      </c>
      <c r="G23" s="52" t="s">
        <v>1823</v>
      </c>
      <c r="H23" s="58"/>
      <c r="I23" s="58"/>
      <c r="J23" s="52" t="s">
        <v>1824</v>
      </c>
      <c r="K23" s="52" t="s">
        <v>85</v>
      </c>
      <c r="L23" s="54"/>
      <c r="M23" s="54"/>
      <c r="N23" s="54" t="s">
        <v>83</v>
      </c>
      <c r="O23" s="54"/>
      <c r="P23" s="54" t="s">
        <v>80</v>
      </c>
      <c r="Q23" s="59"/>
      <c r="R23" s="59"/>
    </row>
    <row r="24" spans="1:18" ht="87" x14ac:dyDescent="0.35">
      <c r="A24" s="40">
        <f t="shared" si="0"/>
        <v>23</v>
      </c>
      <c r="B24" s="41" t="s">
        <v>28</v>
      </c>
      <c r="C24" s="42">
        <v>45579</v>
      </c>
      <c r="D24" s="42">
        <v>45593</v>
      </c>
      <c r="E24" s="52" t="s">
        <v>1838</v>
      </c>
      <c r="F24" s="52"/>
      <c r="G24" s="43" t="s">
        <v>1839</v>
      </c>
      <c r="H24" s="44"/>
      <c r="I24" s="44"/>
      <c r="J24" s="52" t="s">
        <v>1837</v>
      </c>
      <c r="K24" s="52" t="s">
        <v>85</v>
      </c>
      <c r="L24" s="43"/>
      <c r="M24" s="43"/>
      <c r="N24" s="43" t="s">
        <v>83</v>
      </c>
      <c r="O24" s="43"/>
      <c r="P24" s="43" t="s">
        <v>80</v>
      </c>
      <c r="Q24" s="41"/>
      <c r="R24" s="41"/>
    </row>
    <row r="25" spans="1:18" ht="101.5" x14ac:dyDescent="0.35">
      <c r="A25" s="40">
        <f t="shared" si="0"/>
        <v>24</v>
      </c>
      <c r="B25" s="41" t="s">
        <v>28</v>
      </c>
      <c r="C25" s="42">
        <v>45583</v>
      </c>
      <c r="D25" s="42">
        <v>45593</v>
      </c>
      <c r="E25" s="52" t="s">
        <v>63</v>
      </c>
      <c r="F25" s="52" t="s">
        <v>1418</v>
      </c>
      <c r="G25" s="52" t="s">
        <v>1863</v>
      </c>
      <c r="H25" s="44"/>
      <c r="I25" s="44"/>
      <c r="J25" s="52" t="s">
        <v>1864</v>
      </c>
      <c r="K25" s="52" t="s">
        <v>79</v>
      </c>
      <c r="L25" s="43"/>
      <c r="M25" s="43"/>
      <c r="N25" s="43" t="s">
        <v>83</v>
      </c>
      <c r="O25" s="43"/>
      <c r="P25" s="43" t="s">
        <v>80</v>
      </c>
      <c r="Q25" s="53" t="s">
        <v>1859</v>
      </c>
      <c r="R25" s="41"/>
    </row>
    <row r="26" spans="1:18" ht="43.5" x14ac:dyDescent="0.35">
      <c r="A26" s="40">
        <f t="shared" si="0"/>
        <v>25</v>
      </c>
      <c r="B26" s="41" t="s">
        <v>28</v>
      </c>
      <c r="C26" s="42">
        <v>45586</v>
      </c>
      <c r="D26" s="42">
        <v>45593</v>
      </c>
      <c r="E26" s="52" t="s">
        <v>328</v>
      </c>
      <c r="F26" s="52" t="s">
        <v>89</v>
      </c>
      <c r="G26" s="52" t="s">
        <v>1869</v>
      </c>
      <c r="H26" s="44"/>
      <c r="I26" s="44"/>
      <c r="J26" s="52" t="s">
        <v>1870</v>
      </c>
      <c r="K26" s="52" t="s">
        <v>82</v>
      </c>
      <c r="L26" s="43"/>
      <c r="M26" s="43"/>
      <c r="N26" s="43" t="s">
        <v>83</v>
      </c>
      <c r="O26" s="43"/>
      <c r="P26" s="43" t="s">
        <v>80</v>
      </c>
      <c r="Q26" s="41"/>
      <c r="R26" s="41"/>
    </row>
    <row r="27" spans="1:18" ht="29" x14ac:dyDescent="0.35">
      <c r="A27" s="40">
        <f t="shared" si="0"/>
        <v>26</v>
      </c>
      <c r="B27" s="41" t="s">
        <v>27</v>
      </c>
      <c r="C27" s="42">
        <v>45579</v>
      </c>
      <c r="D27" s="42">
        <v>45595</v>
      </c>
      <c r="E27" s="52" t="s">
        <v>885</v>
      </c>
      <c r="F27" s="52" t="s">
        <v>126</v>
      </c>
      <c r="G27" s="52" t="s">
        <v>1843</v>
      </c>
      <c r="H27" s="44"/>
      <c r="I27" s="44">
        <v>325700000</v>
      </c>
      <c r="J27" s="52" t="s">
        <v>1659</v>
      </c>
      <c r="K27" s="52" t="s">
        <v>79</v>
      </c>
      <c r="L27" s="43"/>
      <c r="M27" s="43"/>
      <c r="N27" s="43" t="s">
        <v>83</v>
      </c>
      <c r="O27" s="43"/>
      <c r="P27" s="43" t="s">
        <v>80</v>
      </c>
      <c r="Q27" s="53" t="s">
        <v>1844</v>
      </c>
      <c r="R27" s="41"/>
    </row>
    <row r="28" spans="1:18" ht="43.5" x14ac:dyDescent="0.35">
      <c r="A28" s="40">
        <f t="shared" si="0"/>
        <v>27</v>
      </c>
      <c r="B28" s="41" t="s">
        <v>27</v>
      </c>
      <c r="C28" s="42">
        <v>45589</v>
      </c>
      <c r="D28" s="42">
        <v>45595</v>
      </c>
      <c r="E28" s="52" t="s">
        <v>52</v>
      </c>
      <c r="F28" s="43" t="s">
        <v>43</v>
      </c>
      <c r="G28" s="52" t="s">
        <v>1882</v>
      </c>
      <c r="H28" s="44"/>
      <c r="I28" s="44">
        <v>4900000</v>
      </c>
      <c r="J28" s="52" t="s">
        <v>1883</v>
      </c>
      <c r="K28" s="52" t="s">
        <v>81</v>
      </c>
      <c r="L28" s="52"/>
      <c r="M28" s="43"/>
      <c r="N28" s="43" t="s">
        <v>83</v>
      </c>
      <c r="O28" s="43"/>
      <c r="P28" s="43" t="s">
        <v>80</v>
      </c>
      <c r="Q28" s="41"/>
      <c r="R28" s="41"/>
    </row>
    <row r="29" spans="1:18" ht="58" x14ac:dyDescent="0.35">
      <c r="A29" s="40">
        <f t="shared" si="0"/>
        <v>28</v>
      </c>
      <c r="B29" s="41" t="s">
        <v>27</v>
      </c>
      <c r="C29" s="42">
        <v>45582</v>
      </c>
      <c r="D29" s="42">
        <v>45597</v>
      </c>
      <c r="E29" s="52" t="s">
        <v>450</v>
      </c>
      <c r="F29" s="43"/>
      <c r="G29" s="52" t="s">
        <v>1847</v>
      </c>
      <c r="H29" s="44"/>
      <c r="I29" s="44">
        <v>4700000</v>
      </c>
      <c r="J29" s="52" t="s">
        <v>1848</v>
      </c>
      <c r="K29" s="52" t="s">
        <v>79</v>
      </c>
      <c r="L29" s="43"/>
      <c r="M29" s="43"/>
      <c r="N29" s="43" t="s">
        <v>83</v>
      </c>
      <c r="O29" s="43"/>
      <c r="P29" s="43" t="s">
        <v>80</v>
      </c>
      <c r="Q29" s="41"/>
      <c r="R29" s="41"/>
    </row>
    <row r="30" spans="1:18" ht="29" x14ac:dyDescent="0.35">
      <c r="A30" s="40">
        <f t="shared" si="0"/>
        <v>29</v>
      </c>
      <c r="B30" s="41" t="s">
        <v>27</v>
      </c>
      <c r="C30" s="42">
        <v>45591</v>
      </c>
      <c r="D30" s="42">
        <v>45597</v>
      </c>
      <c r="E30" s="52" t="s">
        <v>52</v>
      </c>
      <c r="F30" s="52" t="s">
        <v>43</v>
      </c>
      <c r="G30" s="52" t="s">
        <v>1885</v>
      </c>
      <c r="H30" s="44"/>
      <c r="I30" s="44">
        <v>21600000</v>
      </c>
      <c r="J30" s="52" t="s">
        <v>1886</v>
      </c>
      <c r="K30" s="52" t="s">
        <v>81</v>
      </c>
      <c r="L30" s="43"/>
      <c r="M30" s="43"/>
      <c r="N30" s="43" t="s">
        <v>83</v>
      </c>
      <c r="O30" s="43"/>
      <c r="P30" s="43" t="s">
        <v>80</v>
      </c>
      <c r="Q30" s="41"/>
      <c r="R30" s="41"/>
    </row>
    <row r="31" spans="1:18" ht="43.5" x14ac:dyDescent="0.35">
      <c r="A31" s="40">
        <f t="shared" si="0"/>
        <v>30</v>
      </c>
      <c r="B31" s="41" t="s">
        <v>27</v>
      </c>
      <c r="C31" s="42">
        <v>45588</v>
      </c>
      <c r="D31" s="42">
        <v>45601</v>
      </c>
      <c r="E31" s="52" t="s">
        <v>52</v>
      </c>
      <c r="F31" s="52" t="s">
        <v>43</v>
      </c>
      <c r="G31" s="52" t="s">
        <v>1878</v>
      </c>
      <c r="H31" s="44"/>
      <c r="I31" s="44">
        <v>15500000</v>
      </c>
      <c r="J31" s="52" t="s">
        <v>481</v>
      </c>
      <c r="K31" s="52" t="s">
        <v>81</v>
      </c>
      <c r="L31" s="43"/>
      <c r="M31" s="43"/>
      <c r="N31" s="43" t="s">
        <v>83</v>
      </c>
      <c r="O31" s="43"/>
      <c r="P31" s="43" t="s">
        <v>80</v>
      </c>
      <c r="Q31" s="41" t="s">
        <v>1866</v>
      </c>
      <c r="R31" s="41"/>
    </row>
    <row r="32" spans="1:18" ht="87" x14ac:dyDescent="0.35">
      <c r="A32" s="40">
        <f t="shared" si="0"/>
        <v>31</v>
      </c>
      <c r="B32" s="41" t="s">
        <v>33</v>
      </c>
      <c r="C32" s="55">
        <v>45575</v>
      </c>
      <c r="D32" s="42">
        <v>45589</v>
      </c>
      <c r="E32" s="52" t="s">
        <v>140</v>
      </c>
      <c r="F32" s="52"/>
      <c r="G32" s="52" t="s">
        <v>1836</v>
      </c>
      <c r="H32" s="44"/>
      <c r="I32" s="44"/>
      <c r="J32" s="52" t="s">
        <v>1837</v>
      </c>
      <c r="K32" s="52" t="s">
        <v>79</v>
      </c>
      <c r="L32" s="43"/>
      <c r="M32" s="43"/>
      <c r="N32" s="43" t="s">
        <v>83</v>
      </c>
      <c r="O32" s="43"/>
      <c r="P32" s="43" t="s">
        <v>80</v>
      </c>
      <c r="Q32" s="41"/>
      <c r="R32" s="41"/>
    </row>
    <row r="33" spans="1:19" ht="116" x14ac:dyDescent="0.35">
      <c r="A33" s="40">
        <f t="shared" si="0"/>
        <v>32</v>
      </c>
      <c r="B33" s="41" t="s">
        <v>28</v>
      </c>
      <c r="C33" s="42">
        <v>45562</v>
      </c>
      <c r="D33" s="42">
        <v>45579</v>
      </c>
      <c r="E33" s="52" t="s">
        <v>1335</v>
      </c>
      <c r="F33" s="52" t="s">
        <v>68</v>
      </c>
      <c r="G33" s="52" t="s">
        <v>1788</v>
      </c>
      <c r="H33" s="44"/>
      <c r="I33" s="44"/>
      <c r="J33" s="52" t="s">
        <v>1789</v>
      </c>
      <c r="K33" s="52" t="s">
        <v>82</v>
      </c>
      <c r="L33" s="43"/>
      <c r="M33" s="43"/>
      <c r="N33" s="43" t="s">
        <v>83</v>
      </c>
      <c r="O33" s="43"/>
      <c r="P33" s="43" t="s">
        <v>80</v>
      </c>
      <c r="Q33" s="41"/>
      <c r="R33" s="41"/>
      <c r="S33" s="45"/>
    </row>
    <row r="34" spans="1:19" ht="72.5" x14ac:dyDescent="0.35">
      <c r="A34" s="40">
        <f t="shared" si="0"/>
        <v>33</v>
      </c>
      <c r="B34" s="41" t="s">
        <v>28</v>
      </c>
      <c r="C34" s="42">
        <v>45569</v>
      </c>
      <c r="D34" s="42">
        <v>45579</v>
      </c>
      <c r="E34" s="52" t="s">
        <v>63</v>
      </c>
      <c r="F34" s="52" t="s">
        <v>1799</v>
      </c>
      <c r="G34" s="52" t="s">
        <v>1800</v>
      </c>
      <c r="H34" s="44"/>
      <c r="I34" s="44"/>
      <c r="J34" s="52" t="s">
        <v>1801</v>
      </c>
      <c r="K34" s="52" t="s">
        <v>81</v>
      </c>
      <c r="L34" s="43"/>
      <c r="M34" s="43"/>
      <c r="N34" s="43" t="s">
        <v>83</v>
      </c>
      <c r="O34" s="43"/>
      <c r="P34" s="43" t="s">
        <v>80</v>
      </c>
      <c r="Q34" s="41"/>
      <c r="R34" s="41"/>
    </row>
    <row r="35" spans="1:19" ht="58" x14ac:dyDescent="0.35">
      <c r="A35" s="40">
        <f t="shared" si="0"/>
        <v>34</v>
      </c>
      <c r="B35" s="41" t="s">
        <v>28</v>
      </c>
      <c r="C35" s="42">
        <v>45573</v>
      </c>
      <c r="D35" s="42">
        <v>45579</v>
      </c>
      <c r="E35" s="52" t="s">
        <v>88</v>
      </c>
      <c r="F35" s="52" t="s">
        <v>1573</v>
      </c>
      <c r="G35" s="52" t="s">
        <v>1821</v>
      </c>
      <c r="H35" s="44"/>
      <c r="I35" s="44"/>
      <c r="J35" s="52" t="s">
        <v>1822</v>
      </c>
      <c r="K35" s="52" t="s">
        <v>81</v>
      </c>
      <c r="L35" s="43"/>
      <c r="M35" s="43"/>
      <c r="N35" s="43" t="s">
        <v>83</v>
      </c>
      <c r="O35" s="43"/>
      <c r="P35" s="43" t="s">
        <v>80</v>
      </c>
      <c r="Q35" s="53"/>
      <c r="R35" s="41"/>
    </row>
    <row r="36" spans="1:19" ht="43.5" x14ac:dyDescent="0.35">
      <c r="A36" s="40">
        <f t="shared" si="0"/>
        <v>35</v>
      </c>
      <c r="B36" s="41" t="s">
        <v>28</v>
      </c>
      <c r="C36" s="42">
        <v>45565</v>
      </c>
      <c r="D36" s="42">
        <v>45584</v>
      </c>
      <c r="E36" s="52" t="s">
        <v>61</v>
      </c>
      <c r="F36" s="52" t="s">
        <v>101</v>
      </c>
      <c r="G36" s="52" t="s">
        <v>1790</v>
      </c>
      <c r="H36" s="44"/>
      <c r="I36" s="44"/>
      <c r="J36" s="52" t="s">
        <v>1791</v>
      </c>
      <c r="K36" s="52" t="s">
        <v>85</v>
      </c>
      <c r="L36" s="52"/>
      <c r="M36" s="43"/>
      <c r="N36" s="43" t="s">
        <v>83</v>
      </c>
      <c r="O36" s="43"/>
      <c r="P36" s="43" t="s">
        <v>80</v>
      </c>
      <c r="Q36" s="53" t="s">
        <v>1792</v>
      </c>
      <c r="R36" s="41"/>
    </row>
    <row r="37" spans="1:19" ht="72.5" x14ac:dyDescent="0.35">
      <c r="A37" s="40">
        <f t="shared" si="0"/>
        <v>36</v>
      </c>
      <c r="B37" s="41" t="s">
        <v>27</v>
      </c>
      <c r="C37" s="42">
        <v>45555</v>
      </c>
      <c r="D37" s="42">
        <v>45580</v>
      </c>
      <c r="E37" s="52" t="s">
        <v>268</v>
      </c>
      <c r="F37" s="52" t="s">
        <v>56</v>
      </c>
      <c r="G37" s="52" t="s">
        <v>1759</v>
      </c>
      <c r="H37" s="44"/>
      <c r="I37" s="44">
        <v>14700000</v>
      </c>
      <c r="J37" s="52" t="s">
        <v>1758</v>
      </c>
      <c r="K37" s="52" t="s">
        <v>147</v>
      </c>
      <c r="L37" s="43"/>
      <c r="M37" s="43"/>
      <c r="N37" s="43" t="s">
        <v>83</v>
      </c>
      <c r="O37" s="43"/>
      <c r="P37" s="43" t="s">
        <v>80</v>
      </c>
      <c r="Q37" s="69"/>
      <c r="R37" s="41"/>
    </row>
    <row r="38" spans="1:19" ht="72.5" x14ac:dyDescent="0.35">
      <c r="A38" s="40">
        <f t="shared" si="0"/>
        <v>37</v>
      </c>
      <c r="B38" s="41" t="s">
        <v>28</v>
      </c>
      <c r="C38" s="42">
        <v>45560</v>
      </c>
      <c r="D38" s="42">
        <v>45580</v>
      </c>
      <c r="E38" s="52" t="s">
        <v>49</v>
      </c>
      <c r="F38" s="52" t="s">
        <v>1443</v>
      </c>
      <c r="G38" s="52" t="s">
        <v>1781</v>
      </c>
      <c r="H38" s="44"/>
      <c r="I38" s="44"/>
      <c r="J38" s="52" t="s">
        <v>1782</v>
      </c>
      <c r="K38" s="52" t="s">
        <v>84</v>
      </c>
      <c r="L38" s="52"/>
      <c r="M38" s="43"/>
      <c r="N38" s="43" t="s">
        <v>83</v>
      </c>
      <c r="O38" s="43"/>
      <c r="P38" s="43" t="s">
        <v>80</v>
      </c>
      <c r="Q38" s="53" t="s">
        <v>1783</v>
      </c>
      <c r="R38" s="41"/>
    </row>
    <row r="39" spans="1:19" ht="101.5" x14ac:dyDescent="0.35">
      <c r="A39" s="40">
        <f t="shared" si="0"/>
        <v>38</v>
      </c>
      <c r="B39" s="41" t="s">
        <v>28</v>
      </c>
      <c r="C39" s="42">
        <v>45570</v>
      </c>
      <c r="D39" s="57">
        <v>45582</v>
      </c>
      <c r="E39" s="52" t="s">
        <v>1804</v>
      </c>
      <c r="F39" s="52" t="s">
        <v>43</v>
      </c>
      <c r="G39" s="52" t="s">
        <v>1805</v>
      </c>
      <c r="H39" s="58"/>
      <c r="I39" s="58"/>
      <c r="J39" s="52" t="s">
        <v>1806</v>
      </c>
      <c r="K39" s="52" t="s">
        <v>81</v>
      </c>
      <c r="L39" s="54"/>
      <c r="M39" s="54"/>
      <c r="N39" s="54" t="s">
        <v>83</v>
      </c>
      <c r="O39" s="54"/>
      <c r="P39" s="54" t="s">
        <v>80</v>
      </c>
      <c r="Q39" s="53"/>
      <c r="R39" s="59"/>
    </row>
    <row r="40" spans="1:19" ht="116" x14ac:dyDescent="0.35">
      <c r="A40" s="40">
        <f t="shared" si="0"/>
        <v>39</v>
      </c>
      <c r="B40" s="41" t="s">
        <v>27</v>
      </c>
      <c r="C40" s="42">
        <v>45570</v>
      </c>
      <c r="D40" s="42">
        <v>45581</v>
      </c>
      <c r="E40" s="52" t="s">
        <v>63</v>
      </c>
      <c r="F40" s="52" t="s">
        <v>64</v>
      </c>
      <c r="G40" s="52" t="s">
        <v>1807</v>
      </c>
      <c r="H40" s="44"/>
      <c r="I40" s="44">
        <v>3900000</v>
      </c>
      <c r="J40" s="52" t="s">
        <v>1808</v>
      </c>
      <c r="K40" s="52" t="s">
        <v>82</v>
      </c>
      <c r="L40" s="52"/>
      <c r="M40" s="43"/>
      <c r="N40" s="43" t="s">
        <v>83</v>
      </c>
      <c r="O40" s="43"/>
      <c r="P40" s="43" t="s">
        <v>80</v>
      </c>
      <c r="Q40" s="41"/>
      <c r="R40" s="41"/>
    </row>
    <row r="41" spans="1:19" ht="72.5" x14ac:dyDescent="0.35">
      <c r="A41" s="40">
        <f t="shared" si="0"/>
        <v>40</v>
      </c>
      <c r="B41" s="41" t="s">
        <v>28</v>
      </c>
      <c r="C41" s="42">
        <v>45573</v>
      </c>
      <c r="D41" s="42">
        <v>45582</v>
      </c>
      <c r="E41" s="52" t="s">
        <v>1815</v>
      </c>
      <c r="F41" s="52" t="s">
        <v>77</v>
      </c>
      <c r="G41" s="52" t="s">
        <v>1816</v>
      </c>
      <c r="H41" s="44"/>
      <c r="I41" s="44"/>
      <c r="J41" s="52" t="s">
        <v>1817</v>
      </c>
      <c r="K41" s="52" t="s">
        <v>85</v>
      </c>
      <c r="L41" s="43"/>
      <c r="M41" s="43"/>
      <c r="N41" s="43" t="s">
        <v>83</v>
      </c>
      <c r="O41" s="43"/>
      <c r="P41" s="43" t="s">
        <v>80</v>
      </c>
      <c r="Q41" s="53" t="s">
        <v>1884</v>
      </c>
      <c r="R41" s="41"/>
    </row>
    <row r="42" spans="1:19" ht="58" x14ac:dyDescent="0.35">
      <c r="A42" s="40">
        <f t="shared" si="0"/>
        <v>41</v>
      </c>
      <c r="B42" s="41" t="s">
        <v>28</v>
      </c>
      <c r="C42" s="57">
        <v>45572</v>
      </c>
      <c r="D42" s="57">
        <v>45583</v>
      </c>
      <c r="E42" s="52" t="s">
        <v>63</v>
      </c>
      <c r="F42" s="54" t="s">
        <v>56</v>
      </c>
      <c r="G42" s="52" t="s">
        <v>1812</v>
      </c>
      <c r="H42" s="58"/>
      <c r="I42" s="58"/>
      <c r="J42" s="52" t="s">
        <v>1813</v>
      </c>
      <c r="K42" s="54" t="s">
        <v>79</v>
      </c>
      <c r="L42" s="54"/>
      <c r="M42" s="54"/>
      <c r="N42" s="54" t="s">
        <v>83</v>
      </c>
      <c r="O42" s="54"/>
      <c r="P42" s="54" t="s">
        <v>80</v>
      </c>
      <c r="Q42" s="59"/>
      <c r="R42" s="59"/>
    </row>
    <row r="43" spans="1:19" ht="58" x14ac:dyDescent="0.35">
      <c r="A43" s="40">
        <f t="shared" si="0"/>
        <v>42</v>
      </c>
      <c r="B43" s="53" t="s">
        <v>27</v>
      </c>
      <c r="C43" s="55">
        <v>45555</v>
      </c>
      <c r="D43" s="42">
        <v>45583</v>
      </c>
      <c r="E43" s="52" t="s">
        <v>1690</v>
      </c>
      <c r="F43" s="52" t="s">
        <v>55</v>
      </c>
      <c r="G43" s="52" t="s">
        <v>1826</v>
      </c>
      <c r="H43" s="44"/>
      <c r="I43" s="44">
        <v>16900000</v>
      </c>
      <c r="J43" s="52" t="s">
        <v>1692</v>
      </c>
      <c r="K43" s="52" t="s">
        <v>147</v>
      </c>
      <c r="L43" s="43"/>
      <c r="M43" s="43"/>
      <c r="N43" s="43" t="s">
        <v>83</v>
      </c>
      <c r="O43" s="43"/>
      <c r="P43" s="43" t="s">
        <v>80</v>
      </c>
      <c r="Q43" s="41"/>
      <c r="R43" s="41"/>
    </row>
    <row r="44" spans="1:19" ht="72.5" x14ac:dyDescent="0.35">
      <c r="A44" s="40">
        <f t="shared" si="0"/>
        <v>43</v>
      </c>
      <c r="B44" s="41" t="s">
        <v>28</v>
      </c>
      <c r="C44" s="57">
        <v>45573</v>
      </c>
      <c r="D44" s="57">
        <v>45584</v>
      </c>
      <c r="E44" s="52" t="s">
        <v>88</v>
      </c>
      <c r="F44" s="52" t="s">
        <v>1818</v>
      </c>
      <c r="G44" s="52" t="s">
        <v>1819</v>
      </c>
      <c r="H44" s="58"/>
      <c r="I44" s="58"/>
      <c r="J44" s="52" t="s">
        <v>1820</v>
      </c>
      <c r="K44" s="52" t="s">
        <v>82</v>
      </c>
      <c r="L44" s="54"/>
      <c r="M44" s="54"/>
      <c r="N44" s="54" t="s">
        <v>83</v>
      </c>
      <c r="O44" s="54"/>
      <c r="P44" s="54" t="s">
        <v>80</v>
      </c>
      <c r="Q44" s="61" t="s">
        <v>240</v>
      </c>
      <c r="R44" s="59"/>
    </row>
    <row r="45" spans="1:19" ht="72.5" x14ac:dyDescent="0.35">
      <c r="A45" s="40">
        <f t="shared" si="0"/>
        <v>44</v>
      </c>
      <c r="B45" s="41" t="s">
        <v>28</v>
      </c>
      <c r="C45" s="42">
        <v>45575</v>
      </c>
      <c r="D45" s="42">
        <v>45586</v>
      </c>
      <c r="E45" s="43" t="s">
        <v>1830</v>
      </c>
      <c r="F45" s="43"/>
      <c r="G45" s="52" t="s">
        <v>1831</v>
      </c>
      <c r="H45" s="44"/>
      <c r="I45" s="44"/>
      <c r="J45" s="52" t="s">
        <v>1833</v>
      </c>
      <c r="K45" s="52" t="s">
        <v>79</v>
      </c>
      <c r="L45" s="43"/>
      <c r="M45" s="43"/>
      <c r="N45" s="43" t="s">
        <v>83</v>
      </c>
      <c r="O45" s="45"/>
      <c r="P45" s="43" t="s">
        <v>80</v>
      </c>
      <c r="Q45" s="41"/>
      <c r="R45" s="41"/>
    </row>
    <row r="46" spans="1:19" ht="116" x14ac:dyDescent="0.35">
      <c r="A46" s="40">
        <f t="shared" si="0"/>
        <v>45</v>
      </c>
      <c r="B46" s="41" t="s">
        <v>27</v>
      </c>
      <c r="C46" s="42">
        <v>45553</v>
      </c>
      <c r="D46" s="42">
        <v>45572</v>
      </c>
      <c r="E46" s="52" t="s">
        <v>88</v>
      </c>
      <c r="F46" s="52" t="s">
        <v>1737</v>
      </c>
      <c r="G46" s="52">
        <v>1000423335</v>
      </c>
      <c r="H46" s="44"/>
      <c r="I46" s="44">
        <v>44651407.68</v>
      </c>
      <c r="J46" s="52" t="s">
        <v>1738</v>
      </c>
      <c r="K46" s="52" t="s">
        <v>81</v>
      </c>
      <c r="L46" s="43"/>
      <c r="M46" s="43"/>
      <c r="N46" s="43" t="s">
        <v>83</v>
      </c>
      <c r="O46" s="43"/>
      <c r="P46" s="43" t="s">
        <v>80</v>
      </c>
      <c r="Q46" s="53"/>
      <c r="R46" s="41"/>
    </row>
    <row r="47" spans="1:19" ht="58" x14ac:dyDescent="0.35">
      <c r="A47" s="40">
        <f t="shared" si="0"/>
        <v>46</v>
      </c>
      <c r="B47" s="41" t="s">
        <v>28</v>
      </c>
      <c r="C47" s="42">
        <v>45555</v>
      </c>
      <c r="D47" s="42">
        <v>45573</v>
      </c>
      <c r="E47" s="52" t="s">
        <v>1753</v>
      </c>
      <c r="F47" s="52" t="s">
        <v>1754</v>
      </c>
      <c r="G47" s="52" t="s">
        <v>1755</v>
      </c>
      <c r="H47" s="44"/>
      <c r="I47" s="44"/>
      <c r="J47" s="52" t="s">
        <v>1756</v>
      </c>
      <c r="K47" s="52" t="s">
        <v>79</v>
      </c>
      <c r="L47" s="52"/>
      <c r="M47" s="43"/>
      <c r="N47" s="43" t="s">
        <v>83</v>
      </c>
      <c r="O47" s="43"/>
      <c r="P47" s="43" t="s">
        <v>80</v>
      </c>
      <c r="Q47" s="53"/>
      <c r="R47" s="41"/>
    </row>
    <row r="48" spans="1:19" ht="43.5" x14ac:dyDescent="0.35">
      <c r="A48" s="40">
        <f t="shared" si="0"/>
        <v>47</v>
      </c>
      <c r="B48" s="41" t="s">
        <v>28</v>
      </c>
      <c r="C48" s="42">
        <v>45565</v>
      </c>
      <c r="D48" s="42">
        <v>45573</v>
      </c>
      <c r="E48" s="52" t="s">
        <v>88</v>
      </c>
      <c r="F48" s="52" t="s">
        <v>1793</v>
      </c>
      <c r="G48" s="52" t="s">
        <v>1794</v>
      </c>
      <c r="H48" s="44"/>
      <c r="I48" s="44"/>
      <c r="J48" s="52" t="s">
        <v>1814</v>
      </c>
      <c r="K48" s="52" t="s">
        <v>85</v>
      </c>
      <c r="L48" s="43"/>
      <c r="M48" s="43"/>
      <c r="N48" s="43" t="s">
        <v>83</v>
      </c>
      <c r="O48" s="43"/>
      <c r="P48" s="43" t="s">
        <v>80</v>
      </c>
      <c r="Q48" s="41"/>
      <c r="R48" s="41"/>
    </row>
    <row r="49" spans="1:18" ht="72.5" x14ac:dyDescent="0.35">
      <c r="A49" s="40">
        <f t="shared" si="0"/>
        <v>48</v>
      </c>
      <c r="B49" s="41" t="s">
        <v>28</v>
      </c>
      <c r="C49" s="42">
        <v>45554</v>
      </c>
      <c r="D49" s="42">
        <v>45575</v>
      </c>
      <c r="E49" s="52" t="s">
        <v>1739</v>
      </c>
      <c r="F49" s="52" t="s">
        <v>1740</v>
      </c>
      <c r="G49" s="43" t="s">
        <v>1741</v>
      </c>
      <c r="H49" s="44"/>
      <c r="I49" s="44"/>
      <c r="J49" s="52" t="s">
        <v>1742</v>
      </c>
      <c r="K49" s="52" t="s">
        <v>82</v>
      </c>
      <c r="L49" s="43"/>
      <c r="M49" s="43"/>
      <c r="N49" s="43" t="s">
        <v>83</v>
      </c>
      <c r="O49" s="43"/>
      <c r="P49" s="43" t="s">
        <v>80</v>
      </c>
      <c r="Q49" s="53"/>
      <c r="R49" s="41"/>
    </row>
    <row r="50" spans="1:18" ht="72.5" x14ac:dyDescent="0.35">
      <c r="A50" s="40">
        <f t="shared" si="0"/>
        <v>49</v>
      </c>
      <c r="B50" s="41" t="s">
        <v>28</v>
      </c>
      <c r="C50" s="42">
        <v>45554</v>
      </c>
      <c r="D50" s="42">
        <v>45575</v>
      </c>
      <c r="E50" s="52" t="s">
        <v>257</v>
      </c>
      <c r="F50" s="52" t="s">
        <v>650</v>
      </c>
      <c r="G50" s="52" t="s">
        <v>1747</v>
      </c>
      <c r="H50" s="44"/>
      <c r="I50" s="44"/>
      <c r="J50" s="52" t="s">
        <v>1748</v>
      </c>
      <c r="K50" s="52" t="s">
        <v>81</v>
      </c>
      <c r="L50" s="43"/>
      <c r="M50" s="43"/>
      <c r="N50" s="43" t="s">
        <v>83</v>
      </c>
      <c r="O50" s="43"/>
      <c r="P50" s="43" t="s">
        <v>80</v>
      </c>
      <c r="Q50" s="53" t="s">
        <v>240</v>
      </c>
      <c r="R50" s="41"/>
    </row>
    <row r="51" spans="1:18" ht="58" x14ac:dyDescent="0.35">
      <c r="A51" s="40">
        <f t="shared" si="0"/>
        <v>50</v>
      </c>
      <c r="B51" s="41" t="s">
        <v>28</v>
      </c>
      <c r="C51" s="42">
        <v>45558</v>
      </c>
      <c r="D51" s="42">
        <v>45576</v>
      </c>
      <c r="E51" s="52" t="s">
        <v>49</v>
      </c>
      <c r="F51" s="52" t="s">
        <v>111</v>
      </c>
      <c r="G51" s="52" t="s">
        <v>1771</v>
      </c>
      <c r="H51" s="44"/>
      <c r="I51" s="44"/>
      <c r="J51" s="52" t="s">
        <v>1772</v>
      </c>
      <c r="K51" s="52" t="s">
        <v>147</v>
      </c>
      <c r="L51" s="52"/>
      <c r="M51" s="43"/>
      <c r="N51" s="43" t="s">
        <v>83</v>
      </c>
      <c r="O51" s="43"/>
      <c r="P51" s="43" t="s">
        <v>80</v>
      </c>
      <c r="Q51" s="53" t="s">
        <v>1825</v>
      </c>
      <c r="R51" s="41"/>
    </row>
    <row r="52" spans="1:18" ht="43.5" x14ac:dyDescent="0.35">
      <c r="A52" s="40">
        <f t="shared" si="0"/>
        <v>51</v>
      </c>
      <c r="B52" s="41" t="s">
        <v>28</v>
      </c>
      <c r="C52" s="42">
        <v>45558</v>
      </c>
      <c r="D52" s="42">
        <v>45577</v>
      </c>
      <c r="E52" s="52" t="s">
        <v>1768</v>
      </c>
      <c r="F52" s="52" t="s">
        <v>54</v>
      </c>
      <c r="G52" s="52" t="s">
        <v>1769</v>
      </c>
      <c r="H52" s="44"/>
      <c r="I52" s="44"/>
      <c r="J52" s="52" t="s">
        <v>1770</v>
      </c>
      <c r="K52" s="52" t="s">
        <v>81</v>
      </c>
      <c r="L52" s="52"/>
      <c r="M52" s="43"/>
      <c r="N52" s="43" t="s">
        <v>83</v>
      </c>
      <c r="O52" s="43"/>
      <c r="P52" s="43" t="s">
        <v>80</v>
      </c>
      <c r="Q52" s="41"/>
      <c r="R52" s="41"/>
    </row>
    <row r="53" spans="1:18" ht="145" x14ac:dyDescent="0.35">
      <c r="A53" s="40">
        <f t="shared" si="0"/>
        <v>52</v>
      </c>
      <c r="B53" s="41" t="s">
        <v>31</v>
      </c>
      <c r="C53" s="42">
        <v>45569</v>
      </c>
      <c r="D53" s="57">
        <v>45573</v>
      </c>
      <c r="E53" s="52" t="s">
        <v>52</v>
      </c>
      <c r="F53" s="52" t="s">
        <v>77</v>
      </c>
      <c r="G53" s="52" t="s">
        <v>1802</v>
      </c>
      <c r="H53" s="58">
        <v>2664000</v>
      </c>
      <c r="I53" s="58">
        <v>3307824</v>
      </c>
      <c r="J53" s="52" t="s">
        <v>1803</v>
      </c>
      <c r="K53" s="52" t="s">
        <v>81</v>
      </c>
      <c r="L53" s="54"/>
      <c r="M53" s="54"/>
      <c r="N53" s="54" t="s">
        <v>83</v>
      </c>
      <c r="O53" s="54"/>
      <c r="P53" s="54" t="s">
        <v>80</v>
      </c>
      <c r="Q53" s="62" t="s">
        <v>1845</v>
      </c>
      <c r="R53" s="59"/>
    </row>
    <row r="54" spans="1:18" ht="72.5" x14ac:dyDescent="0.35">
      <c r="A54" s="40">
        <f t="shared" si="0"/>
        <v>53</v>
      </c>
      <c r="B54" s="41" t="s">
        <v>28</v>
      </c>
      <c r="C54" s="42">
        <v>45555</v>
      </c>
      <c r="D54" s="42">
        <v>45568</v>
      </c>
      <c r="E54" s="52" t="s">
        <v>1760</v>
      </c>
      <c r="F54" s="52" t="s">
        <v>265</v>
      </c>
      <c r="G54" s="52" t="s">
        <v>1761</v>
      </c>
      <c r="H54" s="44"/>
      <c r="I54" s="44"/>
      <c r="J54" s="52" t="s">
        <v>1762</v>
      </c>
      <c r="K54" s="52" t="s">
        <v>82</v>
      </c>
      <c r="L54" s="43"/>
      <c r="M54" s="43"/>
      <c r="N54" s="43" t="s">
        <v>83</v>
      </c>
      <c r="O54" s="43"/>
      <c r="P54" s="43" t="s">
        <v>80</v>
      </c>
      <c r="Q54" s="53" t="s">
        <v>1763</v>
      </c>
      <c r="R54" s="41"/>
    </row>
    <row r="55" spans="1:18" ht="43.5" x14ac:dyDescent="0.35">
      <c r="A55" s="40">
        <f t="shared" si="0"/>
        <v>54</v>
      </c>
      <c r="B55" s="41" t="s">
        <v>28</v>
      </c>
      <c r="C55" s="42">
        <v>45556</v>
      </c>
      <c r="D55" s="42">
        <v>45569</v>
      </c>
      <c r="E55" s="52" t="s">
        <v>88</v>
      </c>
      <c r="F55" s="52" t="s">
        <v>1765</v>
      </c>
      <c r="G55" s="52" t="s">
        <v>1766</v>
      </c>
      <c r="H55" s="44"/>
      <c r="I55" s="44"/>
      <c r="J55" s="52" t="s">
        <v>1767</v>
      </c>
      <c r="K55" s="52" t="s">
        <v>85</v>
      </c>
      <c r="L55" s="43"/>
      <c r="M55" s="43"/>
      <c r="N55" s="43" t="s">
        <v>83</v>
      </c>
      <c r="O55" s="43"/>
      <c r="P55" s="43" t="s">
        <v>80</v>
      </c>
      <c r="Q55" s="41"/>
      <c r="R55" s="41"/>
    </row>
    <row r="56" spans="1:18" ht="58" x14ac:dyDescent="0.35">
      <c r="A56" s="40">
        <f t="shared" si="0"/>
        <v>55</v>
      </c>
      <c r="B56" s="41" t="s">
        <v>28</v>
      </c>
      <c r="C56" s="42">
        <v>45560</v>
      </c>
      <c r="D56" s="42">
        <v>45568</v>
      </c>
      <c r="E56" s="52" t="s">
        <v>137</v>
      </c>
      <c r="F56" s="52" t="s">
        <v>67</v>
      </c>
      <c r="G56" s="52" t="s">
        <v>1784</v>
      </c>
      <c r="H56" s="44"/>
      <c r="I56" s="44"/>
      <c r="J56" s="52" t="s">
        <v>1785</v>
      </c>
      <c r="K56" s="52" t="s">
        <v>147</v>
      </c>
      <c r="L56" s="43"/>
      <c r="M56" s="43"/>
      <c r="N56" s="43" t="s">
        <v>83</v>
      </c>
      <c r="O56" s="43"/>
      <c r="P56" s="43" t="s">
        <v>80</v>
      </c>
      <c r="Q56" s="53" t="s">
        <v>240</v>
      </c>
      <c r="R56" s="41"/>
    </row>
    <row r="57" spans="1:18" ht="58" x14ac:dyDescent="0.35">
      <c r="A57" s="40">
        <f t="shared" si="0"/>
        <v>56</v>
      </c>
      <c r="B57" s="41" t="s">
        <v>28</v>
      </c>
      <c r="C57" s="42">
        <v>45560</v>
      </c>
      <c r="D57" s="42">
        <v>45569</v>
      </c>
      <c r="E57" s="52" t="s">
        <v>137</v>
      </c>
      <c r="F57" s="52" t="s">
        <v>67</v>
      </c>
      <c r="G57" s="52" t="s">
        <v>1786</v>
      </c>
      <c r="H57" s="44"/>
      <c r="I57" s="44"/>
      <c r="J57" s="52" t="s">
        <v>1787</v>
      </c>
      <c r="K57" s="52" t="s">
        <v>147</v>
      </c>
      <c r="L57" s="43"/>
      <c r="M57" s="43"/>
      <c r="N57" s="43" t="s">
        <v>83</v>
      </c>
      <c r="O57" s="43"/>
      <c r="P57" s="43" t="s">
        <v>80</v>
      </c>
      <c r="Q57" s="53" t="s">
        <v>240</v>
      </c>
      <c r="R57" s="41"/>
    </row>
    <row r="58" spans="1:18" ht="58" x14ac:dyDescent="0.35">
      <c r="A58" s="40">
        <f t="shared" si="0"/>
        <v>57</v>
      </c>
      <c r="B58" s="41" t="s">
        <v>28</v>
      </c>
      <c r="C58" s="42">
        <v>45551</v>
      </c>
      <c r="D58" s="42">
        <v>45570</v>
      </c>
      <c r="E58" s="52" t="s">
        <v>49</v>
      </c>
      <c r="F58" s="52" t="s">
        <v>134</v>
      </c>
      <c r="G58" s="52" t="s">
        <v>1734</v>
      </c>
      <c r="H58" s="44"/>
      <c r="I58" s="44"/>
      <c r="J58" s="52" t="s">
        <v>1735</v>
      </c>
      <c r="K58" s="52" t="s">
        <v>81</v>
      </c>
      <c r="L58" s="52"/>
      <c r="M58" s="43"/>
      <c r="N58" s="43" t="s">
        <v>83</v>
      </c>
      <c r="O58" s="43"/>
      <c r="P58" s="43" t="s">
        <v>80</v>
      </c>
      <c r="Q58" s="69" t="s">
        <v>1736</v>
      </c>
      <c r="R58" s="41"/>
    </row>
    <row r="59" spans="1:18" ht="43.5" x14ac:dyDescent="0.35">
      <c r="A59" s="40">
        <f t="shared" si="0"/>
        <v>58</v>
      </c>
      <c r="B59" s="41" t="s">
        <v>28</v>
      </c>
      <c r="C59" s="42">
        <v>45554</v>
      </c>
      <c r="D59" s="42">
        <v>45573</v>
      </c>
      <c r="E59" s="52" t="s">
        <v>1739</v>
      </c>
      <c r="F59" s="52" t="s">
        <v>1740</v>
      </c>
      <c r="G59" s="52" t="s">
        <v>1745</v>
      </c>
      <c r="H59" s="44"/>
      <c r="I59" s="44"/>
      <c r="J59" s="52" t="s">
        <v>1746</v>
      </c>
      <c r="K59" s="52" t="s">
        <v>82</v>
      </c>
      <c r="L59" s="52"/>
      <c r="M59" s="43"/>
      <c r="N59" s="43" t="s">
        <v>83</v>
      </c>
      <c r="O59" s="43"/>
      <c r="P59" s="43" t="s">
        <v>80</v>
      </c>
      <c r="Q59" s="41"/>
      <c r="R59" s="41"/>
    </row>
    <row r="60" spans="1:18" ht="43.5" x14ac:dyDescent="0.35">
      <c r="A60" s="40">
        <f t="shared" si="0"/>
        <v>59</v>
      </c>
      <c r="B60" s="41" t="s">
        <v>28</v>
      </c>
      <c r="C60" s="42">
        <v>45544</v>
      </c>
      <c r="D60" s="42">
        <v>45558</v>
      </c>
      <c r="E60" s="52" t="s">
        <v>52</v>
      </c>
      <c r="F60" s="52" t="s">
        <v>43</v>
      </c>
      <c r="G60" s="52" t="s">
        <v>1721</v>
      </c>
      <c r="H60" s="44"/>
      <c r="I60" s="44"/>
      <c r="J60" s="52" t="s">
        <v>1722</v>
      </c>
      <c r="K60" s="52" t="s">
        <v>79</v>
      </c>
      <c r="L60" s="52"/>
      <c r="M60" s="43"/>
      <c r="N60" s="43" t="s">
        <v>83</v>
      </c>
      <c r="O60" s="43"/>
      <c r="P60" s="43" t="s">
        <v>80</v>
      </c>
      <c r="Q60" s="41"/>
      <c r="R60" s="41"/>
    </row>
    <row r="61" spans="1:18" ht="145" x14ac:dyDescent="0.35">
      <c r="A61" s="40">
        <f t="shared" si="0"/>
        <v>60</v>
      </c>
      <c r="B61" s="41" t="s">
        <v>27</v>
      </c>
      <c r="C61" s="42">
        <v>45554</v>
      </c>
      <c r="D61" s="42">
        <v>45558</v>
      </c>
      <c r="E61" s="52" t="s">
        <v>770</v>
      </c>
      <c r="F61" s="52" t="s">
        <v>55</v>
      </c>
      <c r="G61" s="52">
        <v>7130008278</v>
      </c>
      <c r="H61" s="44"/>
      <c r="I61" s="44"/>
      <c r="J61" s="52" t="s">
        <v>1757</v>
      </c>
      <c r="K61" s="52" t="s">
        <v>147</v>
      </c>
      <c r="L61" s="52"/>
      <c r="M61" s="43"/>
      <c r="N61" s="43" t="s">
        <v>83</v>
      </c>
      <c r="O61" s="43"/>
      <c r="P61" s="43" t="s">
        <v>80</v>
      </c>
      <c r="Q61" s="41"/>
      <c r="R61" s="41"/>
    </row>
    <row r="62" spans="1:18" ht="29" x14ac:dyDescent="0.35">
      <c r="A62" s="40">
        <f t="shared" si="0"/>
        <v>61</v>
      </c>
      <c r="B62" s="41" t="s">
        <v>27</v>
      </c>
      <c r="C62" s="42">
        <v>45541</v>
      </c>
      <c r="D62" s="42">
        <v>45568</v>
      </c>
      <c r="E62" s="52" t="s">
        <v>922</v>
      </c>
      <c r="F62" s="52" t="s">
        <v>126</v>
      </c>
      <c r="G62" s="52" t="s">
        <v>1718</v>
      </c>
      <c r="H62" s="44"/>
      <c r="I62" s="44">
        <v>392238983.05084747</v>
      </c>
      <c r="J62" s="52" t="s">
        <v>1719</v>
      </c>
      <c r="K62" s="52" t="s">
        <v>79</v>
      </c>
      <c r="L62" s="43"/>
      <c r="M62" s="43"/>
      <c r="N62" s="43" t="s">
        <v>83</v>
      </c>
      <c r="O62" s="43"/>
      <c r="P62" s="43" t="s">
        <v>80</v>
      </c>
      <c r="Q62" s="53" t="s">
        <v>1720</v>
      </c>
      <c r="R62" s="41"/>
    </row>
    <row r="63" spans="1:18" ht="29" x14ac:dyDescent="0.35">
      <c r="A63" s="40">
        <f t="shared" si="0"/>
        <v>62</v>
      </c>
      <c r="B63" s="41" t="s">
        <v>27</v>
      </c>
      <c r="C63" s="42">
        <v>45551</v>
      </c>
      <c r="D63" s="42">
        <v>45562</v>
      </c>
      <c r="E63" s="52" t="s">
        <v>52</v>
      </c>
      <c r="F63" s="43" t="s">
        <v>43</v>
      </c>
      <c r="G63" s="52" t="s">
        <v>1728</v>
      </c>
      <c r="H63" s="44"/>
      <c r="I63" s="44">
        <v>4118655.5172990002</v>
      </c>
      <c r="J63" s="52" t="s">
        <v>1729</v>
      </c>
      <c r="K63" s="52" t="s">
        <v>81</v>
      </c>
      <c r="L63" s="52"/>
      <c r="M63" s="43"/>
      <c r="N63" s="43" t="s">
        <v>83</v>
      </c>
      <c r="O63" s="43"/>
      <c r="P63" s="43" t="s">
        <v>80</v>
      </c>
      <c r="Q63" s="41"/>
      <c r="R63" s="41"/>
    </row>
    <row r="64" spans="1:18" ht="275.5" x14ac:dyDescent="0.35">
      <c r="A64" s="40">
        <f t="shared" si="0"/>
        <v>63</v>
      </c>
      <c r="B64" s="41" t="s">
        <v>31</v>
      </c>
      <c r="C64" s="42">
        <v>45554</v>
      </c>
      <c r="D64" s="42">
        <v>45562</v>
      </c>
      <c r="E64" s="52" t="s">
        <v>52</v>
      </c>
      <c r="F64" s="52" t="s">
        <v>43</v>
      </c>
      <c r="G64" s="52" t="s">
        <v>1743</v>
      </c>
      <c r="H64" s="58">
        <v>6355899.8300000001</v>
      </c>
      <c r="I64" s="58">
        <v>6610621.0099999998</v>
      </c>
      <c r="J64" s="52" t="s">
        <v>1744</v>
      </c>
      <c r="K64" s="52" t="s">
        <v>81</v>
      </c>
      <c r="L64" s="43"/>
      <c r="M64" s="43"/>
      <c r="N64" s="43" t="s">
        <v>83</v>
      </c>
      <c r="O64" s="43"/>
      <c r="P64" s="43" t="s">
        <v>80</v>
      </c>
      <c r="Q64" s="52" t="s">
        <v>1846</v>
      </c>
      <c r="R64" s="41"/>
    </row>
    <row r="65" spans="1:18" ht="43.5" x14ac:dyDescent="0.35">
      <c r="A65" s="40">
        <f t="shared" si="0"/>
        <v>64</v>
      </c>
      <c r="B65" s="41" t="s">
        <v>28</v>
      </c>
      <c r="C65" s="42">
        <v>45554</v>
      </c>
      <c r="D65" s="42">
        <v>45565</v>
      </c>
      <c r="E65" s="52" t="s">
        <v>1750</v>
      </c>
      <c r="F65" s="52" t="s">
        <v>1749</v>
      </c>
      <c r="G65" s="52" t="s">
        <v>1751</v>
      </c>
      <c r="H65" s="44"/>
      <c r="I65" s="44"/>
      <c r="J65" s="52" t="s">
        <v>1752</v>
      </c>
      <c r="K65" s="52" t="s">
        <v>82</v>
      </c>
      <c r="L65" s="43"/>
      <c r="M65" s="43"/>
      <c r="N65" s="43" t="s">
        <v>83</v>
      </c>
      <c r="O65" s="43"/>
      <c r="P65" s="43" t="s">
        <v>80</v>
      </c>
      <c r="Q65" s="74"/>
      <c r="R65" s="41"/>
    </row>
    <row r="66" spans="1:18" ht="130.5" x14ac:dyDescent="0.35">
      <c r="A66" s="40">
        <f t="shared" ref="A66:A129" si="1">ROW()-1</f>
        <v>65</v>
      </c>
      <c r="B66" s="41" t="s">
        <v>28</v>
      </c>
      <c r="C66" s="42">
        <v>45558</v>
      </c>
      <c r="D66" s="42">
        <v>45565</v>
      </c>
      <c r="E66" s="52" t="s">
        <v>1773</v>
      </c>
      <c r="F66" s="52" t="s">
        <v>66</v>
      </c>
      <c r="G66" s="52" t="s">
        <v>1774</v>
      </c>
      <c r="H66" s="44"/>
      <c r="I66" s="44"/>
      <c r="J66" s="52" t="s">
        <v>1775</v>
      </c>
      <c r="K66" s="52" t="s">
        <v>79</v>
      </c>
      <c r="L66" s="43"/>
      <c r="M66" s="43"/>
      <c r="N66" s="43" t="s">
        <v>83</v>
      </c>
      <c r="O66" s="43"/>
      <c r="P66" s="43" t="s">
        <v>80</v>
      </c>
      <c r="Q66" s="41"/>
      <c r="R66" s="41"/>
    </row>
    <row r="67" spans="1:18" ht="232" x14ac:dyDescent="0.35">
      <c r="A67" s="40">
        <f t="shared" si="1"/>
        <v>66</v>
      </c>
      <c r="B67" s="41" t="s">
        <v>27</v>
      </c>
      <c r="C67" s="42">
        <v>45558</v>
      </c>
      <c r="D67" s="42">
        <v>45565</v>
      </c>
      <c r="E67" s="52" t="s">
        <v>163</v>
      </c>
      <c r="F67" s="52" t="s">
        <v>1776</v>
      </c>
      <c r="G67" s="52" t="s">
        <v>1777</v>
      </c>
      <c r="H67" s="44"/>
      <c r="I67" s="44">
        <v>30381804</v>
      </c>
      <c r="J67" s="52" t="s">
        <v>1778</v>
      </c>
      <c r="K67" s="52" t="s">
        <v>81</v>
      </c>
      <c r="L67" s="52"/>
      <c r="M67" s="43"/>
      <c r="N67" s="43" t="s">
        <v>83</v>
      </c>
      <c r="O67" s="43"/>
      <c r="P67" s="43" t="s">
        <v>80</v>
      </c>
      <c r="Q67" s="41"/>
      <c r="R67" s="41"/>
    </row>
    <row r="68" spans="1:18" ht="58" x14ac:dyDescent="0.35">
      <c r="A68" s="40">
        <f t="shared" si="1"/>
        <v>67</v>
      </c>
      <c r="B68" s="41" t="s">
        <v>33</v>
      </c>
      <c r="C68" s="42">
        <v>45555</v>
      </c>
      <c r="D68" s="42">
        <v>45568</v>
      </c>
      <c r="E68" s="52" t="s">
        <v>1690</v>
      </c>
      <c r="F68" s="52" t="s">
        <v>55</v>
      </c>
      <c r="G68" s="52" t="s">
        <v>1764</v>
      </c>
      <c r="H68" s="44"/>
      <c r="I68" s="44"/>
      <c r="J68" s="52" t="s">
        <v>1692</v>
      </c>
      <c r="K68" s="52" t="s">
        <v>79</v>
      </c>
      <c r="L68" s="43"/>
      <c r="M68" s="43"/>
      <c r="N68" s="43" t="s">
        <v>83</v>
      </c>
      <c r="O68" s="43"/>
      <c r="P68" s="43" t="s">
        <v>80</v>
      </c>
      <c r="Q68" s="41"/>
      <c r="R68" s="41"/>
    </row>
    <row r="69" spans="1:18" ht="29" x14ac:dyDescent="0.35">
      <c r="A69" s="40">
        <f t="shared" si="1"/>
        <v>68</v>
      </c>
      <c r="B69" s="41" t="s">
        <v>27</v>
      </c>
      <c r="C69" s="42">
        <v>45559</v>
      </c>
      <c r="D69" s="42">
        <v>45562</v>
      </c>
      <c r="E69" s="52" t="s">
        <v>52</v>
      </c>
      <c r="F69" s="52" t="s">
        <v>53</v>
      </c>
      <c r="G69" s="52" t="s">
        <v>1779</v>
      </c>
      <c r="H69" s="44"/>
      <c r="I69" s="44">
        <v>3984540.0000000005</v>
      </c>
      <c r="J69" s="52" t="s">
        <v>1780</v>
      </c>
      <c r="K69" s="52" t="s">
        <v>85</v>
      </c>
      <c r="L69" s="43"/>
      <c r="M69" s="43"/>
      <c r="N69" s="43" t="s">
        <v>83</v>
      </c>
      <c r="O69" s="43"/>
      <c r="P69" s="43" t="s">
        <v>80</v>
      </c>
      <c r="Q69" s="53"/>
      <c r="R69" s="41"/>
    </row>
    <row r="70" spans="1:18" ht="43.5" x14ac:dyDescent="0.35">
      <c r="A70" s="40">
        <f t="shared" si="1"/>
        <v>69</v>
      </c>
      <c r="B70" s="41" t="s">
        <v>28</v>
      </c>
      <c r="C70" s="42">
        <v>45526</v>
      </c>
      <c r="D70" s="42">
        <v>45552</v>
      </c>
      <c r="E70" s="52" t="s">
        <v>1683</v>
      </c>
      <c r="F70" s="52" t="s">
        <v>1684</v>
      </c>
      <c r="G70" s="52" t="s">
        <v>1685</v>
      </c>
      <c r="H70" s="44"/>
      <c r="I70" s="44"/>
      <c r="J70" s="52" t="s">
        <v>1686</v>
      </c>
      <c r="K70" s="52" t="s">
        <v>85</v>
      </c>
      <c r="L70" s="43"/>
      <c r="M70" s="43"/>
      <c r="N70" s="43" t="s">
        <v>83</v>
      </c>
      <c r="O70" s="43"/>
      <c r="P70" s="43" t="s">
        <v>80</v>
      </c>
      <c r="Q70" s="41" t="s">
        <v>1642</v>
      </c>
      <c r="R70" s="41"/>
    </row>
    <row r="71" spans="1:18" ht="87" x14ac:dyDescent="0.35">
      <c r="A71" s="40">
        <f t="shared" si="1"/>
        <v>70</v>
      </c>
      <c r="B71" s="41" t="s">
        <v>28</v>
      </c>
      <c r="C71" s="42">
        <v>45503</v>
      </c>
      <c r="D71" s="42">
        <v>45555</v>
      </c>
      <c r="E71" s="52" t="s">
        <v>1044</v>
      </c>
      <c r="F71" s="52" t="s">
        <v>113</v>
      </c>
      <c r="G71" s="52" t="s">
        <v>1619</v>
      </c>
      <c r="H71" s="44"/>
      <c r="I71" s="44"/>
      <c r="J71" s="52" t="s">
        <v>1620</v>
      </c>
      <c r="K71" s="52" t="s">
        <v>79</v>
      </c>
      <c r="L71" s="43"/>
      <c r="M71" s="43"/>
      <c r="N71" s="43" t="s">
        <v>83</v>
      </c>
      <c r="O71" s="43"/>
      <c r="P71" s="43" t="s">
        <v>80</v>
      </c>
      <c r="Q71" s="41"/>
      <c r="R71" s="41"/>
    </row>
    <row r="72" spans="1:18" ht="116" x14ac:dyDescent="0.35">
      <c r="A72" s="40">
        <f t="shared" si="1"/>
        <v>71</v>
      </c>
      <c r="B72" s="41" t="s">
        <v>28</v>
      </c>
      <c r="C72" s="42">
        <v>45521</v>
      </c>
      <c r="D72" s="55">
        <v>45540</v>
      </c>
      <c r="E72" s="52" t="s">
        <v>58</v>
      </c>
      <c r="F72" s="52" t="s">
        <v>59</v>
      </c>
      <c r="G72" s="52" t="s">
        <v>1653</v>
      </c>
      <c r="H72" s="44"/>
      <c r="I72" s="58"/>
      <c r="J72" s="52" t="s">
        <v>1654</v>
      </c>
      <c r="K72" s="52" t="s">
        <v>82</v>
      </c>
      <c r="L72" s="52"/>
      <c r="M72" s="43"/>
      <c r="N72" s="43" t="s">
        <v>83</v>
      </c>
      <c r="O72" s="43"/>
      <c r="P72" s="43" t="s">
        <v>80</v>
      </c>
      <c r="Q72" s="53" t="s">
        <v>1731</v>
      </c>
      <c r="R72" s="41"/>
    </row>
    <row r="73" spans="1:18" ht="72.5" x14ac:dyDescent="0.35">
      <c r="A73" s="40">
        <f t="shared" si="1"/>
        <v>72</v>
      </c>
      <c r="B73" s="41" t="s">
        <v>28</v>
      </c>
      <c r="C73" s="42">
        <v>45532</v>
      </c>
      <c r="D73" s="42">
        <v>45542</v>
      </c>
      <c r="E73" s="52" t="s">
        <v>61</v>
      </c>
      <c r="F73" s="52" t="s">
        <v>101</v>
      </c>
      <c r="G73" s="52" t="s">
        <v>1698</v>
      </c>
      <c r="H73" s="44"/>
      <c r="I73" s="44"/>
      <c r="J73" s="52" t="s">
        <v>1699</v>
      </c>
      <c r="K73" s="52" t="s">
        <v>85</v>
      </c>
      <c r="L73" s="43"/>
      <c r="M73" s="43"/>
      <c r="N73" s="43" t="s">
        <v>83</v>
      </c>
      <c r="O73" s="43"/>
      <c r="P73" s="43" t="s">
        <v>80</v>
      </c>
      <c r="Q73" s="69" t="s">
        <v>1700</v>
      </c>
      <c r="R73" s="41"/>
    </row>
    <row r="74" spans="1:18" ht="58" x14ac:dyDescent="0.35">
      <c r="A74" s="40">
        <f t="shared" si="1"/>
        <v>73</v>
      </c>
      <c r="B74" s="41" t="s">
        <v>28</v>
      </c>
      <c r="C74" s="42">
        <v>45532</v>
      </c>
      <c r="D74" s="42">
        <v>45542</v>
      </c>
      <c r="E74" s="52" t="s">
        <v>1695</v>
      </c>
      <c r="F74" s="52" t="s">
        <v>51</v>
      </c>
      <c r="G74" s="52" t="s">
        <v>1696</v>
      </c>
      <c r="H74" s="58"/>
      <c r="I74" s="58"/>
      <c r="J74" s="52" t="s">
        <v>1697</v>
      </c>
      <c r="K74" s="52" t="s">
        <v>79</v>
      </c>
      <c r="L74" s="43"/>
      <c r="M74" s="43"/>
      <c r="N74" s="43" t="s">
        <v>83</v>
      </c>
      <c r="O74" s="43"/>
      <c r="P74" s="43" t="s">
        <v>80</v>
      </c>
      <c r="Q74" s="52" t="s">
        <v>240</v>
      </c>
      <c r="R74" s="41"/>
    </row>
    <row r="75" spans="1:18" ht="87" x14ac:dyDescent="0.35">
      <c r="A75" s="40">
        <f t="shared" si="1"/>
        <v>74</v>
      </c>
      <c r="B75" s="41" t="s">
        <v>28</v>
      </c>
      <c r="C75" s="42">
        <v>45537</v>
      </c>
      <c r="D75" s="42">
        <v>45542</v>
      </c>
      <c r="E75" s="52" t="s">
        <v>770</v>
      </c>
      <c r="F75" s="52" t="s">
        <v>55</v>
      </c>
      <c r="G75" s="52">
        <v>7130008278</v>
      </c>
      <c r="H75" s="44"/>
      <c r="I75" s="44"/>
      <c r="J75" s="52" t="s">
        <v>1713</v>
      </c>
      <c r="K75" s="52" t="s">
        <v>147</v>
      </c>
      <c r="L75" s="43"/>
      <c r="M75" s="43"/>
      <c r="N75" s="43" t="s">
        <v>83</v>
      </c>
      <c r="O75" s="43"/>
      <c r="P75" s="43" t="s">
        <v>80</v>
      </c>
      <c r="Q75" s="53"/>
      <c r="R75" s="41"/>
    </row>
    <row r="76" spans="1:18" ht="43.5" x14ac:dyDescent="0.35">
      <c r="A76" s="40">
        <f t="shared" si="1"/>
        <v>75</v>
      </c>
      <c r="B76" s="41" t="s">
        <v>27</v>
      </c>
      <c r="C76" s="42">
        <v>45529</v>
      </c>
      <c r="D76" s="42">
        <v>45538</v>
      </c>
      <c r="E76" s="52" t="s">
        <v>463</v>
      </c>
      <c r="F76" s="52" t="s">
        <v>60</v>
      </c>
      <c r="G76" s="52" t="s">
        <v>1716</v>
      </c>
      <c r="H76" s="44"/>
      <c r="I76" s="44">
        <v>2000000</v>
      </c>
      <c r="J76" s="52" t="s">
        <v>1717</v>
      </c>
      <c r="K76" s="52" t="s">
        <v>81</v>
      </c>
      <c r="L76" s="52"/>
      <c r="M76" s="43"/>
      <c r="N76" s="43" t="s">
        <v>83</v>
      </c>
      <c r="O76" s="43"/>
      <c r="P76" s="43" t="s">
        <v>80</v>
      </c>
      <c r="Q76" s="41" t="s">
        <v>1715</v>
      </c>
      <c r="R76" s="41"/>
    </row>
    <row r="77" spans="1:18" ht="101.5" x14ac:dyDescent="0.35">
      <c r="A77" s="40">
        <f t="shared" si="1"/>
        <v>76</v>
      </c>
      <c r="B77" s="41" t="s">
        <v>27</v>
      </c>
      <c r="C77" s="42">
        <v>45524</v>
      </c>
      <c r="D77" s="42">
        <v>45544</v>
      </c>
      <c r="E77" s="52" t="s">
        <v>109</v>
      </c>
      <c r="F77" s="52" t="s">
        <v>150</v>
      </c>
      <c r="G77" s="52" t="s">
        <v>1674</v>
      </c>
      <c r="H77" s="44"/>
      <c r="I77" s="44">
        <v>83326320</v>
      </c>
      <c r="J77" s="52" t="s">
        <v>1675</v>
      </c>
      <c r="K77" s="52" t="s">
        <v>82</v>
      </c>
      <c r="L77" s="43"/>
      <c r="M77" s="43"/>
      <c r="N77" s="43" t="s">
        <v>83</v>
      </c>
      <c r="O77" s="43"/>
      <c r="P77" s="43" t="s">
        <v>80</v>
      </c>
      <c r="Q77" s="53" t="s">
        <v>1642</v>
      </c>
      <c r="R77" s="41"/>
    </row>
    <row r="78" spans="1:18" ht="116" x14ac:dyDescent="0.35">
      <c r="A78" s="40">
        <f t="shared" si="1"/>
        <v>77</v>
      </c>
      <c r="B78" s="41" t="s">
        <v>28</v>
      </c>
      <c r="C78" s="42">
        <v>45524</v>
      </c>
      <c r="D78" s="42">
        <v>45544</v>
      </c>
      <c r="E78" s="52" t="s">
        <v>1198</v>
      </c>
      <c r="F78" s="52" t="s">
        <v>92</v>
      </c>
      <c r="G78" s="52" t="s">
        <v>1672</v>
      </c>
      <c r="H78" s="44"/>
      <c r="I78" s="44"/>
      <c r="J78" s="52" t="s">
        <v>1673</v>
      </c>
      <c r="K78" s="52" t="s">
        <v>81</v>
      </c>
      <c r="L78" s="43"/>
      <c r="M78" s="43"/>
      <c r="N78" s="43" t="s">
        <v>83</v>
      </c>
      <c r="O78" s="43"/>
      <c r="P78" s="43" t="s">
        <v>80</v>
      </c>
      <c r="Q78" s="69" t="s">
        <v>240</v>
      </c>
      <c r="R78" s="41"/>
    </row>
    <row r="79" spans="1:18" ht="58" x14ac:dyDescent="0.35">
      <c r="A79" s="40">
        <f t="shared" si="1"/>
        <v>78</v>
      </c>
      <c r="B79" s="41" t="s">
        <v>33</v>
      </c>
      <c r="C79" s="42">
        <v>45530</v>
      </c>
      <c r="D79" s="42">
        <v>45544</v>
      </c>
      <c r="E79" s="52" t="s">
        <v>1690</v>
      </c>
      <c r="F79" s="52" t="s">
        <v>55</v>
      </c>
      <c r="G79" s="56" t="s">
        <v>1691</v>
      </c>
      <c r="H79" s="44"/>
      <c r="I79" s="44"/>
      <c r="J79" s="52" t="s">
        <v>1692</v>
      </c>
      <c r="K79" s="52" t="s">
        <v>79</v>
      </c>
      <c r="L79" s="43"/>
      <c r="M79" s="43"/>
      <c r="N79" s="43" t="s">
        <v>83</v>
      </c>
      <c r="O79" s="43"/>
      <c r="P79" s="43" t="s">
        <v>80</v>
      </c>
      <c r="Q79" s="41"/>
      <c r="R79" s="41"/>
    </row>
    <row r="80" spans="1:18" ht="58" x14ac:dyDescent="0.35">
      <c r="A80" s="40">
        <f t="shared" si="1"/>
        <v>79</v>
      </c>
      <c r="B80" s="41" t="s">
        <v>28</v>
      </c>
      <c r="C80" s="42">
        <v>45532</v>
      </c>
      <c r="D80" s="42">
        <v>45544</v>
      </c>
      <c r="E80" s="52" t="s">
        <v>109</v>
      </c>
      <c r="F80" s="52" t="s">
        <v>150</v>
      </c>
      <c r="G80" s="52" t="s">
        <v>1703</v>
      </c>
      <c r="H80" s="44"/>
      <c r="I80" s="44"/>
      <c r="J80" s="52" t="s">
        <v>1704</v>
      </c>
      <c r="K80" s="52" t="s">
        <v>82</v>
      </c>
      <c r="L80" s="52"/>
      <c r="M80" s="43"/>
      <c r="N80" s="43" t="s">
        <v>83</v>
      </c>
      <c r="O80" s="43"/>
      <c r="P80" s="43" t="s">
        <v>80</v>
      </c>
      <c r="Q80" s="53" t="s">
        <v>1732</v>
      </c>
      <c r="R80" s="41"/>
    </row>
    <row r="81" spans="1:18" ht="87" x14ac:dyDescent="0.35">
      <c r="A81" s="40">
        <f t="shared" si="1"/>
        <v>80</v>
      </c>
      <c r="B81" s="41" t="s">
        <v>28</v>
      </c>
      <c r="C81" s="42">
        <v>45533</v>
      </c>
      <c r="D81" s="42">
        <v>45544</v>
      </c>
      <c r="E81" s="52" t="s">
        <v>49</v>
      </c>
      <c r="F81" s="52" t="s">
        <v>119</v>
      </c>
      <c r="G81" s="52" t="s">
        <v>1705</v>
      </c>
      <c r="H81" s="44"/>
      <c r="I81" s="44"/>
      <c r="J81" s="52" t="s">
        <v>1706</v>
      </c>
      <c r="K81" s="52" t="s">
        <v>81</v>
      </c>
      <c r="L81" s="52"/>
      <c r="M81" s="43"/>
      <c r="N81" s="43" t="s">
        <v>83</v>
      </c>
      <c r="O81" s="43"/>
      <c r="P81" s="43" t="s">
        <v>80</v>
      </c>
      <c r="Q81" s="41"/>
      <c r="R81" s="41"/>
    </row>
    <row r="82" spans="1:18" ht="101.5" x14ac:dyDescent="0.35">
      <c r="A82" s="40">
        <f t="shared" si="1"/>
        <v>81</v>
      </c>
      <c r="B82" s="41" t="s">
        <v>27</v>
      </c>
      <c r="C82" s="42">
        <v>45533</v>
      </c>
      <c r="D82" s="42">
        <v>45546</v>
      </c>
      <c r="E82" s="52" t="s">
        <v>1159</v>
      </c>
      <c r="F82" s="52" t="s">
        <v>43</v>
      </c>
      <c r="G82" s="52" t="s">
        <v>1709</v>
      </c>
      <c r="H82" s="44"/>
      <c r="I82" s="44">
        <v>5000000</v>
      </c>
      <c r="J82" s="67" t="s">
        <v>1710</v>
      </c>
      <c r="K82" s="67" t="s">
        <v>81</v>
      </c>
      <c r="L82" s="67"/>
      <c r="M82" s="72"/>
      <c r="N82" s="72" t="s">
        <v>83</v>
      </c>
      <c r="O82" s="73"/>
      <c r="P82" s="72" t="s">
        <v>80</v>
      </c>
      <c r="Q82" s="77" t="s">
        <v>1711</v>
      </c>
      <c r="R82" s="41"/>
    </row>
    <row r="83" spans="1:18" ht="87" x14ac:dyDescent="0.35">
      <c r="A83" s="40">
        <f t="shared" si="1"/>
        <v>82</v>
      </c>
      <c r="B83" s="41" t="s">
        <v>28</v>
      </c>
      <c r="C83" s="42">
        <v>45537</v>
      </c>
      <c r="D83" s="42">
        <v>45546</v>
      </c>
      <c r="E83" s="52" t="s">
        <v>1366</v>
      </c>
      <c r="F83" s="52" t="s">
        <v>1053</v>
      </c>
      <c r="G83" s="52" t="s">
        <v>1707</v>
      </c>
      <c r="H83" s="58"/>
      <c r="I83" s="58"/>
      <c r="J83" s="52" t="s">
        <v>1708</v>
      </c>
      <c r="K83" s="52" t="s">
        <v>79</v>
      </c>
      <c r="L83" s="43"/>
      <c r="M83" s="43"/>
      <c r="N83" s="43" t="s">
        <v>83</v>
      </c>
      <c r="O83" s="43"/>
      <c r="P83" s="43" t="s">
        <v>80</v>
      </c>
      <c r="Q83" s="52"/>
      <c r="R83" s="41"/>
    </row>
    <row r="84" spans="1:18" ht="29" x14ac:dyDescent="0.35">
      <c r="A84" s="40">
        <f t="shared" si="1"/>
        <v>83</v>
      </c>
      <c r="B84" s="41" t="s">
        <v>28</v>
      </c>
      <c r="C84" s="42">
        <v>45527</v>
      </c>
      <c r="D84" s="42">
        <v>45546</v>
      </c>
      <c r="E84" s="52" t="s">
        <v>1687</v>
      </c>
      <c r="F84" s="52" t="s">
        <v>51</v>
      </c>
      <c r="G84" s="52" t="s">
        <v>1688</v>
      </c>
      <c r="H84" s="44"/>
      <c r="I84" s="44"/>
      <c r="J84" s="52" t="s">
        <v>1689</v>
      </c>
      <c r="K84" s="52" t="s">
        <v>82</v>
      </c>
      <c r="L84" s="43"/>
      <c r="M84" s="43"/>
      <c r="N84" s="43" t="s">
        <v>83</v>
      </c>
      <c r="O84" s="43"/>
      <c r="P84" s="43" t="s">
        <v>80</v>
      </c>
      <c r="Q84" s="41"/>
      <c r="R84" s="41"/>
    </row>
    <row r="85" spans="1:18" ht="43.5" x14ac:dyDescent="0.35">
      <c r="A85" s="40">
        <f t="shared" si="1"/>
        <v>84</v>
      </c>
      <c r="B85" s="41" t="s">
        <v>28</v>
      </c>
      <c r="C85" s="42">
        <v>45532</v>
      </c>
      <c r="D85" s="42">
        <v>45547</v>
      </c>
      <c r="E85" s="52" t="s">
        <v>49</v>
      </c>
      <c r="F85" s="52" t="s">
        <v>265</v>
      </c>
      <c r="G85" s="52" t="s">
        <v>1701</v>
      </c>
      <c r="H85" s="44"/>
      <c r="I85" s="44"/>
      <c r="J85" s="52" t="s">
        <v>1702</v>
      </c>
      <c r="K85" s="52" t="s">
        <v>82</v>
      </c>
      <c r="L85" s="52"/>
      <c r="M85" s="43"/>
      <c r="N85" s="43" t="s">
        <v>83</v>
      </c>
      <c r="O85" s="43"/>
      <c r="P85" s="43" t="s">
        <v>80</v>
      </c>
      <c r="Q85" s="53" t="s">
        <v>1733</v>
      </c>
      <c r="R85" s="41"/>
    </row>
    <row r="86" spans="1:18" ht="58" x14ac:dyDescent="0.35">
      <c r="A86" s="40">
        <f t="shared" si="1"/>
        <v>85</v>
      </c>
      <c r="B86" s="41" t="s">
        <v>28</v>
      </c>
      <c r="C86" s="42">
        <v>45544</v>
      </c>
      <c r="D86" s="42">
        <v>45553</v>
      </c>
      <c r="E86" s="52" t="s">
        <v>73</v>
      </c>
      <c r="F86" s="52" t="s">
        <v>101</v>
      </c>
      <c r="G86" s="52" t="s">
        <v>1723</v>
      </c>
      <c r="H86" s="44"/>
      <c r="I86" s="44"/>
      <c r="J86" s="52" t="s">
        <v>1724</v>
      </c>
      <c r="K86" s="52" t="s">
        <v>85</v>
      </c>
      <c r="L86" s="43"/>
      <c r="M86" s="43"/>
      <c r="N86" s="43" t="s">
        <v>83</v>
      </c>
      <c r="O86" s="43"/>
      <c r="P86" s="43" t="s">
        <v>80</v>
      </c>
      <c r="Q86" s="53" t="s">
        <v>1347</v>
      </c>
      <c r="R86" s="41"/>
    </row>
    <row r="87" spans="1:18" ht="87" x14ac:dyDescent="0.35">
      <c r="A87" s="40">
        <f t="shared" si="1"/>
        <v>86</v>
      </c>
      <c r="B87" s="41" t="s">
        <v>27</v>
      </c>
      <c r="C87" s="42">
        <v>45546</v>
      </c>
      <c r="D87" s="42">
        <v>45552</v>
      </c>
      <c r="E87" s="52" t="s">
        <v>328</v>
      </c>
      <c r="F87" s="52" t="s">
        <v>89</v>
      </c>
      <c r="G87" s="52" t="s">
        <v>1726</v>
      </c>
      <c r="H87" s="44"/>
      <c r="I87" s="44">
        <v>18700000</v>
      </c>
      <c r="J87" s="52" t="s">
        <v>1727</v>
      </c>
      <c r="K87" s="52" t="s">
        <v>82</v>
      </c>
      <c r="L87" s="52"/>
      <c r="M87" s="43"/>
      <c r="N87" s="43" t="s">
        <v>83</v>
      </c>
      <c r="O87" s="43"/>
      <c r="P87" s="43" t="s">
        <v>80</v>
      </c>
      <c r="Q87" s="41"/>
      <c r="R87" s="41"/>
    </row>
    <row r="88" spans="1:18" ht="72.5" x14ac:dyDescent="0.35">
      <c r="A88" s="40">
        <f t="shared" si="1"/>
        <v>87</v>
      </c>
      <c r="B88" s="41" t="s">
        <v>28</v>
      </c>
      <c r="C88" s="42">
        <v>45530</v>
      </c>
      <c r="D88" s="42">
        <v>45572</v>
      </c>
      <c r="E88" s="52" t="s">
        <v>1291</v>
      </c>
      <c r="F88" s="52" t="s">
        <v>265</v>
      </c>
      <c r="G88" s="52" t="s">
        <v>1693</v>
      </c>
      <c r="H88" s="44"/>
      <c r="I88" s="44"/>
      <c r="J88" s="52" t="s">
        <v>1694</v>
      </c>
      <c r="K88" s="52" t="s">
        <v>82</v>
      </c>
      <c r="L88" s="43"/>
      <c r="M88" s="45"/>
      <c r="N88" s="43" t="s">
        <v>83</v>
      </c>
      <c r="O88" s="43"/>
      <c r="P88" s="43" t="s">
        <v>80</v>
      </c>
      <c r="Q88" s="53" t="s">
        <v>240</v>
      </c>
      <c r="R88" s="41"/>
    </row>
    <row r="89" spans="1:18" ht="377" x14ac:dyDescent="0.35">
      <c r="A89" s="40">
        <f t="shared" si="1"/>
        <v>88</v>
      </c>
      <c r="B89" s="41" t="s">
        <v>31</v>
      </c>
      <c r="C89" s="42">
        <v>45537</v>
      </c>
      <c r="D89" s="42">
        <v>45547</v>
      </c>
      <c r="E89" s="52" t="s">
        <v>88</v>
      </c>
      <c r="F89" s="52" t="s">
        <v>95</v>
      </c>
      <c r="G89" s="52" t="s">
        <v>1725</v>
      </c>
      <c r="H89" s="44">
        <v>9091102.4100000001</v>
      </c>
      <c r="I89" s="44">
        <v>14237205.542372881</v>
      </c>
      <c r="J89" s="52" t="s">
        <v>1714</v>
      </c>
      <c r="K89" s="52" t="s">
        <v>85</v>
      </c>
      <c r="L89" s="52"/>
      <c r="M89" s="43"/>
      <c r="N89" s="43" t="s">
        <v>83</v>
      </c>
      <c r="O89" s="43"/>
      <c r="P89" s="43" t="s">
        <v>80</v>
      </c>
      <c r="Q89" s="69" t="s">
        <v>1730</v>
      </c>
      <c r="R89" s="41"/>
    </row>
    <row r="90" spans="1:18" ht="72.5" x14ac:dyDescent="0.35">
      <c r="A90" s="40">
        <f t="shared" si="1"/>
        <v>89</v>
      </c>
      <c r="B90" s="41" t="s">
        <v>27</v>
      </c>
      <c r="C90" s="42">
        <v>45526</v>
      </c>
      <c r="D90" s="42">
        <v>45538</v>
      </c>
      <c r="E90" s="52" t="s">
        <v>88</v>
      </c>
      <c r="F90" s="52" t="s">
        <v>43</v>
      </c>
      <c r="G90" s="52" t="s">
        <v>1681</v>
      </c>
      <c r="H90" s="44"/>
      <c r="I90" s="44">
        <v>10128000</v>
      </c>
      <c r="J90" s="52" t="s">
        <v>1682</v>
      </c>
      <c r="K90" s="52" t="s">
        <v>81</v>
      </c>
      <c r="L90" s="43"/>
      <c r="M90" s="43"/>
      <c r="N90" s="43" t="s">
        <v>83</v>
      </c>
      <c r="O90" s="43"/>
      <c r="P90" s="43" t="s">
        <v>80</v>
      </c>
      <c r="Q90" s="41"/>
      <c r="R90" s="41"/>
    </row>
    <row r="91" spans="1:18" ht="145" x14ac:dyDescent="0.35">
      <c r="A91" s="40">
        <f t="shared" si="1"/>
        <v>90</v>
      </c>
      <c r="B91" s="41" t="s">
        <v>28</v>
      </c>
      <c r="C91" s="42">
        <v>45517</v>
      </c>
      <c r="D91" s="42">
        <v>45527</v>
      </c>
      <c r="E91" s="52" t="s">
        <v>49</v>
      </c>
      <c r="F91" s="52" t="s">
        <v>265</v>
      </c>
      <c r="G91" s="52" t="s">
        <v>1643</v>
      </c>
      <c r="H91" s="44"/>
      <c r="I91" s="44"/>
      <c r="J91" s="52" t="s">
        <v>1645</v>
      </c>
      <c r="K91" s="52" t="s">
        <v>81</v>
      </c>
      <c r="L91" s="52"/>
      <c r="M91" s="52"/>
      <c r="N91" s="43" t="s">
        <v>83</v>
      </c>
      <c r="O91" s="43"/>
      <c r="P91" s="43" t="s">
        <v>80</v>
      </c>
      <c r="Q91" s="53" t="s">
        <v>1712</v>
      </c>
      <c r="R91" s="41"/>
    </row>
    <row r="92" spans="1:18" ht="72.5" x14ac:dyDescent="0.35">
      <c r="A92" s="40">
        <f t="shared" si="1"/>
        <v>91</v>
      </c>
      <c r="B92" s="41" t="s">
        <v>28</v>
      </c>
      <c r="C92" s="42">
        <v>45521</v>
      </c>
      <c r="D92" s="42">
        <v>45528</v>
      </c>
      <c r="E92" s="52" t="s">
        <v>52</v>
      </c>
      <c r="F92" s="52" t="s">
        <v>53</v>
      </c>
      <c r="G92" s="52" t="s">
        <v>1655</v>
      </c>
      <c r="H92" s="44"/>
      <c r="I92" s="44"/>
      <c r="J92" s="52" t="s">
        <v>1656</v>
      </c>
      <c r="K92" s="52" t="s">
        <v>85</v>
      </c>
      <c r="L92" s="43"/>
      <c r="M92" s="43"/>
      <c r="N92" s="43" t="s">
        <v>83</v>
      </c>
      <c r="O92" s="43"/>
      <c r="P92" s="43" t="s">
        <v>80</v>
      </c>
      <c r="Q92" s="41"/>
      <c r="R92" s="41"/>
    </row>
    <row r="93" spans="1:18" ht="72.5" x14ac:dyDescent="0.35">
      <c r="A93" s="40">
        <f t="shared" si="1"/>
        <v>92</v>
      </c>
      <c r="B93" s="41" t="s">
        <v>28</v>
      </c>
      <c r="C93" s="55">
        <v>45516</v>
      </c>
      <c r="D93" s="42">
        <v>45531</v>
      </c>
      <c r="E93" s="52" t="s">
        <v>49</v>
      </c>
      <c r="F93" s="52" t="s">
        <v>1637</v>
      </c>
      <c r="G93" s="52" t="s">
        <v>1638</v>
      </c>
      <c r="H93" s="44"/>
      <c r="I93" s="44"/>
      <c r="J93" s="52" t="s">
        <v>1630</v>
      </c>
      <c r="K93" s="52" t="s">
        <v>81</v>
      </c>
      <c r="L93" s="43"/>
      <c r="M93" s="43"/>
      <c r="N93" s="43" t="s">
        <v>83</v>
      </c>
      <c r="O93" s="71"/>
      <c r="P93" s="43" t="s">
        <v>80</v>
      </c>
      <c r="Q93" s="53" t="s">
        <v>1639</v>
      </c>
      <c r="R93" s="41"/>
    </row>
    <row r="94" spans="1:18" ht="29" x14ac:dyDescent="0.35">
      <c r="A94" s="40">
        <f t="shared" si="1"/>
        <v>93</v>
      </c>
      <c r="B94" s="41" t="s">
        <v>27</v>
      </c>
      <c r="C94" s="42">
        <v>45521</v>
      </c>
      <c r="D94" s="42">
        <v>45532</v>
      </c>
      <c r="E94" s="52" t="s">
        <v>1657</v>
      </c>
      <c r="F94" s="52" t="s">
        <v>666</v>
      </c>
      <c r="G94" s="52" t="s">
        <v>1658</v>
      </c>
      <c r="H94" s="44"/>
      <c r="I94" s="44">
        <v>24931749.152542375</v>
      </c>
      <c r="J94" s="52" t="s">
        <v>1659</v>
      </c>
      <c r="K94" s="52" t="s">
        <v>81</v>
      </c>
      <c r="L94" s="43"/>
      <c r="M94" s="43"/>
      <c r="N94" s="43" t="s">
        <v>83</v>
      </c>
      <c r="O94" s="71"/>
      <c r="P94" s="43" t="s">
        <v>80</v>
      </c>
      <c r="Q94" s="53"/>
      <c r="R94" s="41"/>
    </row>
    <row r="95" spans="1:18" ht="87" x14ac:dyDescent="0.35">
      <c r="A95" s="40">
        <f t="shared" si="1"/>
        <v>94</v>
      </c>
      <c r="B95" s="41" t="s">
        <v>28</v>
      </c>
      <c r="C95" s="42">
        <v>45521</v>
      </c>
      <c r="D95" s="42">
        <v>45533</v>
      </c>
      <c r="E95" s="52" t="s">
        <v>63</v>
      </c>
      <c r="F95" s="52" t="s">
        <v>110</v>
      </c>
      <c r="G95" s="52" t="s">
        <v>1660</v>
      </c>
      <c r="H95" s="58"/>
      <c r="I95" s="58"/>
      <c r="J95" s="52" t="s">
        <v>1661</v>
      </c>
      <c r="K95" s="52" t="s">
        <v>82</v>
      </c>
      <c r="L95" s="43"/>
      <c r="M95" s="43"/>
      <c r="N95" s="43" t="s">
        <v>83</v>
      </c>
      <c r="O95" s="43"/>
      <c r="P95" s="43" t="s">
        <v>80</v>
      </c>
      <c r="Q95" s="61"/>
      <c r="R95" s="41"/>
    </row>
    <row r="96" spans="1:18" ht="72.5" x14ac:dyDescent="0.35">
      <c r="A96" s="40">
        <f t="shared" si="1"/>
        <v>95</v>
      </c>
      <c r="B96" s="41" t="s">
        <v>27</v>
      </c>
      <c r="C96" s="42">
        <v>45517</v>
      </c>
      <c r="D96" s="42">
        <v>45534</v>
      </c>
      <c r="E96" s="52" t="s">
        <v>58</v>
      </c>
      <c r="F96" s="52" t="s">
        <v>59</v>
      </c>
      <c r="G96" s="52" t="s">
        <v>1640</v>
      </c>
      <c r="H96" s="44"/>
      <c r="I96" s="44">
        <v>23593395.210000001</v>
      </c>
      <c r="J96" s="52" t="s">
        <v>1641</v>
      </c>
      <c r="K96" s="52" t="s">
        <v>82</v>
      </c>
      <c r="L96" s="52"/>
      <c r="M96" s="45"/>
      <c r="N96" s="43" t="s">
        <v>83</v>
      </c>
      <c r="O96" s="71"/>
      <c r="P96" s="43" t="s">
        <v>80</v>
      </c>
      <c r="Q96" s="53" t="s">
        <v>1642</v>
      </c>
      <c r="R96" s="41"/>
    </row>
    <row r="97" spans="1:18" ht="29" x14ac:dyDescent="0.35">
      <c r="A97" s="40">
        <f t="shared" si="1"/>
        <v>96</v>
      </c>
      <c r="B97" s="41" t="s">
        <v>27</v>
      </c>
      <c r="C97" s="42">
        <v>45514</v>
      </c>
      <c r="D97" s="55">
        <v>45535</v>
      </c>
      <c r="E97" s="52" t="s">
        <v>1669</v>
      </c>
      <c r="F97" s="52" t="s">
        <v>276</v>
      </c>
      <c r="G97" s="52" t="s">
        <v>1671</v>
      </c>
      <c r="H97" s="44"/>
      <c r="I97" s="44">
        <v>9100000</v>
      </c>
      <c r="J97" s="52" t="s">
        <v>1670</v>
      </c>
      <c r="K97" s="52" t="s">
        <v>85</v>
      </c>
      <c r="L97" s="52"/>
      <c r="M97" s="43"/>
      <c r="N97" s="43" t="s">
        <v>83</v>
      </c>
      <c r="O97" s="71"/>
      <c r="P97" s="43" t="s">
        <v>80</v>
      </c>
      <c r="Q97" s="41"/>
      <c r="R97" s="41"/>
    </row>
    <row r="98" spans="1:18" ht="72.5" x14ac:dyDescent="0.35">
      <c r="A98" s="40">
        <f t="shared" si="1"/>
        <v>97</v>
      </c>
      <c r="B98" s="41" t="s">
        <v>27</v>
      </c>
      <c r="C98" s="42">
        <v>45518</v>
      </c>
      <c r="D98" s="42">
        <v>45530</v>
      </c>
      <c r="E98" s="52" t="s">
        <v>49</v>
      </c>
      <c r="F98" s="52" t="s">
        <v>1646</v>
      </c>
      <c r="G98" s="52" t="s">
        <v>1647</v>
      </c>
      <c r="H98" s="44"/>
      <c r="I98" s="44">
        <v>7132825.6200000001</v>
      </c>
      <c r="J98" s="52" t="s">
        <v>1648</v>
      </c>
      <c r="K98" s="52" t="s">
        <v>82</v>
      </c>
      <c r="L98" s="43"/>
      <c r="M98" s="43"/>
      <c r="N98" s="43" t="s">
        <v>83</v>
      </c>
      <c r="O98" s="71"/>
      <c r="P98" s="43" t="s">
        <v>80</v>
      </c>
      <c r="Q98" s="41" t="s">
        <v>1639</v>
      </c>
      <c r="R98" s="41"/>
    </row>
    <row r="99" spans="1:18" ht="58" x14ac:dyDescent="0.35">
      <c r="A99" s="40">
        <f t="shared" si="1"/>
        <v>98</v>
      </c>
      <c r="B99" s="41" t="s">
        <v>28</v>
      </c>
      <c r="C99" s="42">
        <v>45507</v>
      </c>
      <c r="D99" s="42">
        <v>45533</v>
      </c>
      <c r="E99" s="52" t="s">
        <v>1626</v>
      </c>
      <c r="F99" s="52" t="s">
        <v>97</v>
      </c>
      <c r="G99" s="52" t="s">
        <v>1627</v>
      </c>
      <c r="H99" s="44"/>
      <c r="I99" s="44"/>
      <c r="J99" s="52" t="s">
        <v>1628</v>
      </c>
      <c r="K99" s="52" t="s">
        <v>147</v>
      </c>
      <c r="L99" s="43"/>
      <c r="M99" s="43"/>
      <c r="N99" s="43" t="s">
        <v>83</v>
      </c>
      <c r="O99" s="71"/>
      <c r="P99" s="43" t="s">
        <v>80</v>
      </c>
      <c r="Q99" s="41"/>
      <c r="R99" s="41"/>
    </row>
    <row r="100" spans="1:18" ht="116" x14ac:dyDescent="0.35">
      <c r="A100" s="40">
        <f t="shared" si="1"/>
        <v>99</v>
      </c>
      <c r="B100" s="41" t="s">
        <v>28</v>
      </c>
      <c r="C100" s="42">
        <v>45521</v>
      </c>
      <c r="D100" s="42">
        <v>45533</v>
      </c>
      <c r="E100" s="52" t="s">
        <v>73</v>
      </c>
      <c r="F100" s="52" t="s">
        <v>47</v>
      </c>
      <c r="G100" s="52" t="s">
        <v>1649</v>
      </c>
      <c r="H100" s="44"/>
      <c r="I100" s="44"/>
      <c r="J100" s="52" t="s">
        <v>1650</v>
      </c>
      <c r="K100" s="52" t="s">
        <v>85</v>
      </c>
      <c r="L100" s="52"/>
      <c r="M100" s="43"/>
      <c r="N100" s="43" t="s">
        <v>83</v>
      </c>
      <c r="O100" s="71"/>
      <c r="P100" s="43" t="s">
        <v>80</v>
      </c>
      <c r="Q100" s="60"/>
      <c r="R100" s="41"/>
    </row>
    <row r="101" spans="1:18" ht="87" x14ac:dyDescent="0.35">
      <c r="A101" s="40">
        <f t="shared" si="1"/>
        <v>100</v>
      </c>
      <c r="B101" s="41" t="s">
        <v>28</v>
      </c>
      <c r="C101" s="42">
        <v>45521</v>
      </c>
      <c r="D101" s="42">
        <v>45531</v>
      </c>
      <c r="E101" s="52" t="s">
        <v>63</v>
      </c>
      <c r="F101" s="52" t="s">
        <v>65</v>
      </c>
      <c r="G101" s="52" t="s">
        <v>1651</v>
      </c>
      <c r="H101" s="44"/>
      <c r="I101" s="76"/>
      <c r="J101" s="52" t="s">
        <v>1652</v>
      </c>
      <c r="K101" s="52" t="s">
        <v>82</v>
      </c>
      <c r="L101" s="43"/>
      <c r="M101" s="43"/>
      <c r="N101" s="43" t="s">
        <v>83</v>
      </c>
      <c r="O101" s="71"/>
      <c r="P101" s="43" t="s">
        <v>80</v>
      </c>
      <c r="Q101" s="69" t="s">
        <v>1347</v>
      </c>
      <c r="R101" s="41"/>
    </row>
    <row r="102" spans="1:18" ht="29" x14ac:dyDescent="0.35">
      <c r="A102" s="40">
        <f t="shared" si="1"/>
        <v>101</v>
      </c>
      <c r="B102" s="41" t="s">
        <v>28</v>
      </c>
      <c r="C102" s="42">
        <v>45490</v>
      </c>
      <c r="D102" s="42">
        <v>45515</v>
      </c>
      <c r="E102" s="52" t="s">
        <v>1603</v>
      </c>
      <c r="F102" s="52" t="s">
        <v>141</v>
      </c>
      <c r="G102" s="52" t="s">
        <v>1604</v>
      </c>
      <c r="H102" s="44"/>
      <c r="I102" s="44"/>
      <c r="J102" s="52" t="s">
        <v>1605</v>
      </c>
      <c r="K102" s="52" t="s">
        <v>79</v>
      </c>
      <c r="L102" s="43"/>
      <c r="M102" s="43"/>
      <c r="N102" s="43" t="s">
        <v>83</v>
      </c>
      <c r="O102" s="71"/>
      <c r="P102" s="43" t="s">
        <v>80</v>
      </c>
      <c r="Q102" s="53"/>
      <c r="R102" s="41"/>
    </row>
    <row r="103" spans="1:18" ht="58" x14ac:dyDescent="0.35">
      <c r="A103" s="40">
        <f t="shared" si="1"/>
        <v>102</v>
      </c>
      <c r="B103" s="41" t="s">
        <v>28</v>
      </c>
      <c r="C103" s="42">
        <v>45513</v>
      </c>
      <c r="D103" s="42">
        <v>45521</v>
      </c>
      <c r="E103" s="52" t="s">
        <v>328</v>
      </c>
      <c r="F103" s="52" t="s">
        <v>89</v>
      </c>
      <c r="G103" s="52" t="s">
        <v>1635</v>
      </c>
      <c r="H103" s="44"/>
      <c r="I103" s="44"/>
      <c r="J103" s="52" t="s">
        <v>1636</v>
      </c>
      <c r="K103" s="52" t="s">
        <v>82</v>
      </c>
      <c r="L103" s="52"/>
      <c r="M103" s="43"/>
      <c r="N103" s="43" t="s">
        <v>83</v>
      </c>
      <c r="O103" s="71"/>
      <c r="P103" s="43" t="s">
        <v>80</v>
      </c>
      <c r="Q103" s="69" t="s">
        <v>1680</v>
      </c>
      <c r="R103" s="41"/>
    </row>
    <row r="104" spans="1:18" ht="72.5" x14ac:dyDescent="0.35">
      <c r="A104" s="40">
        <f t="shared" si="1"/>
        <v>103</v>
      </c>
      <c r="B104" s="41" t="s">
        <v>27</v>
      </c>
      <c r="C104" s="42">
        <v>45509</v>
      </c>
      <c r="D104" s="42">
        <v>45525</v>
      </c>
      <c r="E104" s="52" t="s">
        <v>1411</v>
      </c>
      <c r="F104" s="52" t="s">
        <v>1412</v>
      </c>
      <c r="G104" s="52" t="s">
        <v>1629</v>
      </c>
      <c r="H104" s="44"/>
      <c r="I104" s="44">
        <v>18586891.210000001</v>
      </c>
      <c r="J104" s="52" t="s">
        <v>1630</v>
      </c>
      <c r="K104" s="52" t="s">
        <v>81</v>
      </c>
      <c r="L104" s="43"/>
      <c r="M104" s="43"/>
      <c r="N104" s="43" t="s">
        <v>83</v>
      </c>
      <c r="O104" s="43"/>
      <c r="P104" s="43" t="s">
        <v>80</v>
      </c>
      <c r="Q104" s="69" t="s">
        <v>1631</v>
      </c>
      <c r="R104" s="41"/>
    </row>
    <row r="105" spans="1:18" ht="58" x14ac:dyDescent="0.35">
      <c r="A105" s="40">
        <f t="shared" si="1"/>
        <v>104</v>
      </c>
      <c r="B105" s="41" t="s">
        <v>28</v>
      </c>
      <c r="C105" s="42">
        <v>45517</v>
      </c>
      <c r="D105" s="42">
        <v>45523</v>
      </c>
      <c r="E105" s="52" t="s">
        <v>463</v>
      </c>
      <c r="F105" s="52" t="s">
        <v>60</v>
      </c>
      <c r="G105" s="52" t="s">
        <v>1663</v>
      </c>
      <c r="H105" s="44"/>
      <c r="I105" s="44"/>
      <c r="J105" s="52" t="s">
        <v>1665</v>
      </c>
      <c r="K105" s="52" t="s">
        <v>81</v>
      </c>
      <c r="L105" s="52"/>
      <c r="M105" s="43"/>
      <c r="N105" s="43" t="s">
        <v>83</v>
      </c>
      <c r="O105" s="43"/>
      <c r="P105" s="43" t="s">
        <v>80</v>
      </c>
      <c r="Q105" s="69" t="s">
        <v>240</v>
      </c>
      <c r="R105" s="41"/>
    </row>
    <row r="106" spans="1:18" ht="72.5" x14ac:dyDescent="0.35">
      <c r="A106" s="40">
        <f t="shared" si="1"/>
        <v>105</v>
      </c>
      <c r="B106" s="41" t="s">
        <v>27</v>
      </c>
      <c r="C106" s="42">
        <v>45504</v>
      </c>
      <c r="D106" s="42">
        <v>45523</v>
      </c>
      <c r="E106" s="52" t="s">
        <v>49</v>
      </c>
      <c r="F106" s="52" t="s">
        <v>47</v>
      </c>
      <c r="G106" s="52" t="s">
        <v>1623</v>
      </c>
      <c r="H106" s="44"/>
      <c r="I106" s="44">
        <v>85708933.050847456</v>
      </c>
      <c r="J106" s="52" t="s">
        <v>1624</v>
      </c>
      <c r="K106" s="52" t="s">
        <v>81</v>
      </c>
      <c r="L106" s="52"/>
      <c r="M106" s="43"/>
      <c r="N106" s="43" t="s">
        <v>83</v>
      </c>
      <c r="O106" s="43"/>
      <c r="P106" s="43" t="s">
        <v>80</v>
      </c>
      <c r="Q106" s="53" t="s">
        <v>1625</v>
      </c>
      <c r="R106" s="41"/>
    </row>
    <row r="107" spans="1:18" ht="72.5" x14ac:dyDescent="0.35">
      <c r="A107" s="40">
        <f t="shared" si="1"/>
        <v>106</v>
      </c>
      <c r="B107" s="41" t="s">
        <v>28</v>
      </c>
      <c r="C107" s="42">
        <v>45518</v>
      </c>
      <c r="D107" s="42">
        <v>45525</v>
      </c>
      <c r="E107" s="52" t="s">
        <v>49</v>
      </c>
      <c r="F107" s="52" t="s">
        <v>136</v>
      </c>
      <c r="G107" s="52" t="s">
        <v>1644</v>
      </c>
      <c r="H107" s="44"/>
      <c r="I107" s="76"/>
      <c r="J107" s="52" t="s">
        <v>1630</v>
      </c>
      <c r="K107" s="52" t="s">
        <v>81</v>
      </c>
      <c r="L107" s="52"/>
      <c r="M107" s="43"/>
      <c r="N107" s="43" t="s">
        <v>83</v>
      </c>
      <c r="O107" s="43"/>
      <c r="P107" s="43" t="s">
        <v>80</v>
      </c>
      <c r="Q107" s="53" t="s">
        <v>1639</v>
      </c>
      <c r="R107" s="41"/>
    </row>
    <row r="108" spans="1:18" ht="58" x14ac:dyDescent="0.35">
      <c r="A108" s="40">
        <f t="shared" si="1"/>
        <v>107</v>
      </c>
      <c r="B108" s="41" t="s">
        <v>28</v>
      </c>
      <c r="C108" s="42">
        <v>45517</v>
      </c>
      <c r="D108" s="42">
        <v>45523</v>
      </c>
      <c r="E108" s="52" t="s">
        <v>463</v>
      </c>
      <c r="F108" s="52" t="s">
        <v>60</v>
      </c>
      <c r="G108" s="52" t="s">
        <v>1662</v>
      </c>
      <c r="H108" s="44"/>
      <c r="I108" s="44"/>
      <c r="J108" s="52" t="s">
        <v>1664</v>
      </c>
      <c r="K108" s="52" t="s">
        <v>81</v>
      </c>
      <c r="L108" s="43"/>
      <c r="M108" s="43"/>
      <c r="N108" s="43" t="s">
        <v>83</v>
      </c>
      <c r="O108" s="43"/>
      <c r="P108" s="43" t="s">
        <v>80</v>
      </c>
      <c r="Q108" s="53"/>
      <c r="R108" s="41"/>
    </row>
    <row r="109" spans="1:18" ht="29" x14ac:dyDescent="0.35">
      <c r="A109" s="40">
        <f t="shared" si="1"/>
        <v>108</v>
      </c>
      <c r="B109" s="41" t="s">
        <v>28</v>
      </c>
      <c r="C109" s="42">
        <v>45518</v>
      </c>
      <c r="D109" s="55">
        <v>45524</v>
      </c>
      <c r="E109" s="52" t="s">
        <v>1666</v>
      </c>
      <c r="F109" s="52" t="s">
        <v>43</v>
      </c>
      <c r="G109" s="52" t="s">
        <v>1667</v>
      </c>
      <c r="H109" s="44"/>
      <c r="I109" s="76"/>
      <c r="J109" s="52" t="s">
        <v>1668</v>
      </c>
      <c r="K109" s="52" t="s">
        <v>79</v>
      </c>
      <c r="L109" s="52"/>
      <c r="M109" s="43"/>
      <c r="N109" s="43" t="s">
        <v>83</v>
      </c>
      <c r="O109" s="43"/>
      <c r="P109" s="43" t="s">
        <v>80</v>
      </c>
      <c r="Q109" s="41"/>
      <c r="R109" s="41"/>
    </row>
    <row r="110" spans="1:18" ht="58" x14ac:dyDescent="0.35">
      <c r="A110" s="40">
        <f t="shared" si="1"/>
        <v>109</v>
      </c>
      <c r="B110" s="41" t="s">
        <v>27</v>
      </c>
      <c r="C110" s="42">
        <v>45506</v>
      </c>
      <c r="D110" s="42">
        <v>45511</v>
      </c>
      <c r="E110" s="52" t="s">
        <v>1417</v>
      </c>
      <c r="F110" s="52" t="s">
        <v>1676</v>
      </c>
      <c r="G110" s="52">
        <v>1000171916</v>
      </c>
      <c r="H110" s="44"/>
      <c r="I110" s="44">
        <v>3300000</v>
      </c>
      <c r="J110" s="52" t="s">
        <v>1677</v>
      </c>
      <c r="K110" s="52" t="s">
        <v>79</v>
      </c>
      <c r="L110" s="43"/>
      <c r="M110" s="43"/>
      <c r="N110" s="43" t="s">
        <v>83</v>
      </c>
      <c r="O110" s="43"/>
      <c r="P110" s="43" t="s">
        <v>80</v>
      </c>
      <c r="Q110" s="53"/>
      <c r="R110" s="41"/>
    </row>
    <row r="111" spans="1:18" ht="43.5" x14ac:dyDescent="0.35">
      <c r="A111" s="40">
        <f t="shared" si="1"/>
        <v>110</v>
      </c>
      <c r="B111" s="41" t="s">
        <v>27</v>
      </c>
      <c r="C111" s="42">
        <v>45506</v>
      </c>
      <c r="D111" s="42">
        <v>45512</v>
      </c>
      <c r="E111" s="52" t="s">
        <v>1417</v>
      </c>
      <c r="F111" s="52" t="s">
        <v>94</v>
      </c>
      <c r="G111" s="52">
        <v>1000171843</v>
      </c>
      <c r="H111" s="44"/>
      <c r="I111" s="44">
        <v>4900000</v>
      </c>
      <c r="J111" s="52" t="s">
        <v>1678</v>
      </c>
      <c r="K111" s="52" t="s">
        <v>79</v>
      </c>
      <c r="L111" s="52"/>
      <c r="M111" s="43"/>
      <c r="N111" s="43" t="s">
        <v>83</v>
      </c>
      <c r="O111" s="43"/>
      <c r="P111" s="43" t="s">
        <v>80</v>
      </c>
      <c r="Q111" s="53"/>
      <c r="R111" s="41"/>
    </row>
    <row r="112" spans="1:18" ht="43.5" x14ac:dyDescent="0.35">
      <c r="A112" s="40">
        <f t="shared" si="1"/>
        <v>111</v>
      </c>
      <c r="B112" s="41" t="s">
        <v>27</v>
      </c>
      <c r="C112" s="42">
        <v>45506</v>
      </c>
      <c r="D112" s="42">
        <v>45512</v>
      </c>
      <c r="E112" s="52" t="s">
        <v>1417</v>
      </c>
      <c r="F112" s="52" t="s">
        <v>94</v>
      </c>
      <c r="G112" s="43">
        <v>1000171861</v>
      </c>
      <c r="H112" s="44"/>
      <c r="I112" s="44">
        <v>4900000</v>
      </c>
      <c r="J112" s="52" t="s">
        <v>1679</v>
      </c>
      <c r="K112" s="52" t="s">
        <v>79</v>
      </c>
      <c r="L112" s="43"/>
      <c r="M112" s="43"/>
      <c r="N112" s="43" t="s">
        <v>83</v>
      </c>
      <c r="O112" s="43"/>
      <c r="P112" s="43" t="s">
        <v>80</v>
      </c>
      <c r="Q112" s="41"/>
      <c r="R112" s="41"/>
    </row>
    <row r="113" spans="1:18" ht="72.5" x14ac:dyDescent="0.35">
      <c r="A113" s="40">
        <f t="shared" si="1"/>
        <v>112</v>
      </c>
      <c r="B113" s="41" t="s">
        <v>28</v>
      </c>
      <c r="C113" s="42">
        <v>45476</v>
      </c>
      <c r="D113" s="42">
        <v>45498</v>
      </c>
      <c r="E113" s="52" t="s">
        <v>69</v>
      </c>
      <c r="F113" s="52" t="s">
        <v>70</v>
      </c>
      <c r="G113" s="52" t="s">
        <v>1549</v>
      </c>
      <c r="H113" s="44"/>
      <c r="I113" s="44"/>
      <c r="J113" s="52" t="s">
        <v>1550</v>
      </c>
      <c r="K113" s="52" t="s">
        <v>81</v>
      </c>
      <c r="L113" s="52"/>
      <c r="M113" s="43"/>
      <c r="N113" s="52" t="s">
        <v>83</v>
      </c>
      <c r="O113" s="43"/>
      <c r="P113" s="43" t="s">
        <v>80</v>
      </c>
      <c r="Q113" s="53" t="s">
        <v>240</v>
      </c>
      <c r="R113" s="41"/>
    </row>
    <row r="114" spans="1:18" ht="58" x14ac:dyDescent="0.35">
      <c r="A114" s="40">
        <f t="shared" si="1"/>
        <v>113</v>
      </c>
      <c r="B114" s="41" t="s">
        <v>27</v>
      </c>
      <c r="C114" s="42">
        <v>45498</v>
      </c>
      <c r="D114" s="55">
        <v>45505</v>
      </c>
      <c r="E114" s="52" t="s">
        <v>1417</v>
      </c>
      <c r="F114" s="52"/>
      <c r="G114" s="52">
        <v>1000170794</v>
      </c>
      <c r="H114" s="44"/>
      <c r="I114" s="44">
        <v>3300000</v>
      </c>
      <c r="J114" s="52" t="s">
        <v>1612</v>
      </c>
      <c r="K114" s="52" t="s">
        <v>79</v>
      </c>
      <c r="L114" s="43"/>
      <c r="M114" s="43"/>
      <c r="N114" s="43"/>
      <c r="O114" s="43"/>
      <c r="P114" s="43"/>
      <c r="Q114" s="41"/>
      <c r="R114" s="41"/>
    </row>
    <row r="115" spans="1:18" ht="116" x14ac:dyDescent="0.35">
      <c r="A115" s="40">
        <f t="shared" si="1"/>
        <v>114</v>
      </c>
      <c r="B115" s="41" t="s">
        <v>29</v>
      </c>
      <c r="C115" s="42">
        <v>45482</v>
      </c>
      <c r="D115" s="42">
        <v>45502</v>
      </c>
      <c r="E115" s="52" t="s">
        <v>88</v>
      </c>
      <c r="F115" s="52" t="s">
        <v>43</v>
      </c>
      <c r="G115" s="52" t="s">
        <v>1570</v>
      </c>
      <c r="H115" s="58">
        <v>12490745.491525425</v>
      </c>
      <c r="I115" s="58">
        <v>14700000</v>
      </c>
      <c r="J115" s="52" t="s">
        <v>1571</v>
      </c>
      <c r="K115" s="52" t="s">
        <v>81</v>
      </c>
      <c r="L115" s="43"/>
      <c r="M115" s="43"/>
      <c r="N115" s="43" t="s">
        <v>83</v>
      </c>
      <c r="O115" s="43"/>
      <c r="P115" s="43" t="s">
        <v>80</v>
      </c>
      <c r="Q115" s="53" t="s">
        <v>1567</v>
      </c>
      <c r="R115" s="41"/>
    </row>
    <row r="116" spans="1:18" ht="58" x14ac:dyDescent="0.35">
      <c r="A116" s="40">
        <f t="shared" si="1"/>
        <v>115</v>
      </c>
      <c r="B116" s="41" t="s">
        <v>28</v>
      </c>
      <c r="C116" s="42">
        <v>45497</v>
      </c>
      <c r="D116" s="42">
        <v>45502</v>
      </c>
      <c r="E116" s="52" t="s">
        <v>1613</v>
      </c>
      <c r="F116" s="52" t="s">
        <v>53</v>
      </c>
      <c r="G116" s="52" t="s">
        <v>1614</v>
      </c>
      <c r="H116" s="58"/>
      <c r="I116" s="44"/>
      <c r="J116" s="52" t="s">
        <v>1598</v>
      </c>
      <c r="K116" s="52" t="s">
        <v>81</v>
      </c>
      <c r="L116" s="43"/>
      <c r="M116" s="43"/>
      <c r="N116" s="43" t="s">
        <v>83</v>
      </c>
      <c r="O116" s="43"/>
      <c r="P116" s="43" t="s">
        <v>80</v>
      </c>
      <c r="Q116" s="41"/>
      <c r="R116" s="41"/>
    </row>
    <row r="117" spans="1:18" ht="58" x14ac:dyDescent="0.35">
      <c r="A117" s="40">
        <f t="shared" si="1"/>
        <v>116</v>
      </c>
      <c r="B117" s="41" t="s">
        <v>27</v>
      </c>
      <c r="C117" s="42">
        <v>45502</v>
      </c>
      <c r="D117" s="42">
        <v>45509</v>
      </c>
      <c r="E117" s="52" t="s">
        <v>52</v>
      </c>
      <c r="F117" s="52" t="s">
        <v>43</v>
      </c>
      <c r="G117" s="52" t="s">
        <v>1617</v>
      </c>
      <c r="H117" s="44"/>
      <c r="I117" s="44">
        <v>5000000</v>
      </c>
      <c r="J117" s="52" t="s">
        <v>1618</v>
      </c>
      <c r="K117" s="52" t="s">
        <v>81</v>
      </c>
      <c r="L117" s="52"/>
      <c r="M117" s="43"/>
      <c r="N117" s="43" t="s">
        <v>83</v>
      </c>
      <c r="O117" s="43"/>
      <c r="P117" s="43" t="s">
        <v>80</v>
      </c>
      <c r="Q117" s="64"/>
      <c r="R117" s="41"/>
    </row>
    <row r="118" spans="1:18" ht="58" x14ac:dyDescent="0.35">
      <c r="A118" s="40">
        <f t="shared" si="1"/>
        <v>117</v>
      </c>
      <c r="B118" s="41" t="s">
        <v>27</v>
      </c>
      <c r="C118" s="42">
        <v>45490</v>
      </c>
      <c r="D118" s="42">
        <v>45511</v>
      </c>
      <c r="E118" s="52" t="s">
        <v>88</v>
      </c>
      <c r="F118" s="52" t="s">
        <v>43</v>
      </c>
      <c r="G118" s="52" t="s">
        <v>1597</v>
      </c>
      <c r="H118" s="44"/>
      <c r="I118" s="44">
        <v>186103781</v>
      </c>
      <c r="J118" s="52" t="s">
        <v>1598</v>
      </c>
      <c r="K118" s="52" t="s">
        <v>81</v>
      </c>
      <c r="L118" s="52"/>
      <c r="M118" s="43"/>
      <c r="N118" s="43" t="s">
        <v>83</v>
      </c>
      <c r="O118" s="43"/>
      <c r="P118" s="43" t="s">
        <v>80</v>
      </c>
      <c r="Q118" s="53" t="s">
        <v>1599</v>
      </c>
      <c r="R118" s="41"/>
    </row>
    <row r="119" spans="1:18" ht="159.5" x14ac:dyDescent="0.35">
      <c r="A119" s="40">
        <f t="shared" si="1"/>
        <v>118</v>
      </c>
      <c r="B119" s="41" t="s">
        <v>28</v>
      </c>
      <c r="C119" s="42">
        <v>45499</v>
      </c>
      <c r="D119" s="55">
        <v>45516</v>
      </c>
      <c r="E119" s="52" t="s">
        <v>1411</v>
      </c>
      <c r="F119" s="52" t="s">
        <v>1412</v>
      </c>
      <c r="G119" s="52" t="s">
        <v>1615</v>
      </c>
      <c r="H119" s="44"/>
      <c r="I119" s="58"/>
      <c r="J119" s="52" t="s">
        <v>1616</v>
      </c>
      <c r="K119" s="52" t="s">
        <v>81</v>
      </c>
      <c r="L119" s="43"/>
      <c r="M119" s="43"/>
      <c r="N119" s="43" t="s">
        <v>83</v>
      </c>
      <c r="O119" s="43"/>
      <c r="P119" s="43" t="s">
        <v>80</v>
      </c>
      <c r="Q119" s="41"/>
      <c r="R119" s="41"/>
    </row>
    <row r="120" spans="1:18" ht="43.5" x14ac:dyDescent="0.35">
      <c r="A120" s="40">
        <f t="shared" si="1"/>
        <v>119</v>
      </c>
      <c r="B120" s="41" t="s">
        <v>27</v>
      </c>
      <c r="C120" s="42">
        <v>45503</v>
      </c>
      <c r="D120" s="42">
        <v>45520</v>
      </c>
      <c r="E120" s="52" t="s">
        <v>88</v>
      </c>
      <c r="F120" s="52" t="s">
        <v>43</v>
      </c>
      <c r="G120" s="52" t="s">
        <v>1621</v>
      </c>
      <c r="H120" s="44"/>
      <c r="I120" s="44">
        <v>9400000</v>
      </c>
      <c r="J120" s="52" t="s">
        <v>1622</v>
      </c>
      <c r="K120" s="52" t="s">
        <v>81</v>
      </c>
      <c r="L120" s="43"/>
      <c r="M120" s="43"/>
      <c r="N120" s="43" t="s">
        <v>83</v>
      </c>
      <c r="O120" s="43"/>
      <c r="P120" s="43" t="s">
        <v>80</v>
      </c>
      <c r="Q120" s="64"/>
      <c r="R120" s="41"/>
    </row>
    <row r="121" spans="1:18" ht="29" x14ac:dyDescent="0.35">
      <c r="A121" s="40">
        <f t="shared" si="1"/>
        <v>120</v>
      </c>
      <c r="B121" s="41" t="s">
        <v>27</v>
      </c>
      <c r="C121" s="42">
        <v>45495</v>
      </c>
      <c r="D121" s="42">
        <v>45503</v>
      </c>
      <c r="E121" s="52" t="s">
        <v>52</v>
      </c>
      <c r="F121" s="52" t="s">
        <v>1609</v>
      </c>
      <c r="G121" s="52" t="s">
        <v>1610</v>
      </c>
      <c r="H121" s="44"/>
      <c r="I121" s="44">
        <v>541728</v>
      </c>
      <c r="J121" s="52" t="s">
        <v>1611</v>
      </c>
      <c r="K121" s="52" t="s">
        <v>81</v>
      </c>
      <c r="L121" s="43"/>
      <c r="M121" s="43"/>
      <c r="N121" s="43" t="s">
        <v>83</v>
      </c>
      <c r="O121" s="43"/>
      <c r="P121" s="43" t="s">
        <v>80</v>
      </c>
      <c r="Q121" s="53"/>
      <c r="R121" s="41"/>
    </row>
    <row r="122" spans="1:18" ht="101.5" x14ac:dyDescent="0.35">
      <c r="A122" s="40">
        <f t="shared" si="1"/>
        <v>121</v>
      </c>
      <c r="B122" s="41" t="s">
        <v>27</v>
      </c>
      <c r="C122" s="42">
        <v>45513</v>
      </c>
      <c r="D122" s="42">
        <v>45523</v>
      </c>
      <c r="E122" s="52" t="s">
        <v>63</v>
      </c>
      <c r="F122" s="52" t="s">
        <v>1632</v>
      </c>
      <c r="G122" s="52" t="s">
        <v>1633</v>
      </c>
      <c r="H122" s="44"/>
      <c r="I122" s="44">
        <v>3540000</v>
      </c>
      <c r="J122" s="52" t="s">
        <v>1634</v>
      </c>
      <c r="K122" s="52" t="s">
        <v>79</v>
      </c>
      <c r="L122" s="52"/>
      <c r="M122" s="52"/>
      <c r="N122" s="43" t="s">
        <v>83</v>
      </c>
      <c r="O122" s="43"/>
      <c r="P122" s="43" t="s">
        <v>80</v>
      </c>
      <c r="Q122" s="41"/>
      <c r="R122" s="41"/>
    </row>
    <row r="123" spans="1:18" ht="43.5" x14ac:dyDescent="0.35">
      <c r="A123" s="40">
        <f t="shared" si="1"/>
        <v>122</v>
      </c>
      <c r="B123" s="41" t="s">
        <v>28</v>
      </c>
      <c r="C123" s="42">
        <v>45482</v>
      </c>
      <c r="D123" s="42">
        <v>45489</v>
      </c>
      <c r="E123" s="52" t="s">
        <v>1572</v>
      </c>
      <c r="F123" s="52" t="s">
        <v>1573</v>
      </c>
      <c r="G123" s="52" t="s">
        <v>1574</v>
      </c>
      <c r="H123" s="44"/>
      <c r="I123" s="44"/>
      <c r="J123" s="52" t="s">
        <v>1575</v>
      </c>
      <c r="K123" s="52" t="s">
        <v>81</v>
      </c>
      <c r="L123" s="43"/>
      <c r="M123" s="43"/>
      <c r="N123" s="43" t="s">
        <v>83</v>
      </c>
      <c r="O123" s="43"/>
      <c r="P123" s="43" t="s">
        <v>80</v>
      </c>
      <c r="Q123" s="41"/>
      <c r="R123" s="41"/>
    </row>
    <row r="124" spans="1:18" ht="29" x14ac:dyDescent="0.35">
      <c r="A124" s="40">
        <f t="shared" si="1"/>
        <v>123</v>
      </c>
      <c r="B124" s="41" t="s">
        <v>28</v>
      </c>
      <c r="C124" s="42">
        <v>45483</v>
      </c>
      <c r="D124" s="42">
        <v>45489</v>
      </c>
      <c r="E124" s="52" t="s">
        <v>52</v>
      </c>
      <c r="F124" s="52" t="s">
        <v>53</v>
      </c>
      <c r="G124" s="52" t="s">
        <v>1576</v>
      </c>
      <c r="H124" s="44"/>
      <c r="I124" s="44"/>
      <c r="J124" s="52" t="s">
        <v>1577</v>
      </c>
      <c r="K124" s="52" t="s">
        <v>85</v>
      </c>
      <c r="L124" s="43"/>
      <c r="M124" s="43"/>
      <c r="N124" s="43" t="s">
        <v>83</v>
      </c>
      <c r="O124" s="43"/>
      <c r="P124" s="43" t="s">
        <v>80</v>
      </c>
      <c r="Q124" s="41"/>
      <c r="R124" s="41"/>
    </row>
    <row r="125" spans="1:18" ht="72.5" x14ac:dyDescent="0.35">
      <c r="A125" s="40">
        <f t="shared" si="1"/>
        <v>124</v>
      </c>
      <c r="B125" s="41" t="s">
        <v>28</v>
      </c>
      <c r="C125" s="42">
        <v>45479</v>
      </c>
      <c r="D125" s="42">
        <v>45492</v>
      </c>
      <c r="E125" s="52" t="s">
        <v>1557</v>
      </c>
      <c r="F125" s="52" t="s">
        <v>126</v>
      </c>
      <c r="G125" s="52" t="s">
        <v>1558</v>
      </c>
      <c r="H125" s="44"/>
      <c r="I125" s="44"/>
      <c r="J125" s="52" t="s">
        <v>1559</v>
      </c>
      <c r="K125" s="52" t="s">
        <v>147</v>
      </c>
      <c r="L125" s="52"/>
      <c r="M125" s="43"/>
      <c r="N125" s="52" t="s">
        <v>83</v>
      </c>
      <c r="O125" s="43"/>
      <c r="P125" s="43" t="s">
        <v>80</v>
      </c>
      <c r="Q125" s="41"/>
      <c r="R125" s="41"/>
    </row>
    <row r="126" spans="1:18" ht="72.5" x14ac:dyDescent="0.35">
      <c r="A126" s="40">
        <f t="shared" si="1"/>
        <v>125</v>
      </c>
      <c r="B126" s="41" t="s">
        <v>28</v>
      </c>
      <c r="C126" s="42">
        <v>45479</v>
      </c>
      <c r="D126" s="42">
        <v>45493</v>
      </c>
      <c r="E126" s="52" t="s">
        <v>1557</v>
      </c>
      <c r="F126" s="52" t="s">
        <v>126</v>
      </c>
      <c r="G126" s="52" t="s">
        <v>1586</v>
      </c>
      <c r="H126" s="44"/>
      <c r="I126" s="44"/>
      <c r="J126" s="52" t="s">
        <v>1587</v>
      </c>
      <c r="K126" s="52" t="s">
        <v>147</v>
      </c>
      <c r="L126" s="52"/>
      <c r="M126" s="43"/>
      <c r="N126" s="43" t="s">
        <v>83</v>
      </c>
      <c r="O126" s="43"/>
      <c r="P126" s="43" t="s">
        <v>80</v>
      </c>
      <c r="Q126" s="41"/>
      <c r="R126" s="41"/>
    </row>
    <row r="127" spans="1:18" ht="29" x14ac:dyDescent="0.35">
      <c r="A127" s="40">
        <f t="shared" si="1"/>
        <v>126</v>
      </c>
      <c r="B127" s="41" t="s">
        <v>27</v>
      </c>
      <c r="C127" s="42">
        <v>45483</v>
      </c>
      <c r="D127" s="42">
        <v>45495</v>
      </c>
      <c r="E127" s="43" t="s">
        <v>52</v>
      </c>
      <c r="F127" s="52" t="s">
        <v>43</v>
      </c>
      <c r="G127" s="52" t="s">
        <v>1578</v>
      </c>
      <c r="H127" s="44"/>
      <c r="I127" s="44">
        <v>2700360</v>
      </c>
      <c r="J127" s="52" t="s">
        <v>1579</v>
      </c>
      <c r="K127" s="52" t="s">
        <v>81</v>
      </c>
      <c r="L127" s="43"/>
      <c r="M127" s="43"/>
      <c r="N127" s="43" t="s">
        <v>83</v>
      </c>
      <c r="O127" s="43"/>
      <c r="P127" s="43" t="s">
        <v>80</v>
      </c>
      <c r="Q127" s="53"/>
      <c r="R127" s="41"/>
    </row>
    <row r="128" spans="1:18" ht="101.5" x14ac:dyDescent="0.35">
      <c r="A128" s="40">
        <f t="shared" si="1"/>
        <v>127</v>
      </c>
      <c r="B128" s="41" t="s">
        <v>28</v>
      </c>
      <c r="C128" s="42">
        <v>45486</v>
      </c>
      <c r="D128" s="42">
        <v>45492</v>
      </c>
      <c r="E128" s="52" t="s">
        <v>1600</v>
      </c>
      <c r="F128" s="52" t="s">
        <v>68</v>
      </c>
      <c r="G128" s="43" t="s">
        <v>1601</v>
      </c>
      <c r="H128" s="44"/>
      <c r="I128" s="44"/>
      <c r="J128" s="52" t="s">
        <v>1602</v>
      </c>
      <c r="K128" s="52" t="s">
        <v>79</v>
      </c>
      <c r="L128" s="43"/>
      <c r="M128" s="43"/>
      <c r="N128" s="43" t="s">
        <v>83</v>
      </c>
      <c r="O128" s="43"/>
      <c r="P128" s="43" t="s">
        <v>80</v>
      </c>
      <c r="Q128" s="41"/>
      <c r="R128" s="41"/>
    </row>
    <row r="129" spans="1:18" ht="58" x14ac:dyDescent="0.35">
      <c r="A129" s="40">
        <f t="shared" si="1"/>
        <v>128</v>
      </c>
      <c r="B129" s="41" t="s">
        <v>27</v>
      </c>
      <c r="C129" s="42">
        <v>45482</v>
      </c>
      <c r="D129" s="42">
        <v>45496</v>
      </c>
      <c r="E129" s="52" t="s">
        <v>1564</v>
      </c>
      <c r="F129" s="52" t="s">
        <v>55</v>
      </c>
      <c r="G129" s="52" t="s">
        <v>1565</v>
      </c>
      <c r="H129" s="44"/>
      <c r="I129" s="44">
        <v>5137998</v>
      </c>
      <c r="J129" s="52" t="s">
        <v>1566</v>
      </c>
      <c r="K129" s="52" t="s">
        <v>147</v>
      </c>
      <c r="L129" s="43"/>
      <c r="M129" s="43"/>
      <c r="N129" s="43" t="s">
        <v>83</v>
      </c>
      <c r="O129" s="43"/>
      <c r="P129" s="43" t="s">
        <v>80</v>
      </c>
      <c r="Q129" s="53" t="s">
        <v>1567</v>
      </c>
      <c r="R129" s="41"/>
    </row>
    <row r="130" spans="1:18" ht="58" x14ac:dyDescent="0.35">
      <c r="A130" s="40">
        <f t="shared" ref="A130:A193" si="2">ROW()-1</f>
        <v>129</v>
      </c>
      <c r="B130" s="41" t="s">
        <v>28</v>
      </c>
      <c r="C130" s="42">
        <v>45488</v>
      </c>
      <c r="D130" s="42">
        <v>45498</v>
      </c>
      <c r="E130" s="52" t="s">
        <v>328</v>
      </c>
      <c r="F130" s="52" t="s">
        <v>89</v>
      </c>
      <c r="G130" s="52" t="s">
        <v>1593</v>
      </c>
      <c r="H130" s="44"/>
      <c r="I130" s="44"/>
      <c r="J130" s="52" t="s">
        <v>1594</v>
      </c>
      <c r="K130" s="52" t="s">
        <v>1511</v>
      </c>
      <c r="L130" s="52"/>
      <c r="M130" s="43"/>
      <c r="N130" s="43" t="s">
        <v>83</v>
      </c>
      <c r="O130" s="43"/>
      <c r="P130" s="43" t="s">
        <v>80</v>
      </c>
      <c r="Q130" s="41"/>
      <c r="R130" s="41"/>
    </row>
    <row r="131" spans="1:18" ht="29" x14ac:dyDescent="0.35">
      <c r="A131" s="40">
        <f t="shared" si="2"/>
        <v>130</v>
      </c>
      <c r="B131" s="41" t="s">
        <v>33</v>
      </c>
      <c r="C131" s="42">
        <v>45454</v>
      </c>
      <c r="D131" s="42">
        <v>45499</v>
      </c>
      <c r="E131" s="52" t="s">
        <v>922</v>
      </c>
      <c r="F131" s="52" t="s">
        <v>126</v>
      </c>
      <c r="G131" s="52">
        <v>71947</v>
      </c>
      <c r="H131" s="44"/>
      <c r="I131" s="44">
        <v>372203639.83050847</v>
      </c>
      <c r="J131" s="52" t="s">
        <v>1485</v>
      </c>
      <c r="K131" s="52" t="s">
        <v>1486</v>
      </c>
      <c r="L131" s="52"/>
      <c r="M131" s="43"/>
      <c r="N131" s="43" t="s">
        <v>83</v>
      </c>
      <c r="O131" s="43"/>
      <c r="P131" s="43" t="s">
        <v>80</v>
      </c>
      <c r="Q131" s="53" t="s">
        <v>1487</v>
      </c>
      <c r="R131" s="41"/>
    </row>
    <row r="132" spans="1:18" ht="130.5" x14ac:dyDescent="0.35">
      <c r="A132" s="40">
        <f t="shared" si="2"/>
        <v>131</v>
      </c>
      <c r="B132" s="41" t="s">
        <v>27</v>
      </c>
      <c r="C132" s="42">
        <v>45488</v>
      </c>
      <c r="D132" s="42">
        <v>45499</v>
      </c>
      <c r="E132" s="52" t="s">
        <v>88</v>
      </c>
      <c r="F132" s="52" t="s">
        <v>95</v>
      </c>
      <c r="G132" s="52" t="s">
        <v>1591</v>
      </c>
      <c r="H132" s="44"/>
      <c r="I132" s="44">
        <v>6500000</v>
      </c>
      <c r="J132" s="52" t="s">
        <v>1592</v>
      </c>
      <c r="K132" s="52" t="s">
        <v>79</v>
      </c>
      <c r="L132" s="52"/>
      <c r="M132" s="43"/>
      <c r="N132" s="43" t="s">
        <v>83</v>
      </c>
      <c r="O132" s="43"/>
      <c r="P132" s="43" t="s">
        <v>80</v>
      </c>
      <c r="Q132" s="41"/>
      <c r="R132" s="41"/>
    </row>
    <row r="133" spans="1:18" ht="188.5" x14ac:dyDescent="0.35">
      <c r="A133" s="40">
        <f t="shared" si="2"/>
        <v>132</v>
      </c>
      <c r="B133" s="41" t="s">
        <v>27</v>
      </c>
      <c r="C133" s="42">
        <v>45489</v>
      </c>
      <c r="D133" s="42">
        <v>45499</v>
      </c>
      <c r="E133" s="52" t="s">
        <v>63</v>
      </c>
      <c r="F133" s="52" t="s">
        <v>91</v>
      </c>
      <c r="G133" s="52" t="s">
        <v>1595</v>
      </c>
      <c r="H133" s="58"/>
      <c r="I133" s="58">
        <v>155300000</v>
      </c>
      <c r="J133" s="52" t="s">
        <v>1596</v>
      </c>
      <c r="K133" s="52" t="s">
        <v>82</v>
      </c>
      <c r="L133" s="52"/>
      <c r="M133" s="43"/>
      <c r="N133" s="43" t="s">
        <v>83</v>
      </c>
      <c r="O133" s="43"/>
      <c r="P133" s="43" t="s">
        <v>80</v>
      </c>
      <c r="Q133" s="53"/>
      <c r="R133" s="41"/>
    </row>
    <row r="134" spans="1:18" ht="72.5" x14ac:dyDescent="0.35">
      <c r="A134" s="40">
        <f t="shared" si="2"/>
        <v>133</v>
      </c>
      <c r="B134" s="41" t="s">
        <v>28</v>
      </c>
      <c r="C134" s="42">
        <v>45471</v>
      </c>
      <c r="D134" s="42">
        <v>45492</v>
      </c>
      <c r="E134" s="52" t="s">
        <v>140</v>
      </c>
      <c r="F134" s="52" t="s">
        <v>141</v>
      </c>
      <c r="G134" s="52" t="s">
        <v>1542</v>
      </c>
      <c r="H134" s="44"/>
      <c r="I134" s="44"/>
      <c r="J134" s="52" t="s">
        <v>1543</v>
      </c>
      <c r="K134" s="52" t="s">
        <v>79</v>
      </c>
      <c r="L134" s="52"/>
      <c r="M134" s="52"/>
      <c r="N134" s="43" t="s">
        <v>83</v>
      </c>
      <c r="O134" s="43"/>
      <c r="P134" s="43" t="s">
        <v>80</v>
      </c>
      <c r="Q134" s="41"/>
      <c r="R134" s="41"/>
    </row>
    <row r="135" spans="1:18" ht="87" x14ac:dyDescent="0.35">
      <c r="A135" s="40">
        <f t="shared" si="2"/>
        <v>134</v>
      </c>
      <c r="B135" s="41" t="s">
        <v>28</v>
      </c>
      <c r="C135" s="42">
        <v>45479</v>
      </c>
      <c r="D135" s="42">
        <v>45490</v>
      </c>
      <c r="E135" s="52" t="s">
        <v>1560</v>
      </c>
      <c r="F135" s="52" t="s">
        <v>53</v>
      </c>
      <c r="G135" s="52" t="s">
        <v>1561</v>
      </c>
      <c r="H135" s="44"/>
      <c r="I135" s="44"/>
      <c r="J135" s="52" t="s">
        <v>1562</v>
      </c>
      <c r="K135" s="52" t="s">
        <v>85</v>
      </c>
      <c r="L135" s="43"/>
      <c r="M135" s="43"/>
      <c r="N135" s="43" t="s">
        <v>83</v>
      </c>
      <c r="O135" s="43"/>
      <c r="P135" s="43" t="s">
        <v>80</v>
      </c>
      <c r="Q135" s="53" t="s">
        <v>1563</v>
      </c>
      <c r="R135" s="41"/>
    </row>
    <row r="136" spans="1:18" ht="43.5" x14ac:dyDescent="0.35">
      <c r="A136" s="40">
        <f t="shared" si="2"/>
        <v>135</v>
      </c>
      <c r="B136" s="41" t="s">
        <v>28</v>
      </c>
      <c r="C136" s="42">
        <v>45482</v>
      </c>
      <c r="D136" s="42">
        <v>45490</v>
      </c>
      <c r="E136" s="52" t="s">
        <v>88</v>
      </c>
      <c r="F136" s="52" t="s">
        <v>160</v>
      </c>
      <c r="G136" s="52" t="s">
        <v>1568</v>
      </c>
      <c r="H136" s="44"/>
      <c r="I136" s="44"/>
      <c r="J136" s="52" t="s">
        <v>1569</v>
      </c>
      <c r="K136" s="52" t="s">
        <v>81</v>
      </c>
      <c r="L136" s="43"/>
      <c r="M136" s="43"/>
      <c r="N136" s="43" t="s">
        <v>83</v>
      </c>
      <c r="O136" s="43"/>
      <c r="P136" s="43" t="s">
        <v>80</v>
      </c>
      <c r="Q136" s="53" t="s">
        <v>1607</v>
      </c>
      <c r="R136" s="41"/>
    </row>
    <row r="137" spans="1:18" ht="116" x14ac:dyDescent="0.35">
      <c r="A137" s="40">
        <f t="shared" si="2"/>
        <v>136</v>
      </c>
      <c r="B137" s="41" t="s">
        <v>27</v>
      </c>
      <c r="C137" s="42">
        <v>45468</v>
      </c>
      <c r="D137" s="42">
        <v>45484</v>
      </c>
      <c r="E137" s="52" t="s">
        <v>96</v>
      </c>
      <c r="F137" s="52" t="s">
        <v>45</v>
      </c>
      <c r="G137" s="52" t="s">
        <v>1534</v>
      </c>
      <c r="H137" s="44"/>
      <c r="I137" s="44">
        <v>69500000</v>
      </c>
      <c r="J137" s="52" t="s">
        <v>1535</v>
      </c>
      <c r="K137" s="52" t="s">
        <v>81</v>
      </c>
      <c r="L137" s="52"/>
      <c r="M137" s="52"/>
      <c r="N137" s="43" t="s">
        <v>83</v>
      </c>
      <c r="O137" s="43"/>
      <c r="P137" s="43" t="s">
        <v>80</v>
      </c>
      <c r="Q137" s="53" t="s">
        <v>1536</v>
      </c>
      <c r="R137" s="41"/>
    </row>
    <row r="138" spans="1:18" ht="29" x14ac:dyDescent="0.35">
      <c r="A138" s="40">
        <f t="shared" si="2"/>
        <v>137</v>
      </c>
      <c r="B138" s="41" t="s">
        <v>28</v>
      </c>
      <c r="C138" s="42">
        <v>45476</v>
      </c>
      <c r="D138" s="42">
        <v>45483</v>
      </c>
      <c r="E138" s="52" t="s">
        <v>52</v>
      </c>
      <c r="F138" s="52" t="s">
        <v>53</v>
      </c>
      <c r="G138" s="52" t="s">
        <v>1551</v>
      </c>
      <c r="H138" s="44"/>
      <c r="I138" s="44"/>
      <c r="J138" s="52" t="s">
        <v>1552</v>
      </c>
      <c r="K138" s="52" t="s">
        <v>85</v>
      </c>
      <c r="L138" s="43"/>
      <c r="M138" s="43"/>
      <c r="N138" s="43" t="s">
        <v>83</v>
      </c>
      <c r="O138" s="43"/>
      <c r="P138" s="43" t="s">
        <v>80</v>
      </c>
      <c r="Q138" s="53"/>
      <c r="R138" s="41"/>
    </row>
    <row r="139" spans="1:18" ht="29" x14ac:dyDescent="0.35">
      <c r="A139" s="40">
        <f t="shared" si="2"/>
        <v>138</v>
      </c>
      <c r="B139" s="41" t="s">
        <v>27</v>
      </c>
      <c r="C139" s="42">
        <v>45477</v>
      </c>
      <c r="D139" s="42">
        <v>45483</v>
      </c>
      <c r="E139" s="52" t="s">
        <v>52</v>
      </c>
      <c r="F139" s="52" t="s">
        <v>43</v>
      </c>
      <c r="G139" s="52" t="s">
        <v>1553</v>
      </c>
      <c r="H139" s="44"/>
      <c r="I139" s="44">
        <v>5000000</v>
      </c>
      <c r="J139" s="52" t="s">
        <v>1554</v>
      </c>
      <c r="K139" s="52" t="s">
        <v>81</v>
      </c>
      <c r="L139" s="52"/>
      <c r="M139" s="43"/>
      <c r="N139" s="43" t="s">
        <v>83</v>
      </c>
      <c r="O139" s="43"/>
      <c r="P139" s="43" t="s">
        <v>80</v>
      </c>
      <c r="Q139" s="53"/>
      <c r="R139" s="41"/>
    </row>
    <row r="140" spans="1:18" ht="116" x14ac:dyDescent="0.35">
      <c r="A140" s="40">
        <f t="shared" si="2"/>
        <v>139</v>
      </c>
      <c r="B140" s="41" t="s">
        <v>28</v>
      </c>
      <c r="C140" s="42">
        <v>45468</v>
      </c>
      <c r="D140" s="42">
        <v>45485</v>
      </c>
      <c r="E140" s="52" t="s">
        <v>1537</v>
      </c>
      <c r="F140" s="52" t="s">
        <v>265</v>
      </c>
      <c r="G140" s="52" t="s">
        <v>1538</v>
      </c>
      <c r="H140" s="44"/>
      <c r="I140" s="44"/>
      <c r="J140" s="52" t="s">
        <v>1539</v>
      </c>
      <c r="K140" s="52" t="s">
        <v>82</v>
      </c>
      <c r="L140" s="52"/>
      <c r="M140" s="43"/>
      <c r="N140" s="43" t="s">
        <v>83</v>
      </c>
      <c r="O140" s="43"/>
      <c r="P140" s="43" t="s">
        <v>80</v>
      </c>
      <c r="Q140" s="41"/>
      <c r="R140" s="41"/>
    </row>
    <row r="141" spans="1:18" ht="58" x14ac:dyDescent="0.35">
      <c r="A141" s="40">
        <f t="shared" si="2"/>
        <v>140</v>
      </c>
      <c r="B141" s="41" t="s">
        <v>28</v>
      </c>
      <c r="C141" s="42">
        <v>45479</v>
      </c>
      <c r="D141" s="42">
        <v>45481</v>
      </c>
      <c r="E141" s="52" t="s">
        <v>1580</v>
      </c>
      <c r="F141" s="52" t="s">
        <v>77</v>
      </c>
      <c r="G141" s="52" t="s">
        <v>1581</v>
      </c>
      <c r="H141" s="44"/>
      <c r="I141" s="44"/>
      <c r="J141" s="52" t="s">
        <v>1582</v>
      </c>
      <c r="K141" s="52" t="s">
        <v>85</v>
      </c>
      <c r="L141" s="43"/>
      <c r="M141" s="43"/>
      <c r="N141" s="43"/>
      <c r="O141" s="43"/>
      <c r="P141" s="43"/>
      <c r="Q141" s="41"/>
      <c r="R141" s="41"/>
    </row>
    <row r="142" spans="1:18" ht="29" x14ac:dyDescent="0.35">
      <c r="A142" s="40">
        <f t="shared" si="2"/>
        <v>141</v>
      </c>
      <c r="B142" s="41" t="s">
        <v>27</v>
      </c>
      <c r="C142" s="42">
        <v>45478</v>
      </c>
      <c r="D142" s="42">
        <v>45485</v>
      </c>
      <c r="E142" s="52" t="s">
        <v>52</v>
      </c>
      <c r="F142" s="52" t="s">
        <v>43</v>
      </c>
      <c r="G142" s="52" t="s">
        <v>1555</v>
      </c>
      <c r="H142" s="44"/>
      <c r="I142" s="44">
        <v>12900000</v>
      </c>
      <c r="J142" s="52" t="s">
        <v>1556</v>
      </c>
      <c r="K142" s="52" t="s">
        <v>81</v>
      </c>
      <c r="L142" s="52"/>
      <c r="M142" s="43"/>
      <c r="N142" s="43" t="s">
        <v>83</v>
      </c>
      <c r="O142" s="43"/>
      <c r="P142" s="43" t="s">
        <v>80</v>
      </c>
      <c r="Q142" s="41"/>
      <c r="R142" s="41"/>
    </row>
    <row r="143" spans="1:18" ht="58" x14ac:dyDescent="0.35">
      <c r="A143" s="40">
        <f t="shared" si="2"/>
        <v>142</v>
      </c>
      <c r="B143" s="41" t="s">
        <v>27</v>
      </c>
      <c r="C143" s="42">
        <v>45479</v>
      </c>
      <c r="D143" s="42">
        <v>45485</v>
      </c>
      <c r="E143" s="52" t="s">
        <v>1583</v>
      </c>
      <c r="F143" s="52" t="s">
        <v>77</v>
      </c>
      <c r="G143" s="52" t="s">
        <v>1584</v>
      </c>
      <c r="H143" s="44"/>
      <c r="I143" s="44">
        <v>11135308</v>
      </c>
      <c r="J143" s="52" t="s">
        <v>1585</v>
      </c>
      <c r="K143" s="52" t="s">
        <v>85</v>
      </c>
      <c r="L143" s="43"/>
      <c r="M143" s="43"/>
      <c r="N143" s="43"/>
      <c r="O143" s="43"/>
      <c r="P143" s="43"/>
      <c r="Q143" s="53"/>
      <c r="R143" s="53"/>
    </row>
    <row r="144" spans="1:18" ht="116" x14ac:dyDescent="0.35">
      <c r="A144" s="40">
        <f t="shared" si="2"/>
        <v>143</v>
      </c>
      <c r="B144" s="41" t="s">
        <v>28</v>
      </c>
      <c r="C144" s="42">
        <v>45475</v>
      </c>
      <c r="D144" s="42">
        <v>45481</v>
      </c>
      <c r="E144" s="52" t="s">
        <v>482</v>
      </c>
      <c r="F144" s="52" t="s">
        <v>113</v>
      </c>
      <c r="G144" s="52" t="s">
        <v>1547</v>
      </c>
      <c r="H144" s="58"/>
      <c r="I144" s="58"/>
      <c r="J144" s="52" t="s">
        <v>1548</v>
      </c>
      <c r="K144" s="52" t="s">
        <v>85</v>
      </c>
      <c r="L144" s="52"/>
      <c r="M144" s="43"/>
      <c r="N144" s="43" t="s">
        <v>83</v>
      </c>
      <c r="O144" s="43"/>
      <c r="P144" s="43" t="s">
        <v>80</v>
      </c>
      <c r="Q144" s="53" t="s">
        <v>1606</v>
      </c>
      <c r="R144" s="41"/>
    </row>
    <row r="145" spans="1:18" ht="58" x14ac:dyDescent="0.35">
      <c r="A145" s="40">
        <f t="shared" si="2"/>
        <v>144</v>
      </c>
      <c r="B145" s="41" t="s">
        <v>28</v>
      </c>
      <c r="C145" s="42">
        <v>45455</v>
      </c>
      <c r="D145" s="42">
        <v>45471</v>
      </c>
      <c r="E145" s="52" t="s">
        <v>328</v>
      </c>
      <c r="F145" s="52" t="s">
        <v>135</v>
      </c>
      <c r="G145" s="52" t="s">
        <v>1509</v>
      </c>
      <c r="H145" s="58"/>
      <c r="I145" s="58"/>
      <c r="J145" s="52" t="s">
        <v>1510</v>
      </c>
      <c r="K145" s="52" t="s">
        <v>1511</v>
      </c>
      <c r="L145" s="43"/>
      <c r="M145" s="43"/>
      <c r="N145" s="43" t="s">
        <v>83</v>
      </c>
      <c r="O145" s="43"/>
      <c r="P145" s="43" t="s">
        <v>80</v>
      </c>
      <c r="Q145" s="52"/>
      <c r="R145" s="41"/>
    </row>
    <row r="146" spans="1:18" ht="130.5" x14ac:dyDescent="0.35">
      <c r="A146" s="40">
        <f t="shared" si="2"/>
        <v>145</v>
      </c>
      <c r="B146" s="41" t="s">
        <v>28</v>
      </c>
      <c r="C146" s="42">
        <v>45462</v>
      </c>
      <c r="D146" s="42">
        <v>45476</v>
      </c>
      <c r="E146" s="52" t="s">
        <v>1520</v>
      </c>
      <c r="F146" s="52" t="s">
        <v>56</v>
      </c>
      <c r="G146" s="52" t="s">
        <v>1521</v>
      </c>
      <c r="H146" s="58"/>
      <c r="I146" s="44"/>
      <c r="J146" s="52" t="s">
        <v>1522</v>
      </c>
      <c r="K146" s="52" t="s">
        <v>147</v>
      </c>
      <c r="L146" s="52"/>
      <c r="M146" s="43"/>
      <c r="N146" s="43" t="s">
        <v>83</v>
      </c>
      <c r="O146" s="43"/>
      <c r="P146" s="52" t="s">
        <v>80</v>
      </c>
      <c r="Q146" s="41"/>
      <c r="R146" s="41"/>
    </row>
    <row r="147" spans="1:18" ht="58" x14ac:dyDescent="0.35">
      <c r="A147" s="40">
        <f t="shared" si="2"/>
        <v>146</v>
      </c>
      <c r="B147" s="41" t="s">
        <v>28</v>
      </c>
      <c r="C147" s="42">
        <v>45471</v>
      </c>
      <c r="D147" s="42">
        <v>45478</v>
      </c>
      <c r="E147" s="52" t="s">
        <v>306</v>
      </c>
      <c r="F147" s="52" t="s">
        <v>265</v>
      </c>
      <c r="G147" s="52" t="s">
        <v>1540</v>
      </c>
      <c r="H147" s="44"/>
      <c r="I147" s="44"/>
      <c r="J147" s="52" t="s">
        <v>1541</v>
      </c>
      <c r="K147" s="52" t="s">
        <v>82</v>
      </c>
      <c r="L147" s="52"/>
      <c r="M147" s="52"/>
      <c r="N147" s="43" t="s">
        <v>83</v>
      </c>
      <c r="O147" s="43"/>
      <c r="P147" s="43" t="s">
        <v>80</v>
      </c>
      <c r="Q147" s="41"/>
      <c r="R147" s="41"/>
    </row>
    <row r="148" spans="1:18" ht="43.5" x14ac:dyDescent="0.35">
      <c r="A148" s="40">
        <f t="shared" si="2"/>
        <v>147</v>
      </c>
      <c r="B148" s="41" t="s">
        <v>27</v>
      </c>
      <c r="C148" s="42">
        <v>45455</v>
      </c>
      <c r="D148" s="42">
        <v>45478</v>
      </c>
      <c r="E148" s="52" t="s">
        <v>1417</v>
      </c>
      <c r="F148" s="52" t="s">
        <v>94</v>
      </c>
      <c r="G148" s="52">
        <v>1000163303</v>
      </c>
      <c r="H148" s="44"/>
      <c r="I148" s="44">
        <v>7000000</v>
      </c>
      <c r="J148" s="52" t="s">
        <v>1505</v>
      </c>
      <c r="K148" s="52" t="s">
        <v>79</v>
      </c>
      <c r="L148" s="52"/>
      <c r="M148" s="43"/>
      <c r="N148" s="52" t="s">
        <v>83</v>
      </c>
      <c r="O148" s="43"/>
      <c r="P148" s="43" t="s">
        <v>80</v>
      </c>
      <c r="Q148" s="41"/>
      <c r="R148" s="41"/>
    </row>
    <row r="149" spans="1:18" ht="43.5" x14ac:dyDescent="0.35">
      <c r="A149" s="40">
        <f t="shared" si="2"/>
        <v>148</v>
      </c>
      <c r="B149" s="41" t="s">
        <v>27</v>
      </c>
      <c r="C149" s="42">
        <v>45465</v>
      </c>
      <c r="D149" s="42">
        <v>45477</v>
      </c>
      <c r="E149" s="52" t="s">
        <v>1417</v>
      </c>
      <c r="F149" s="52" t="s">
        <v>1530</v>
      </c>
      <c r="G149" s="52">
        <v>1000164834</v>
      </c>
      <c r="H149" s="44"/>
      <c r="I149" s="44">
        <v>49600000</v>
      </c>
      <c r="J149" s="52" t="s">
        <v>1531</v>
      </c>
      <c r="K149" s="52" t="s">
        <v>79</v>
      </c>
      <c r="L149" s="43"/>
      <c r="M149" s="43"/>
      <c r="N149" s="43" t="s">
        <v>83</v>
      </c>
      <c r="O149" s="43"/>
      <c r="P149" s="43" t="s">
        <v>80</v>
      </c>
      <c r="Q149" s="41" t="s">
        <v>1529</v>
      </c>
      <c r="R149" s="41"/>
    </row>
    <row r="150" spans="1:18" ht="72.5" x14ac:dyDescent="0.35">
      <c r="A150" s="40">
        <f t="shared" si="2"/>
        <v>149</v>
      </c>
      <c r="B150" s="41" t="s">
        <v>28</v>
      </c>
      <c r="C150" s="42">
        <v>45455</v>
      </c>
      <c r="D150" s="42">
        <v>45476</v>
      </c>
      <c r="E150" s="52" t="s">
        <v>88</v>
      </c>
      <c r="F150" s="52" t="s">
        <v>1053</v>
      </c>
      <c r="G150" s="52" t="s">
        <v>1501</v>
      </c>
      <c r="H150" s="58"/>
      <c r="I150" s="58"/>
      <c r="J150" s="52" t="s">
        <v>1502</v>
      </c>
      <c r="K150" s="52" t="s">
        <v>79</v>
      </c>
      <c r="L150" s="52"/>
      <c r="M150" s="43"/>
      <c r="N150" s="43" t="s">
        <v>83</v>
      </c>
      <c r="O150" s="43"/>
      <c r="P150" s="43" t="s">
        <v>80</v>
      </c>
      <c r="Q150" s="53" t="s">
        <v>1478</v>
      </c>
      <c r="R150" s="41"/>
    </row>
    <row r="151" spans="1:18" ht="130.5" x14ac:dyDescent="0.35">
      <c r="A151" s="40">
        <f t="shared" si="2"/>
        <v>150</v>
      </c>
      <c r="B151" s="41" t="s">
        <v>28</v>
      </c>
      <c r="C151" s="42">
        <v>45463</v>
      </c>
      <c r="D151" s="42">
        <v>45470</v>
      </c>
      <c r="E151" s="52" t="s">
        <v>52</v>
      </c>
      <c r="F151" s="52" t="s">
        <v>43</v>
      </c>
      <c r="G151" s="52" t="s">
        <v>1523</v>
      </c>
      <c r="H151" s="56"/>
      <c r="I151" s="44"/>
      <c r="J151" s="52" t="s">
        <v>1524</v>
      </c>
      <c r="K151" s="52" t="s">
        <v>81</v>
      </c>
      <c r="L151" s="43"/>
      <c r="M151" s="43"/>
      <c r="N151" s="43" t="s">
        <v>83</v>
      </c>
      <c r="O151" s="43"/>
      <c r="P151" s="43" t="s">
        <v>80</v>
      </c>
      <c r="Q151" s="53" t="s">
        <v>240</v>
      </c>
      <c r="R151" s="41"/>
    </row>
    <row r="152" spans="1:18" ht="87" x14ac:dyDescent="0.35">
      <c r="A152" s="40">
        <f t="shared" si="2"/>
        <v>151</v>
      </c>
      <c r="B152" s="41" t="s">
        <v>27</v>
      </c>
      <c r="C152" s="42">
        <v>45464</v>
      </c>
      <c r="D152" s="42">
        <v>45469</v>
      </c>
      <c r="E152" s="52" t="s">
        <v>63</v>
      </c>
      <c r="F152" s="52" t="s">
        <v>107</v>
      </c>
      <c r="G152" s="52" t="s">
        <v>1525</v>
      </c>
      <c r="H152" s="44"/>
      <c r="I152" s="44">
        <v>10265306.35</v>
      </c>
      <c r="J152" s="52" t="s">
        <v>1526</v>
      </c>
      <c r="K152" s="52" t="s">
        <v>82</v>
      </c>
      <c r="L152" s="52"/>
      <c r="M152" s="52"/>
      <c r="N152" s="43" t="s">
        <v>83</v>
      </c>
      <c r="O152" s="43"/>
      <c r="P152" s="43" t="s">
        <v>80</v>
      </c>
      <c r="Q152" s="41"/>
      <c r="R152" s="41"/>
    </row>
    <row r="153" spans="1:18" ht="72.5" x14ac:dyDescent="0.35">
      <c r="A153" s="40">
        <f t="shared" si="2"/>
        <v>152</v>
      </c>
      <c r="B153" s="41" t="s">
        <v>28</v>
      </c>
      <c r="C153" s="42">
        <v>45455</v>
      </c>
      <c r="D153" s="42">
        <v>45471</v>
      </c>
      <c r="E153" s="52" t="s">
        <v>140</v>
      </c>
      <c r="F153" s="52" t="s">
        <v>141</v>
      </c>
      <c r="G153" s="43">
        <v>9210008282</v>
      </c>
      <c r="H153" s="44"/>
      <c r="I153" s="44"/>
      <c r="J153" s="52" t="s">
        <v>1506</v>
      </c>
      <c r="K153" s="52" t="s">
        <v>79</v>
      </c>
      <c r="L153" s="52"/>
      <c r="M153" s="43"/>
      <c r="N153" s="43" t="s">
        <v>83</v>
      </c>
      <c r="O153" s="43"/>
      <c r="P153" s="43" t="s">
        <v>80</v>
      </c>
      <c r="Q153" s="53" t="s">
        <v>240</v>
      </c>
      <c r="R153" s="41"/>
    </row>
    <row r="154" spans="1:18" ht="58" x14ac:dyDescent="0.35">
      <c r="A154" s="40">
        <f t="shared" si="2"/>
        <v>153</v>
      </c>
      <c r="B154" s="41" t="s">
        <v>28</v>
      </c>
      <c r="C154" s="42">
        <v>45464</v>
      </c>
      <c r="D154" s="42">
        <v>45468</v>
      </c>
      <c r="E154" s="52" t="s">
        <v>770</v>
      </c>
      <c r="F154" s="52" t="s">
        <v>55</v>
      </c>
      <c r="G154" s="52">
        <v>7130007818</v>
      </c>
      <c r="H154" s="44"/>
      <c r="I154" s="44"/>
      <c r="J154" s="52" t="s">
        <v>1532</v>
      </c>
      <c r="K154" s="52" t="s">
        <v>147</v>
      </c>
      <c r="L154" s="52"/>
      <c r="M154" s="52"/>
      <c r="N154" s="52" t="s">
        <v>83</v>
      </c>
      <c r="O154" s="43"/>
      <c r="P154" s="43" t="s">
        <v>80</v>
      </c>
      <c r="Q154" s="64"/>
      <c r="R154" s="41"/>
    </row>
    <row r="155" spans="1:18" ht="72.5" x14ac:dyDescent="0.35">
      <c r="A155" s="40">
        <f t="shared" si="2"/>
        <v>154</v>
      </c>
      <c r="B155" s="41" t="s">
        <v>28</v>
      </c>
      <c r="C155" s="42">
        <v>45455</v>
      </c>
      <c r="D155" s="42">
        <v>45475</v>
      </c>
      <c r="E155" s="52" t="s">
        <v>292</v>
      </c>
      <c r="F155" s="52" t="s">
        <v>132</v>
      </c>
      <c r="G155" s="52" t="s">
        <v>1512</v>
      </c>
      <c r="H155" s="44"/>
      <c r="I155" s="44"/>
      <c r="J155" s="52" t="s">
        <v>1513</v>
      </c>
      <c r="K155" s="52" t="s">
        <v>85</v>
      </c>
      <c r="L155" s="52"/>
      <c r="M155" s="43"/>
      <c r="N155" s="43" t="s">
        <v>83</v>
      </c>
      <c r="O155" s="43"/>
      <c r="P155" s="43" t="s">
        <v>80</v>
      </c>
      <c r="Q155" s="53" t="s">
        <v>1544</v>
      </c>
      <c r="R155" s="41"/>
    </row>
    <row r="156" spans="1:18" ht="72.5" x14ac:dyDescent="0.35">
      <c r="A156" s="40">
        <f t="shared" si="2"/>
        <v>155</v>
      </c>
      <c r="B156" s="41" t="s">
        <v>27</v>
      </c>
      <c r="C156" s="42">
        <v>45464</v>
      </c>
      <c r="D156" s="42">
        <v>45472</v>
      </c>
      <c r="E156" s="52" t="s">
        <v>140</v>
      </c>
      <c r="F156" s="52" t="s">
        <v>141</v>
      </c>
      <c r="G156" s="52" t="s">
        <v>1527</v>
      </c>
      <c r="H156" s="58"/>
      <c r="I156" s="58">
        <v>15638390</v>
      </c>
      <c r="J156" s="52" t="s">
        <v>1528</v>
      </c>
      <c r="K156" s="52" t="s">
        <v>79</v>
      </c>
      <c r="L156" s="52"/>
      <c r="M156" s="52"/>
      <c r="N156" s="43" t="s">
        <v>83</v>
      </c>
      <c r="O156" s="43"/>
      <c r="P156" s="43" t="s">
        <v>80</v>
      </c>
      <c r="Q156" s="52" t="s">
        <v>1529</v>
      </c>
      <c r="R156" s="41"/>
    </row>
    <row r="157" spans="1:18" ht="174" x14ac:dyDescent="0.35">
      <c r="A157" s="40">
        <f t="shared" si="2"/>
        <v>156</v>
      </c>
      <c r="B157" s="41" t="s">
        <v>29</v>
      </c>
      <c r="C157" s="42">
        <v>45454</v>
      </c>
      <c r="D157" s="42">
        <v>45474</v>
      </c>
      <c r="E157" s="52" t="s">
        <v>88</v>
      </c>
      <c r="F157" s="52" t="s">
        <v>43</v>
      </c>
      <c r="G157" s="52" t="s">
        <v>1488</v>
      </c>
      <c r="H157" s="44">
        <v>26504192.346005991</v>
      </c>
      <c r="I157" s="44">
        <v>26504192.346005991</v>
      </c>
      <c r="J157" s="52" t="s">
        <v>1489</v>
      </c>
      <c r="K157" s="52" t="s">
        <v>79</v>
      </c>
      <c r="L157" s="43"/>
      <c r="M157" s="43"/>
      <c r="N157" s="43" t="s">
        <v>83</v>
      </c>
      <c r="O157" s="43"/>
      <c r="P157" s="43" t="s">
        <v>80</v>
      </c>
      <c r="Q157" s="53" t="s">
        <v>1589</v>
      </c>
      <c r="R157" s="41"/>
    </row>
    <row r="158" spans="1:18" ht="87" x14ac:dyDescent="0.35">
      <c r="A158" s="40">
        <f t="shared" si="2"/>
        <v>157</v>
      </c>
      <c r="B158" s="41" t="s">
        <v>28</v>
      </c>
      <c r="C158" s="42">
        <v>45455</v>
      </c>
      <c r="D158" s="42">
        <v>45465</v>
      </c>
      <c r="E158" s="52" t="s">
        <v>63</v>
      </c>
      <c r="F158" s="52" t="s">
        <v>110</v>
      </c>
      <c r="G158" s="52" t="s">
        <v>1497</v>
      </c>
      <c r="H158" s="44"/>
      <c r="I158" s="44"/>
      <c r="J158" s="52" t="s">
        <v>1498</v>
      </c>
      <c r="K158" s="52" t="s">
        <v>82</v>
      </c>
      <c r="L158" s="43"/>
      <c r="M158" s="43"/>
      <c r="N158" s="43" t="s">
        <v>83</v>
      </c>
      <c r="O158" s="43"/>
      <c r="P158" s="43" t="s">
        <v>80</v>
      </c>
      <c r="Q158" s="41"/>
      <c r="R158" s="41"/>
    </row>
    <row r="159" spans="1:18" ht="101.5" x14ac:dyDescent="0.35">
      <c r="A159" s="40">
        <f t="shared" si="2"/>
        <v>158</v>
      </c>
      <c r="B159" s="41" t="s">
        <v>28</v>
      </c>
      <c r="C159" s="42">
        <v>45455</v>
      </c>
      <c r="D159" s="42">
        <v>45467</v>
      </c>
      <c r="E159" s="52" t="s">
        <v>1494</v>
      </c>
      <c r="F159" s="52" t="s">
        <v>265</v>
      </c>
      <c r="G159" s="52" t="s">
        <v>1495</v>
      </c>
      <c r="H159" s="58"/>
      <c r="I159" s="44"/>
      <c r="J159" s="52" t="s">
        <v>1496</v>
      </c>
      <c r="K159" s="52" t="s">
        <v>82</v>
      </c>
      <c r="L159" s="43"/>
      <c r="M159" s="43"/>
      <c r="N159" s="43" t="s">
        <v>83</v>
      </c>
      <c r="O159" s="43"/>
      <c r="P159" s="43" t="s">
        <v>80</v>
      </c>
      <c r="Q159" s="53" t="s">
        <v>240</v>
      </c>
      <c r="R159" s="41"/>
    </row>
    <row r="160" spans="1:18" ht="87" x14ac:dyDescent="0.35">
      <c r="A160" s="40">
        <f t="shared" si="2"/>
        <v>159</v>
      </c>
      <c r="B160" s="41" t="s">
        <v>28</v>
      </c>
      <c r="C160" s="42">
        <v>45455</v>
      </c>
      <c r="D160" s="42">
        <v>45470</v>
      </c>
      <c r="E160" s="52" t="s">
        <v>63</v>
      </c>
      <c r="F160" s="52" t="s">
        <v>110</v>
      </c>
      <c r="G160" s="52" t="s">
        <v>1499</v>
      </c>
      <c r="H160" s="44"/>
      <c r="I160" s="44"/>
      <c r="J160" s="52" t="s">
        <v>1500</v>
      </c>
      <c r="K160" s="52" t="s">
        <v>82</v>
      </c>
      <c r="L160" s="52"/>
      <c r="M160" s="43"/>
      <c r="N160" s="52" t="s">
        <v>83</v>
      </c>
      <c r="O160" s="43"/>
      <c r="P160" s="43" t="s">
        <v>80</v>
      </c>
      <c r="Q160" s="53" t="s">
        <v>1533</v>
      </c>
      <c r="R160" s="41"/>
    </row>
    <row r="161" spans="1:18" ht="116" x14ac:dyDescent="0.35">
      <c r="A161" s="40">
        <f t="shared" si="2"/>
        <v>160</v>
      </c>
      <c r="B161" s="41" t="s">
        <v>33</v>
      </c>
      <c r="C161" s="42">
        <v>45455</v>
      </c>
      <c r="D161" s="42">
        <v>45468</v>
      </c>
      <c r="E161" s="52" t="s">
        <v>616</v>
      </c>
      <c r="F161" s="52" t="s">
        <v>111</v>
      </c>
      <c r="G161" s="52" t="s">
        <v>1507</v>
      </c>
      <c r="H161" s="44"/>
      <c r="I161" s="44"/>
      <c r="J161" s="52" t="s">
        <v>1508</v>
      </c>
      <c r="K161" s="52" t="s">
        <v>147</v>
      </c>
      <c r="L161" s="52"/>
      <c r="M161" s="43"/>
      <c r="N161" s="43" t="s">
        <v>83</v>
      </c>
      <c r="O161" s="43"/>
      <c r="P161" s="43" t="s">
        <v>80</v>
      </c>
      <c r="Q161" s="41"/>
      <c r="R161" s="41"/>
    </row>
    <row r="162" spans="1:18" ht="58" x14ac:dyDescent="0.35">
      <c r="A162" s="40">
        <f t="shared" si="2"/>
        <v>161</v>
      </c>
      <c r="B162" s="41" t="s">
        <v>28</v>
      </c>
      <c r="C162" s="42">
        <v>45447</v>
      </c>
      <c r="D162" s="42">
        <v>45461</v>
      </c>
      <c r="E162" s="52" t="s">
        <v>88</v>
      </c>
      <c r="F162" s="52" t="s">
        <v>43</v>
      </c>
      <c r="G162" s="52">
        <v>1000418771</v>
      </c>
      <c r="H162" s="58"/>
      <c r="I162" s="44"/>
      <c r="J162" s="52" t="s">
        <v>1477</v>
      </c>
      <c r="K162" s="43" t="s">
        <v>81</v>
      </c>
      <c r="L162" s="43"/>
      <c r="M162" s="43"/>
      <c r="N162" s="43" t="s">
        <v>83</v>
      </c>
      <c r="O162" s="43"/>
      <c r="P162" s="43" t="s">
        <v>80</v>
      </c>
      <c r="Q162" s="52" t="s">
        <v>1478</v>
      </c>
      <c r="R162" s="41"/>
    </row>
    <row r="163" spans="1:18" ht="58" x14ac:dyDescent="0.35">
      <c r="A163" s="40">
        <f t="shared" si="2"/>
        <v>162</v>
      </c>
      <c r="B163" s="41" t="s">
        <v>27</v>
      </c>
      <c r="C163" s="42">
        <v>45442</v>
      </c>
      <c r="D163" s="42">
        <v>45463</v>
      </c>
      <c r="E163" s="52" t="s">
        <v>49</v>
      </c>
      <c r="F163" s="52" t="s">
        <v>111</v>
      </c>
      <c r="G163" s="52" t="s">
        <v>1455</v>
      </c>
      <c r="H163" s="58"/>
      <c r="I163" s="58">
        <v>9023892</v>
      </c>
      <c r="J163" s="52" t="s">
        <v>1456</v>
      </c>
      <c r="K163" s="52" t="s">
        <v>79</v>
      </c>
      <c r="L163" s="43"/>
      <c r="M163" s="43"/>
      <c r="N163" s="43" t="s">
        <v>83</v>
      </c>
      <c r="O163" s="43"/>
      <c r="P163" s="43" t="s">
        <v>80</v>
      </c>
      <c r="Q163" s="53" t="s">
        <v>1457</v>
      </c>
      <c r="R163" s="41"/>
    </row>
    <row r="164" spans="1:18" ht="72.5" x14ac:dyDescent="0.35">
      <c r="A164" s="40">
        <f t="shared" si="2"/>
        <v>163</v>
      </c>
      <c r="B164" s="41" t="s">
        <v>27</v>
      </c>
      <c r="C164" s="42">
        <v>45455</v>
      </c>
      <c r="D164" s="42">
        <v>45460</v>
      </c>
      <c r="E164" s="52" t="s">
        <v>1417</v>
      </c>
      <c r="F164" s="52" t="s">
        <v>94</v>
      </c>
      <c r="G164" s="52">
        <v>1000162608</v>
      </c>
      <c r="H164" s="44"/>
      <c r="I164" s="44">
        <v>1291187.5</v>
      </c>
      <c r="J164" s="52" t="s">
        <v>1491</v>
      </c>
      <c r="K164" s="52" t="s">
        <v>79</v>
      </c>
      <c r="L164" s="52"/>
      <c r="M164" s="43"/>
      <c r="N164" s="52" t="s">
        <v>83</v>
      </c>
      <c r="O164" s="43"/>
      <c r="P164" s="43" t="s">
        <v>80</v>
      </c>
      <c r="Q164" s="41"/>
      <c r="R164" s="41"/>
    </row>
    <row r="165" spans="1:18" ht="43.5" x14ac:dyDescent="0.35">
      <c r="A165" s="40">
        <f t="shared" si="2"/>
        <v>164</v>
      </c>
      <c r="B165" s="59" t="s">
        <v>28</v>
      </c>
      <c r="C165" s="57">
        <v>45435</v>
      </c>
      <c r="D165" s="57">
        <v>45446</v>
      </c>
      <c r="E165" s="52" t="s">
        <v>49</v>
      </c>
      <c r="F165" s="52" t="s">
        <v>1443</v>
      </c>
      <c r="G165" s="52" t="s">
        <v>1444</v>
      </c>
      <c r="H165" s="58"/>
      <c r="I165" s="58"/>
      <c r="J165" s="52" t="s">
        <v>1445</v>
      </c>
      <c r="K165" s="52" t="s">
        <v>84</v>
      </c>
      <c r="L165" s="54"/>
      <c r="M165" s="54"/>
      <c r="N165" s="54" t="s">
        <v>83</v>
      </c>
      <c r="O165" s="54"/>
      <c r="P165" s="54" t="s">
        <v>80</v>
      </c>
      <c r="Q165" s="59" t="s">
        <v>1446</v>
      </c>
      <c r="R165" s="59"/>
    </row>
    <row r="166" spans="1:18" ht="116" x14ac:dyDescent="0.35">
      <c r="A166" s="40">
        <f t="shared" si="2"/>
        <v>165</v>
      </c>
      <c r="B166" s="41" t="s">
        <v>27</v>
      </c>
      <c r="C166" s="42">
        <v>45440</v>
      </c>
      <c r="D166" s="42">
        <v>45449</v>
      </c>
      <c r="E166" s="52" t="s">
        <v>328</v>
      </c>
      <c r="F166" s="52" t="s">
        <v>89</v>
      </c>
      <c r="G166" s="52" t="s">
        <v>1449</v>
      </c>
      <c r="H166" s="44"/>
      <c r="I166" s="44">
        <v>11700000</v>
      </c>
      <c r="J166" s="52" t="s">
        <v>1450</v>
      </c>
      <c r="K166" s="52" t="s">
        <v>82</v>
      </c>
      <c r="L166" s="52"/>
      <c r="M166" s="43"/>
      <c r="N166" s="43" t="s">
        <v>83</v>
      </c>
      <c r="O166" s="43"/>
      <c r="P166" s="43" t="s">
        <v>80</v>
      </c>
      <c r="Q166" s="41"/>
      <c r="R166" s="41"/>
    </row>
    <row r="167" spans="1:18" ht="29" x14ac:dyDescent="0.35">
      <c r="A167" s="40">
        <f t="shared" si="2"/>
        <v>166</v>
      </c>
      <c r="B167" s="41" t="s">
        <v>27</v>
      </c>
      <c r="C167" s="42">
        <v>45442</v>
      </c>
      <c r="D167" s="42">
        <v>45449</v>
      </c>
      <c r="E167" s="52" t="s">
        <v>52</v>
      </c>
      <c r="F167" s="52" t="s">
        <v>43</v>
      </c>
      <c r="G167" s="52" t="s">
        <v>1453</v>
      </c>
      <c r="H167" s="44"/>
      <c r="I167" s="44">
        <v>9200000</v>
      </c>
      <c r="J167" s="52" t="s">
        <v>1454</v>
      </c>
      <c r="K167" s="52" t="s">
        <v>81</v>
      </c>
      <c r="L167" s="43"/>
      <c r="M167" s="43"/>
      <c r="N167" s="43" t="s">
        <v>83</v>
      </c>
      <c r="O167" s="43"/>
      <c r="P167" s="43" t="s">
        <v>80</v>
      </c>
      <c r="Q167" s="41"/>
      <c r="R167" s="41"/>
    </row>
    <row r="168" spans="1:18" ht="145" x14ac:dyDescent="0.35">
      <c r="A168" s="40">
        <f t="shared" si="2"/>
        <v>167</v>
      </c>
      <c r="B168" s="41" t="s">
        <v>28</v>
      </c>
      <c r="C168" s="42">
        <v>45443</v>
      </c>
      <c r="D168" s="42">
        <v>45450</v>
      </c>
      <c r="E168" s="52" t="s">
        <v>1335</v>
      </c>
      <c r="F168" s="52" t="s">
        <v>77</v>
      </c>
      <c r="G168" s="52" t="s">
        <v>1465</v>
      </c>
      <c r="H168" s="58"/>
      <c r="I168" s="58"/>
      <c r="J168" s="52" t="s">
        <v>1466</v>
      </c>
      <c r="K168" s="52" t="s">
        <v>85</v>
      </c>
      <c r="L168" s="52"/>
      <c r="M168" s="43"/>
      <c r="N168" s="43" t="s">
        <v>83</v>
      </c>
      <c r="O168" s="43"/>
      <c r="P168" s="43" t="s">
        <v>80</v>
      </c>
      <c r="Q168" s="61"/>
      <c r="R168" s="41"/>
    </row>
    <row r="169" spans="1:18" ht="72.5" x14ac:dyDescent="0.35">
      <c r="A169" s="40">
        <f t="shared" si="2"/>
        <v>168</v>
      </c>
      <c r="B169" s="41" t="s">
        <v>28</v>
      </c>
      <c r="C169" s="42">
        <v>45446</v>
      </c>
      <c r="D169" s="42">
        <v>45453</v>
      </c>
      <c r="E169" s="52" t="s">
        <v>1469</v>
      </c>
      <c r="F169" s="52" t="s">
        <v>1443</v>
      </c>
      <c r="G169" s="52" t="s">
        <v>1470</v>
      </c>
      <c r="H169" s="44"/>
      <c r="I169" s="44"/>
      <c r="J169" s="52" t="s">
        <v>1471</v>
      </c>
      <c r="K169" s="52" t="s">
        <v>84</v>
      </c>
      <c r="L169" s="43"/>
      <c r="M169" s="43"/>
      <c r="N169" s="43" t="s">
        <v>83</v>
      </c>
      <c r="O169" s="43"/>
      <c r="P169" s="43" t="s">
        <v>80</v>
      </c>
      <c r="Q169" s="53" t="s">
        <v>1503</v>
      </c>
      <c r="R169" s="41"/>
    </row>
    <row r="170" spans="1:18" ht="116" x14ac:dyDescent="0.35">
      <c r="A170" s="40">
        <f t="shared" si="2"/>
        <v>169</v>
      </c>
      <c r="B170" s="41" t="s">
        <v>28</v>
      </c>
      <c r="C170" s="42">
        <v>45449</v>
      </c>
      <c r="D170" s="42">
        <v>45453</v>
      </c>
      <c r="E170" s="52" t="s">
        <v>63</v>
      </c>
      <c r="F170" s="52" t="s">
        <v>372</v>
      </c>
      <c r="G170" s="52" t="s">
        <v>1479</v>
      </c>
      <c r="H170" s="58"/>
      <c r="I170" s="44"/>
      <c r="J170" s="52" t="s">
        <v>1480</v>
      </c>
      <c r="K170" s="52" t="s">
        <v>82</v>
      </c>
      <c r="L170" s="43"/>
      <c r="M170" s="43"/>
      <c r="N170" s="43" t="s">
        <v>83</v>
      </c>
      <c r="O170" s="43"/>
      <c r="P170" s="43" t="s">
        <v>80</v>
      </c>
      <c r="Q170" s="52"/>
      <c r="R170" s="41"/>
    </row>
    <row r="171" spans="1:18" ht="87" x14ac:dyDescent="0.35">
      <c r="A171" s="40">
        <f t="shared" si="2"/>
        <v>170</v>
      </c>
      <c r="B171" s="41" t="s">
        <v>27</v>
      </c>
      <c r="C171" s="42">
        <v>45449</v>
      </c>
      <c r="D171" s="42">
        <v>45453</v>
      </c>
      <c r="E171" s="52" t="s">
        <v>770</v>
      </c>
      <c r="F171" s="52" t="s">
        <v>55</v>
      </c>
      <c r="G171" s="52" t="s">
        <v>1483</v>
      </c>
      <c r="H171" s="44"/>
      <c r="I171" s="44">
        <v>16000000</v>
      </c>
      <c r="J171" s="52" t="s">
        <v>1484</v>
      </c>
      <c r="K171" s="52" t="s">
        <v>147</v>
      </c>
      <c r="L171" s="52"/>
      <c r="M171" s="43"/>
      <c r="N171" s="52" t="s">
        <v>83</v>
      </c>
      <c r="O171" s="43"/>
      <c r="P171" s="52" t="s">
        <v>80</v>
      </c>
      <c r="Q171" s="41"/>
      <c r="R171" s="41"/>
    </row>
    <row r="172" spans="1:18" ht="72.5" x14ac:dyDescent="0.35">
      <c r="A172" s="40">
        <f t="shared" si="2"/>
        <v>171</v>
      </c>
      <c r="B172" s="41" t="s">
        <v>27</v>
      </c>
      <c r="C172" s="42">
        <v>45442</v>
      </c>
      <c r="D172" s="42">
        <v>45456</v>
      </c>
      <c r="E172" s="52" t="s">
        <v>124</v>
      </c>
      <c r="F172" s="52" t="s">
        <v>100</v>
      </c>
      <c r="G172" s="52" t="s">
        <v>1504</v>
      </c>
      <c r="H172" s="58"/>
      <c r="I172" s="58">
        <v>5900000</v>
      </c>
      <c r="J172" s="52" t="s">
        <v>1451</v>
      </c>
      <c r="K172" s="52" t="s">
        <v>82</v>
      </c>
      <c r="L172" s="43"/>
      <c r="M172" s="43"/>
      <c r="N172" s="43" t="s">
        <v>83</v>
      </c>
      <c r="O172" s="43"/>
      <c r="P172" s="43" t="s">
        <v>80</v>
      </c>
      <c r="Q172" s="61" t="s">
        <v>1452</v>
      </c>
      <c r="R172" s="41"/>
    </row>
    <row r="173" spans="1:18" ht="58" x14ac:dyDescent="0.35">
      <c r="A173" s="40">
        <f t="shared" si="2"/>
        <v>172</v>
      </c>
      <c r="B173" s="41" t="s">
        <v>27</v>
      </c>
      <c r="C173" s="42">
        <v>45446</v>
      </c>
      <c r="D173" s="42">
        <v>45455</v>
      </c>
      <c r="E173" s="52" t="s">
        <v>49</v>
      </c>
      <c r="F173" s="52" t="s">
        <v>1472</v>
      </c>
      <c r="G173" s="52" t="s">
        <v>1473</v>
      </c>
      <c r="H173" s="58"/>
      <c r="I173" s="44">
        <v>45100000</v>
      </c>
      <c r="J173" s="52" t="s">
        <v>1474</v>
      </c>
      <c r="K173" s="52" t="s">
        <v>81</v>
      </c>
      <c r="L173" s="52"/>
      <c r="M173" s="43"/>
      <c r="N173" s="52" t="s">
        <v>83</v>
      </c>
      <c r="O173" s="43"/>
      <c r="P173" s="43" t="s">
        <v>80</v>
      </c>
      <c r="Q173" s="53"/>
      <c r="R173" s="41"/>
    </row>
    <row r="174" spans="1:18" ht="72.5" x14ac:dyDescent="0.35">
      <c r="A174" s="40">
        <f t="shared" si="2"/>
        <v>173</v>
      </c>
      <c r="B174" s="41" t="s">
        <v>27</v>
      </c>
      <c r="C174" s="42">
        <v>45453</v>
      </c>
      <c r="D174" s="42">
        <v>45459</v>
      </c>
      <c r="E174" s="52" t="s">
        <v>1417</v>
      </c>
      <c r="F174" s="52" t="s">
        <v>94</v>
      </c>
      <c r="G174" s="43">
        <v>1000160160</v>
      </c>
      <c r="H174" s="44"/>
      <c r="I174" s="44">
        <v>3500000</v>
      </c>
      <c r="J174" s="52" t="s">
        <v>1490</v>
      </c>
      <c r="K174" s="52" t="s">
        <v>79</v>
      </c>
      <c r="L174" s="52"/>
      <c r="M174" s="43"/>
      <c r="N174" s="43" t="s">
        <v>83</v>
      </c>
      <c r="O174" s="43"/>
      <c r="P174" s="43" t="s">
        <v>80</v>
      </c>
      <c r="Q174" s="41" t="s">
        <v>1478</v>
      </c>
      <c r="R174" s="41"/>
    </row>
    <row r="175" spans="1:18" ht="72.5" x14ac:dyDescent="0.35">
      <c r="A175" s="40">
        <f t="shared" si="2"/>
        <v>174</v>
      </c>
      <c r="B175" s="41" t="s">
        <v>27</v>
      </c>
      <c r="C175" s="42">
        <v>45453</v>
      </c>
      <c r="D175" s="42">
        <v>45460</v>
      </c>
      <c r="E175" s="52" t="s">
        <v>1417</v>
      </c>
      <c r="F175" s="52" t="s">
        <v>94</v>
      </c>
      <c r="G175" s="52">
        <v>1000162608</v>
      </c>
      <c r="H175" s="44"/>
      <c r="I175" s="44">
        <v>1000000</v>
      </c>
      <c r="J175" s="52" t="s">
        <v>1491</v>
      </c>
      <c r="K175" s="52" t="s">
        <v>79</v>
      </c>
      <c r="L175" s="43"/>
      <c r="M175" s="43"/>
      <c r="N175" s="43" t="s">
        <v>83</v>
      </c>
      <c r="O175" s="43"/>
      <c r="P175" s="43" t="s">
        <v>80</v>
      </c>
      <c r="Q175" s="41" t="s">
        <v>1478</v>
      </c>
      <c r="R175" s="41"/>
    </row>
    <row r="176" spans="1:18" ht="116" x14ac:dyDescent="0.35">
      <c r="A176" s="40">
        <f t="shared" si="2"/>
        <v>175</v>
      </c>
      <c r="B176" s="41" t="s">
        <v>31</v>
      </c>
      <c r="C176" s="42">
        <v>45449</v>
      </c>
      <c r="D176" s="42">
        <v>45454</v>
      </c>
      <c r="E176" s="52" t="s">
        <v>88</v>
      </c>
      <c r="F176" s="52" t="s">
        <v>95</v>
      </c>
      <c r="G176" s="52" t="s">
        <v>1481</v>
      </c>
      <c r="H176" s="44">
        <v>1674000</v>
      </c>
      <c r="I176" s="44">
        <v>2619000</v>
      </c>
      <c r="J176" s="52" t="s">
        <v>1482</v>
      </c>
      <c r="K176" s="52" t="s">
        <v>85</v>
      </c>
      <c r="L176" s="52"/>
      <c r="M176" s="43"/>
      <c r="N176" s="43" t="s">
        <v>83</v>
      </c>
      <c r="O176" s="43"/>
      <c r="P176" s="43" t="s">
        <v>80</v>
      </c>
      <c r="Q176" s="53" t="s">
        <v>1515</v>
      </c>
      <c r="R176" s="41"/>
    </row>
    <row r="177" spans="1:18" ht="87" x14ac:dyDescent="0.35">
      <c r="A177" s="40">
        <f t="shared" si="2"/>
        <v>176</v>
      </c>
      <c r="B177" s="59" t="s">
        <v>28</v>
      </c>
      <c r="C177" s="57">
        <v>45421</v>
      </c>
      <c r="D177" s="57">
        <v>45441</v>
      </c>
      <c r="E177" s="52" t="s">
        <v>124</v>
      </c>
      <c r="F177" s="52" t="s">
        <v>1401</v>
      </c>
      <c r="G177" s="52" t="s">
        <v>1402</v>
      </c>
      <c r="H177" s="58"/>
      <c r="I177" s="58"/>
      <c r="J177" s="52" t="s">
        <v>1403</v>
      </c>
      <c r="K177" s="54" t="s">
        <v>85</v>
      </c>
      <c r="L177" s="54"/>
      <c r="M177" s="54"/>
      <c r="N177" s="54" t="s">
        <v>83</v>
      </c>
      <c r="O177" s="54"/>
      <c r="P177" s="54" t="s">
        <v>80</v>
      </c>
      <c r="Q177" s="59" t="s">
        <v>1393</v>
      </c>
      <c r="R177" s="59"/>
    </row>
    <row r="178" spans="1:18" ht="72.5" x14ac:dyDescent="0.35">
      <c r="A178" s="40">
        <f t="shared" si="2"/>
        <v>177</v>
      </c>
      <c r="B178" s="59" t="s">
        <v>28</v>
      </c>
      <c r="C178" s="57">
        <v>45429</v>
      </c>
      <c r="D178" s="57">
        <v>45441</v>
      </c>
      <c r="E178" s="54" t="s">
        <v>63</v>
      </c>
      <c r="F178" s="52" t="s">
        <v>65</v>
      </c>
      <c r="G178" s="52" t="s">
        <v>1434</v>
      </c>
      <c r="H178" s="58"/>
      <c r="I178" s="58"/>
      <c r="J178" s="52" t="s">
        <v>1435</v>
      </c>
      <c r="K178" s="54" t="s">
        <v>82</v>
      </c>
      <c r="L178" s="54"/>
      <c r="M178" s="54"/>
      <c r="N178" s="54" t="s">
        <v>83</v>
      </c>
      <c r="O178" s="54"/>
      <c r="P178" s="54" t="s">
        <v>80</v>
      </c>
      <c r="Q178" s="59"/>
      <c r="R178" s="59"/>
    </row>
    <row r="179" spans="1:18" ht="188.5" x14ac:dyDescent="0.35">
      <c r="A179" s="40">
        <f t="shared" si="2"/>
        <v>178</v>
      </c>
      <c r="B179" s="59" t="s">
        <v>28</v>
      </c>
      <c r="C179" s="57">
        <v>45435</v>
      </c>
      <c r="D179" s="57">
        <v>45439</v>
      </c>
      <c r="E179" s="52" t="s">
        <v>832</v>
      </c>
      <c r="F179" s="52" t="s">
        <v>150</v>
      </c>
      <c r="G179" s="52" t="s">
        <v>1441</v>
      </c>
      <c r="H179" s="58"/>
      <c r="I179" s="58"/>
      <c r="J179" s="52" t="s">
        <v>1442</v>
      </c>
      <c r="K179" s="52" t="s">
        <v>82</v>
      </c>
      <c r="L179" s="52"/>
      <c r="M179" s="54"/>
      <c r="N179" s="54" t="s">
        <v>83</v>
      </c>
      <c r="O179" s="54"/>
      <c r="P179" s="54" t="s">
        <v>80</v>
      </c>
      <c r="Q179" s="59"/>
      <c r="R179" s="59"/>
    </row>
    <row r="180" spans="1:18" ht="72.5" x14ac:dyDescent="0.35">
      <c r="A180" s="40">
        <f t="shared" si="2"/>
        <v>179</v>
      </c>
      <c r="B180" s="41" t="s">
        <v>27</v>
      </c>
      <c r="C180" s="42">
        <v>45435</v>
      </c>
      <c r="D180" s="42">
        <v>45447</v>
      </c>
      <c r="E180" s="52" t="s">
        <v>49</v>
      </c>
      <c r="F180" s="52" t="s">
        <v>47</v>
      </c>
      <c r="G180" s="52" t="s">
        <v>1447</v>
      </c>
      <c r="H180" s="44"/>
      <c r="I180" s="44">
        <v>9400000</v>
      </c>
      <c r="J180" s="52" t="s">
        <v>1448</v>
      </c>
      <c r="K180" s="52" t="s">
        <v>85</v>
      </c>
      <c r="L180" s="52"/>
      <c r="M180" s="43"/>
      <c r="N180" s="43" t="s">
        <v>83</v>
      </c>
      <c r="O180" s="43"/>
      <c r="P180" s="43" t="s">
        <v>80</v>
      </c>
      <c r="Q180" s="41"/>
      <c r="R180" s="41"/>
    </row>
    <row r="181" spans="1:18" ht="409.5" x14ac:dyDescent="0.35">
      <c r="A181" s="40">
        <f t="shared" si="2"/>
        <v>180</v>
      </c>
      <c r="B181" s="41" t="s">
        <v>31</v>
      </c>
      <c r="C181" s="42">
        <v>45443</v>
      </c>
      <c r="D181" s="42">
        <v>45447</v>
      </c>
      <c r="E181" s="52" t="s">
        <v>63</v>
      </c>
      <c r="F181" s="52" t="s">
        <v>65</v>
      </c>
      <c r="G181" s="52" t="s">
        <v>1463</v>
      </c>
      <c r="H181" s="44">
        <v>18264841.609999999</v>
      </c>
      <c r="I181" s="44">
        <v>19305937.280000001</v>
      </c>
      <c r="J181" s="52" t="s">
        <v>1464</v>
      </c>
      <c r="K181" s="52" t="s">
        <v>82</v>
      </c>
      <c r="L181" s="52"/>
      <c r="M181" s="43"/>
      <c r="N181" s="52" t="s">
        <v>83</v>
      </c>
      <c r="O181" s="43"/>
      <c r="P181" s="43" t="s">
        <v>80</v>
      </c>
      <c r="Q181" s="53" t="s">
        <v>1608</v>
      </c>
      <c r="R181" s="41"/>
    </row>
    <row r="182" spans="1:18" ht="217.5" x14ac:dyDescent="0.35">
      <c r="A182" s="40">
        <f t="shared" si="2"/>
        <v>181</v>
      </c>
      <c r="B182" s="41" t="s">
        <v>31</v>
      </c>
      <c r="C182" s="42">
        <v>45446</v>
      </c>
      <c r="D182" s="42">
        <v>45448</v>
      </c>
      <c r="E182" s="52" t="s">
        <v>63</v>
      </c>
      <c r="F182" s="52" t="s">
        <v>60</v>
      </c>
      <c r="G182" s="52" t="s">
        <v>1467</v>
      </c>
      <c r="H182" s="44">
        <v>7161115.25</v>
      </c>
      <c r="I182" s="44">
        <v>7495724.4000000004</v>
      </c>
      <c r="J182" s="52" t="s">
        <v>1468</v>
      </c>
      <c r="K182" s="52" t="s">
        <v>84</v>
      </c>
      <c r="L182" s="52"/>
      <c r="M182" s="43"/>
      <c r="N182" s="52" t="s">
        <v>83</v>
      </c>
      <c r="O182" s="43"/>
      <c r="P182" s="43" t="s">
        <v>80</v>
      </c>
      <c r="Q182" s="53" t="s">
        <v>1545</v>
      </c>
      <c r="R182" s="41"/>
    </row>
    <row r="183" spans="1:18" ht="29" x14ac:dyDescent="0.35">
      <c r="A183" s="40">
        <f t="shared" si="2"/>
        <v>182</v>
      </c>
      <c r="B183" s="41" t="s">
        <v>27</v>
      </c>
      <c r="C183" s="42">
        <v>45437</v>
      </c>
      <c r="D183" s="42">
        <v>45441</v>
      </c>
      <c r="E183" s="52" t="s">
        <v>1458</v>
      </c>
      <c r="F183" s="52" t="s">
        <v>1459</v>
      </c>
      <c r="G183" s="52" t="s">
        <v>1460</v>
      </c>
      <c r="H183" s="44"/>
      <c r="I183" s="44">
        <v>71023220.711947829</v>
      </c>
      <c r="J183" s="52" t="s">
        <v>1461</v>
      </c>
      <c r="K183" s="52" t="s">
        <v>79</v>
      </c>
      <c r="L183" s="52"/>
      <c r="M183" s="43"/>
      <c r="N183" s="52" t="s">
        <v>83</v>
      </c>
      <c r="O183" s="43"/>
      <c r="P183" s="43" t="s">
        <v>80</v>
      </c>
      <c r="Q183" s="41"/>
      <c r="R183" s="41"/>
    </row>
    <row r="184" spans="1:18" ht="116" x14ac:dyDescent="0.35">
      <c r="A184" s="40">
        <f t="shared" si="2"/>
        <v>183</v>
      </c>
      <c r="B184" s="59" t="s">
        <v>29</v>
      </c>
      <c r="C184" s="57">
        <v>45421</v>
      </c>
      <c r="D184" s="57">
        <v>45434</v>
      </c>
      <c r="E184" s="52" t="s">
        <v>770</v>
      </c>
      <c r="F184" s="52" t="s">
        <v>55</v>
      </c>
      <c r="G184" s="52" t="s">
        <v>1422</v>
      </c>
      <c r="H184" s="58">
        <v>48100000</v>
      </c>
      <c r="I184" s="58">
        <v>48100000</v>
      </c>
      <c r="J184" s="52" t="s">
        <v>1423</v>
      </c>
      <c r="K184" s="54" t="s">
        <v>147</v>
      </c>
      <c r="L184" s="54"/>
      <c r="M184" s="54"/>
      <c r="N184" s="54" t="s">
        <v>83</v>
      </c>
      <c r="O184" s="54"/>
      <c r="P184" s="54" t="s">
        <v>80</v>
      </c>
      <c r="Q184" s="53"/>
      <c r="R184" s="59"/>
    </row>
    <row r="185" spans="1:18" ht="217.5" x14ac:dyDescent="0.35">
      <c r="A185" s="40">
        <f t="shared" si="2"/>
        <v>184</v>
      </c>
      <c r="B185" s="59" t="s">
        <v>31</v>
      </c>
      <c r="C185" s="57">
        <v>45397</v>
      </c>
      <c r="D185" s="57">
        <v>45436</v>
      </c>
      <c r="E185" s="52" t="s">
        <v>863</v>
      </c>
      <c r="F185" s="52" t="s">
        <v>66</v>
      </c>
      <c r="G185" s="52" t="s">
        <v>1424</v>
      </c>
      <c r="H185" s="58">
        <v>64411039.829999998</v>
      </c>
      <c r="I185" s="58">
        <v>106803302.03</v>
      </c>
      <c r="J185" s="52" t="s">
        <v>1425</v>
      </c>
      <c r="K185" s="52" t="s">
        <v>84</v>
      </c>
      <c r="L185" s="52"/>
      <c r="M185" s="54"/>
      <c r="N185" s="54" t="s">
        <v>83</v>
      </c>
      <c r="O185" s="54"/>
      <c r="P185" s="54" t="s">
        <v>80</v>
      </c>
      <c r="Q185" s="53" t="s">
        <v>1546</v>
      </c>
      <c r="R185" s="59"/>
    </row>
    <row r="186" spans="1:18" ht="29" x14ac:dyDescent="0.35">
      <c r="A186" s="40">
        <f t="shared" si="2"/>
        <v>185</v>
      </c>
      <c r="B186" s="59" t="s">
        <v>27</v>
      </c>
      <c r="C186" s="57">
        <v>45419</v>
      </c>
      <c r="D186" s="57">
        <v>45432</v>
      </c>
      <c r="E186" s="52" t="s">
        <v>52</v>
      </c>
      <c r="F186" s="52" t="s">
        <v>43</v>
      </c>
      <c r="G186" s="54" t="s">
        <v>1394</v>
      </c>
      <c r="H186" s="58"/>
      <c r="I186" s="58">
        <v>4700000</v>
      </c>
      <c r="J186" s="52" t="s">
        <v>1395</v>
      </c>
      <c r="K186" s="52" t="s">
        <v>81</v>
      </c>
      <c r="L186" s="54"/>
      <c r="M186" s="54"/>
      <c r="N186" s="54" t="s">
        <v>83</v>
      </c>
      <c r="O186" s="54"/>
      <c r="P186" s="54" t="s">
        <v>80</v>
      </c>
      <c r="Q186" s="59" t="s">
        <v>1396</v>
      </c>
      <c r="R186" s="59"/>
    </row>
    <row r="187" spans="1:18" ht="29" x14ac:dyDescent="0.35">
      <c r="A187" s="40">
        <f t="shared" si="2"/>
        <v>186</v>
      </c>
      <c r="B187" s="59" t="s">
        <v>27</v>
      </c>
      <c r="C187" s="57">
        <v>45426</v>
      </c>
      <c r="D187" s="55">
        <v>45434</v>
      </c>
      <c r="E187" s="52" t="s">
        <v>52</v>
      </c>
      <c r="F187" s="52" t="s">
        <v>43</v>
      </c>
      <c r="G187" s="52" t="s">
        <v>1428</v>
      </c>
      <c r="H187" s="58"/>
      <c r="I187" s="58">
        <v>6500000</v>
      </c>
      <c r="J187" s="52" t="s">
        <v>1429</v>
      </c>
      <c r="K187" s="52" t="s">
        <v>81</v>
      </c>
      <c r="L187" s="54"/>
      <c r="M187" s="54"/>
      <c r="N187" s="54" t="s">
        <v>83</v>
      </c>
      <c r="O187" s="54"/>
      <c r="P187" s="54" t="s">
        <v>80</v>
      </c>
      <c r="Q187" s="59" t="s">
        <v>1396</v>
      </c>
      <c r="R187" s="59"/>
    </row>
    <row r="188" spans="1:18" ht="29" x14ac:dyDescent="0.35">
      <c r="A188" s="40">
        <f t="shared" si="2"/>
        <v>187</v>
      </c>
      <c r="B188" s="59" t="s">
        <v>29</v>
      </c>
      <c r="C188" s="57">
        <v>45426</v>
      </c>
      <c r="D188" s="57">
        <v>45433</v>
      </c>
      <c r="E188" s="52" t="s">
        <v>52</v>
      </c>
      <c r="F188" s="52" t="s">
        <v>43</v>
      </c>
      <c r="G188" s="52" t="s">
        <v>1430</v>
      </c>
      <c r="H188" s="58"/>
      <c r="I188" s="58">
        <v>56700000</v>
      </c>
      <c r="J188" s="52" t="s">
        <v>1431</v>
      </c>
      <c r="K188" s="52" t="s">
        <v>81</v>
      </c>
      <c r="L188" s="54"/>
      <c r="M188" s="54"/>
      <c r="N188" s="54" t="s">
        <v>83</v>
      </c>
      <c r="O188" s="54"/>
      <c r="P188" s="54" t="s">
        <v>80</v>
      </c>
      <c r="Q188" s="59"/>
      <c r="R188" s="59"/>
    </row>
    <row r="189" spans="1:18" ht="87" x14ac:dyDescent="0.35">
      <c r="A189" s="40">
        <f t="shared" si="2"/>
        <v>188</v>
      </c>
      <c r="B189" s="59" t="s">
        <v>27</v>
      </c>
      <c r="C189" s="57">
        <v>45420</v>
      </c>
      <c r="D189" s="57">
        <v>45436</v>
      </c>
      <c r="E189" s="52" t="s">
        <v>49</v>
      </c>
      <c r="F189" s="52" t="s">
        <v>134</v>
      </c>
      <c r="G189" s="52" t="s">
        <v>1399</v>
      </c>
      <c r="H189" s="58"/>
      <c r="I189" s="58">
        <v>32900000</v>
      </c>
      <c r="J189" s="52" t="s">
        <v>1400</v>
      </c>
      <c r="K189" s="52" t="s">
        <v>81</v>
      </c>
      <c r="L189" s="54"/>
      <c r="M189" s="54"/>
      <c r="N189" s="54" t="s">
        <v>83</v>
      </c>
      <c r="O189" s="54"/>
      <c r="P189" s="54" t="s">
        <v>80</v>
      </c>
      <c r="Q189" s="59" t="s">
        <v>1384</v>
      </c>
      <c r="R189" s="59"/>
    </row>
    <row r="190" spans="1:18" ht="58" x14ac:dyDescent="0.35">
      <c r="A190" s="40">
        <f t="shared" si="2"/>
        <v>189</v>
      </c>
      <c r="B190" s="59" t="s">
        <v>28</v>
      </c>
      <c r="C190" s="57">
        <v>45428</v>
      </c>
      <c r="D190" s="57">
        <v>45435</v>
      </c>
      <c r="E190" s="52" t="s">
        <v>124</v>
      </c>
      <c r="F190" s="52" t="s">
        <v>104</v>
      </c>
      <c r="G190" s="52" t="s">
        <v>1432</v>
      </c>
      <c r="H190" s="58"/>
      <c r="I190" s="58"/>
      <c r="J190" s="52" t="s">
        <v>1433</v>
      </c>
      <c r="K190" s="52" t="s">
        <v>85</v>
      </c>
      <c r="L190" s="52"/>
      <c r="M190" s="54"/>
      <c r="N190" s="52" t="s">
        <v>83</v>
      </c>
      <c r="O190" s="54"/>
      <c r="P190" s="54" t="s">
        <v>80</v>
      </c>
      <c r="Q190" s="59"/>
      <c r="R190" s="59"/>
    </row>
    <row r="191" spans="1:18" ht="145" x14ac:dyDescent="0.35">
      <c r="A191" s="40">
        <f t="shared" si="2"/>
        <v>190</v>
      </c>
      <c r="B191" s="59" t="s">
        <v>27</v>
      </c>
      <c r="C191" s="57">
        <v>45419</v>
      </c>
      <c r="D191" s="57">
        <v>45439</v>
      </c>
      <c r="E191" s="52" t="s">
        <v>63</v>
      </c>
      <c r="F191" s="52" t="s">
        <v>176</v>
      </c>
      <c r="G191" s="52" t="s">
        <v>1391</v>
      </c>
      <c r="H191" s="58"/>
      <c r="I191" s="58">
        <v>90365188.03199999</v>
      </c>
      <c r="J191" s="52" t="s">
        <v>1392</v>
      </c>
      <c r="K191" s="52" t="s">
        <v>79</v>
      </c>
      <c r="L191" s="54"/>
      <c r="M191" s="54"/>
      <c r="N191" s="54" t="s">
        <v>83</v>
      </c>
      <c r="O191" s="54"/>
      <c r="P191" s="54" t="s">
        <v>80</v>
      </c>
      <c r="Q191" s="59" t="s">
        <v>1393</v>
      </c>
      <c r="R191" s="59"/>
    </row>
    <row r="192" spans="1:18" ht="58" x14ac:dyDescent="0.35">
      <c r="A192" s="40">
        <f t="shared" si="2"/>
        <v>191</v>
      </c>
      <c r="B192" s="59" t="s">
        <v>28</v>
      </c>
      <c r="C192" s="57">
        <v>45421</v>
      </c>
      <c r="D192" s="57">
        <v>45440</v>
      </c>
      <c r="E192" s="52" t="s">
        <v>328</v>
      </c>
      <c r="F192" s="52" t="s">
        <v>135</v>
      </c>
      <c r="G192" s="52" t="s">
        <v>1404</v>
      </c>
      <c r="H192" s="58"/>
      <c r="I192" s="58"/>
      <c r="J192" s="52" t="s">
        <v>1405</v>
      </c>
      <c r="K192" s="52" t="s">
        <v>79</v>
      </c>
      <c r="L192" s="54"/>
      <c r="M192" s="54"/>
      <c r="N192" s="54" t="s">
        <v>83</v>
      </c>
      <c r="O192" s="54"/>
      <c r="P192" s="54" t="s">
        <v>80</v>
      </c>
      <c r="Q192" s="61" t="s">
        <v>799</v>
      </c>
      <c r="R192" s="59"/>
    </row>
    <row r="193" spans="1:18" ht="87" x14ac:dyDescent="0.35">
      <c r="A193" s="40">
        <f t="shared" si="2"/>
        <v>192</v>
      </c>
      <c r="B193" s="59" t="s">
        <v>29</v>
      </c>
      <c r="C193" s="57">
        <v>45407</v>
      </c>
      <c r="D193" s="57">
        <v>45434</v>
      </c>
      <c r="E193" s="52" t="s">
        <v>88</v>
      </c>
      <c r="F193" s="52" t="s">
        <v>43</v>
      </c>
      <c r="G193" s="52" t="s">
        <v>1375</v>
      </c>
      <c r="H193" s="58"/>
      <c r="I193" s="58">
        <v>94100000</v>
      </c>
      <c r="J193" s="52" t="s">
        <v>1426</v>
      </c>
      <c r="K193" s="52" t="s">
        <v>79</v>
      </c>
      <c r="L193" s="54"/>
      <c r="M193" s="54"/>
      <c r="N193" s="54" t="s">
        <v>83</v>
      </c>
      <c r="O193" s="54"/>
      <c r="P193" s="54" t="s">
        <v>80</v>
      </c>
      <c r="Q193" s="59" t="s">
        <v>1376</v>
      </c>
      <c r="R193" s="59"/>
    </row>
    <row r="194" spans="1:18" ht="29" x14ac:dyDescent="0.35">
      <c r="A194" s="40">
        <f t="shared" ref="A194:A257" si="3">ROW()-1</f>
        <v>193</v>
      </c>
      <c r="B194" s="59" t="s">
        <v>27</v>
      </c>
      <c r="C194" s="57">
        <v>45415</v>
      </c>
      <c r="D194" s="57">
        <v>45425</v>
      </c>
      <c r="E194" s="52" t="s">
        <v>52</v>
      </c>
      <c r="F194" s="52" t="s">
        <v>43</v>
      </c>
      <c r="G194" s="52" t="s">
        <v>1379</v>
      </c>
      <c r="H194" s="58"/>
      <c r="I194" s="58">
        <v>1100000</v>
      </c>
      <c r="J194" s="52" t="s">
        <v>1380</v>
      </c>
      <c r="K194" s="52" t="s">
        <v>81</v>
      </c>
      <c r="L194" s="54"/>
      <c r="M194" s="54"/>
      <c r="N194" s="54" t="s">
        <v>83</v>
      </c>
      <c r="O194" s="54"/>
      <c r="P194" s="54" t="s">
        <v>80</v>
      </c>
      <c r="Q194" s="53"/>
      <c r="R194" s="59"/>
    </row>
    <row r="195" spans="1:18" ht="58" x14ac:dyDescent="0.35">
      <c r="A195" s="40">
        <f t="shared" si="3"/>
        <v>194</v>
      </c>
      <c r="B195" s="59" t="s">
        <v>28</v>
      </c>
      <c r="C195" s="57">
        <v>45418</v>
      </c>
      <c r="D195" s="57">
        <v>45425</v>
      </c>
      <c r="E195" s="52" t="s">
        <v>328</v>
      </c>
      <c r="F195" s="52" t="s">
        <v>135</v>
      </c>
      <c r="G195" s="52" t="s">
        <v>1389</v>
      </c>
      <c r="H195" s="58"/>
      <c r="I195" s="58"/>
      <c r="J195" s="52" t="s">
        <v>1390</v>
      </c>
      <c r="K195" s="52" t="s">
        <v>79</v>
      </c>
      <c r="L195" s="54"/>
      <c r="M195" s="54"/>
      <c r="N195" s="54" t="s">
        <v>83</v>
      </c>
      <c r="O195" s="54"/>
      <c r="P195" s="54" t="s">
        <v>80</v>
      </c>
      <c r="Q195" s="59" t="s">
        <v>1347</v>
      </c>
      <c r="R195" s="59"/>
    </row>
    <row r="196" spans="1:18" ht="409.5" x14ac:dyDescent="0.35">
      <c r="A196" s="40">
        <f t="shared" si="3"/>
        <v>195</v>
      </c>
      <c r="B196" s="59" t="s">
        <v>31</v>
      </c>
      <c r="C196" s="57">
        <v>45407</v>
      </c>
      <c r="D196" s="57">
        <v>45426</v>
      </c>
      <c r="E196" s="52" t="s">
        <v>49</v>
      </c>
      <c r="F196" s="52" t="s">
        <v>1363</v>
      </c>
      <c r="G196" s="52" t="s">
        <v>1364</v>
      </c>
      <c r="H196" s="58">
        <v>18086244.584745765</v>
      </c>
      <c r="I196" s="58">
        <v>26460076.847457629</v>
      </c>
      <c r="J196" s="52" t="s">
        <v>1365</v>
      </c>
      <c r="K196" s="52" t="s">
        <v>81</v>
      </c>
      <c r="L196" s="54"/>
      <c r="M196" s="54"/>
      <c r="N196" s="54" t="s">
        <v>83</v>
      </c>
      <c r="O196" s="54"/>
      <c r="P196" s="54" t="s">
        <v>80</v>
      </c>
      <c r="Q196" s="59" t="s">
        <v>1462</v>
      </c>
      <c r="R196" s="59"/>
    </row>
    <row r="197" spans="1:18" ht="58" x14ac:dyDescent="0.35">
      <c r="A197" s="40">
        <f t="shared" si="3"/>
        <v>196</v>
      </c>
      <c r="B197" s="59" t="s">
        <v>28</v>
      </c>
      <c r="C197" s="57">
        <v>45421</v>
      </c>
      <c r="D197" s="57">
        <v>45424</v>
      </c>
      <c r="E197" s="52" t="s">
        <v>1417</v>
      </c>
      <c r="F197" s="52" t="s">
        <v>1418</v>
      </c>
      <c r="G197" s="52">
        <v>1000155082</v>
      </c>
      <c r="H197" s="58"/>
      <c r="I197" s="58"/>
      <c r="J197" s="52" t="s">
        <v>1419</v>
      </c>
      <c r="K197" s="52" t="s">
        <v>79</v>
      </c>
      <c r="L197" s="54"/>
      <c r="M197" s="54"/>
      <c r="N197" s="54" t="s">
        <v>83</v>
      </c>
      <c r="O197" s="54"/>
      <c r="P197" s="54" t="s">
        <v>80</v>
      </c>
      <c r="Q197" s="59"/>
      <c r="R197" s="59"/>
    </row>
    <row r="198" spans="1:18" ht="58" x14ac:dyDescent="0.35">
      <c r="A198" s="40">
        <f t="shared" si="3"/>
        <v>197</v>
      </c>
      <c r="B198" s="59" t="s">
        <v>27</v>
      </c>
      <c r="C198" s="42">
        <v>45421</v>
      </c>
      <c r="D198" s="57">
        <v>45426</v>
      </c>
      <c r="E198" s="52" t="s">
        <v>1417</v>
      </c>
      <c r="F198" s="52" t="s">
        <v>1418</v>
      </c>
      <c r="G198" s="52">
        <v>1000156641</v>
      </c>
      <c r="H198" s="58"/>
      <c r="I198" s="58">
        <v>3600000</v>
      </c>
      <c r="J198" s="52" t="s">
        <v>1420</v>
      </c>
      <c r="K198" s="52" t="s">
        <v>79</v>
      </c>
      <c r="L198" s="52"/>
      <c r="M198" s="43"/>
      <c r="N198" s="43" t="s">
        <v>83</v>
      </c>
      <c r="O198" s="43"/>
      <c r="P198" s="43" t="s">
        <v>80</v>
      </c>
      <c r="Q198" s="53"/>
      <c r="R198" s="41"/>
    </row>
    <row r="199" spans="1:18" ht="58" x14ac:dyDescent="0.35">
      <c r="A199" s="40">
        <f t="shared" si="3"/>
        <v>198</v>
      </c>
      <c r="B199" s="59" t="s">
        <v>28</v>
      </c>
      <c r="C199" s="57">
        <v>45421</v>
      </c>
      <c r="D199" s="55">
        <v>45427</v>
      </c>
      <c r="E199" s="52" t="s">
        <v>140</v>
      </c>
      <c r="F199" s="52" t="s">
        <v>1415</v>
      </c>
      <c r="G199" s="52">
        <v>4256</v>
      </c>
      <c r="H199" s="58"/>
      <c r="I199" s="58"/>
      <c r="J199" s="52" t="s">
        <v>1421</v>
      </c>
      <c r="K199" s="52" t="s">
        <v>79</v>
      </c>
      <c r="L199" s="54"/>
      <c r="M199" s="54"/>
      <c r="N199" s="54" t="s">
        <v>83</v>
      </c>
      <c r="O199" s="54"/>
      <c r="P199" s="54" t="s">
        <v>80</v>
      </c>
      <c r="Q199" s="59" t="s">
        <v>1436</v>
      </c>
      <c r="R199" s="59"/>
    </row>
    <row r="200" spans="1:18" ht="362.5" x14ac:dyDescent="0.35">
      <c r="A200" s="40">
        <f t="shared" si="3"/>
        <v>199</v>
      </c>
      <c r="B200" s="59" t="s">
        <v>31</v>
      </c>
      <c r="C200" s="57">
        <v>45407</v>
      </c>
      <c r="D200" s="57">
        <v>45429</v>
      </c>
      <c r="E200" s="52" t="s">
        <v>88</v>
      </c>
      <c r="F200" s="52" t="s">
        <v>43</v>
      </c>
      <c r="G200" s="52" t="s">
        <v>1373</v>
      </c>
      <c r="H200" s="58">
        <v>8605200</v>
      </c>
      <c r="I200" s="58">
        <v>10572542.640000001</v>
      </c>
      <c r="J200" s="52" t="s">
        <v>1374</v>
      </c>
      <c r="K200" s="52" t="s">
        <v>79</v>
      </c>
      <c r="L200" s="52"/>
      <c r="M200" s="54"/>
      <c r="N200" s="54" t="s">
        <v>83</v>
      </c>
      <c r="O200" s="54"/>
      <c r="P200" s="54" t="s">
        <v>80</v>
      </c>
      <c r="Q200" s="52" t="s">
        <v>1475</v>
      </c>
      <c r="R200" s="59"/>
    </row>
    <row r="201" spans="1:18" ht="58" x14ac:dyDescent="0.35">
      <c r="A201" s="40">
        <f t="shared" si="3"/>
        <v>200</v>
      </c>
      <c r="B201" s="59" t="s">
        <v>29</v>
      </c>
      <c r="C201" s="57">
        <v>45421</v>
      </c>
      <c r="D201" s="57">
        <v>45429</v>
      </c>
      <c r="E201" s="52" t="s">
        <v>140</v>
      </c>
      <c r="F201" s="52" t="s">
        <v>1415</v>
      </c>
      <c r="G201" s="52" t="s">
        <v>1427</v>
      </c>
      <c r="H201" s="58">
        <v>25504786</v>
      </c>
      <c r="I201" s="58">
        <v>29300000</v>
      </c>
      <c r="J201" s="52" t="s">
        <v>1416</v>
      </c>
      <c r="K201" s="52" t="s">
        <v>79</v>
      </c>
      <c r="L201" s="52"/>
      <c r="M201" s="54"/>
      <c r="N201" s="54" t="s">
        <v>83</v>
      </c>
      <c r="O201" s="54"/>
      <c r="P201" s="54" t="s">
        <v>80</v>
      </c>
      <c r="Q201" s="59"/>
      <c r="R201" s="59"/>
    </row>
    <row r="202" spans="1:18" ht="174" x14ac:dyDescent="0.35">
      <c r="A202" s="40">
        <f t="shared" si="3"/>
        <v>201</v>
      </c>
      <c r="B202" s="59" t="s">
        <v>29</v>
      </c>
      <c r="C202" s="57">
        <v>45418</v>
      </c>
      <c r="D202" s="57">
        <v>45418</v>
      </c>
      <c r="E202" s="52" t="s">
        <v>1411</v>
      </c>
      <c r="F202" s="52" t="s">
        <v>1412</v>
      </c>
      <c r="G202" s="52" t="s">
        <v>1413</v>
      </c>
      <c r="H202" s="58"/>
      <c r="I202" s="58"/>
      <c r="J202" s="52" t="s">
        <v>1414</v>
      </c>
      <c r="K202" s="52" t="s">
        <v>81</v>
      </c>
      <c r="L202" s="54"/>
      <c r="M202" s="54"/>
      <c r="N202" s="54" t="s">
        <v>83</v>
      </c>
      <c r="O202" s="54"/>
      <c r="P202" s="54" t="s">
        <v>80</v>
      </c>
      <c r="Q202" s="59"/>
      <c r="R202" s="59"/>
    </row>
    <row r="203" spans="1:18" ht="72.5" x14ac:dyDescent="0.35">
      <c r="A203" s="40">
        <f t="shared" si="3"/>
        <v>202</v>
      </c>
      <c r="B203" s="59" t="s">
        <v>28</v>
      </c>
      <c r="C203" s="57">
        <v>45399</v>
      </c>
      <c r="D203" s="57">
        <v>45418</v>
      </c>
      <c r="E203" s="52" t="s">
        <v>49</v>
      </c>
      <c r="F203" s="52" t="s">
        <v>134</v>
      </c>
      <c r="G203" s="52" t="s">
        <v>1345</v>
      </c>
      <c r="H203" s="58"/>
      <c r="I203" s="56"/>
      <c r="J203" s="52" t="s">
        <v>1346</v>
      </c>
      <c r="K203" s="52" t="s">
        <v>81</v>
      </c>
      <c r="L203" s="54"/>
      <c r="M203" s="54"/>
      <c r="N203" s="54"/>
      <c r="O203" s="54"/>
      <c r="P203" s="54"/>
      <c r="Q203" s="59" t="s">
        <v>1410</v>
      </c>
      <c r="R203" s="59"/>
    </row>
    <row r="204" spans="1:18" ht="72.5" x14ac:dyDescent="0.35">
      <c r="A204" s="40">
        <f t="shared" si="3"/>
        <v>203</v>
      </c>
      <c r="B204" s="59" t="s">
        <v>28</v>
      </c>
      <c r="C204" s="57">
        <v>45397</v>
      </c>
      <c r="D204" s="57">
        <v>45418</v>
      </c>
      <c r="E204" s="52" t="s">
        <v>863</v>
      </c>
      <c r="F204" s="52" t="s">
        <v>66</v>
      </c>
      <c r="G204" s="52" t="s">
        <v>1340</v>
      </c>
      <c r="H204" s="58"/>
      <c r="I204" s="58"/>
      <c r="J204" s="52" t="s">
        <v>1341</v>
      </c>
      <c r="K204" s="52" t="s">
        <v>84</v>
      </c>
      <c r="L204" s="52"/>
      <c r="M204" s="54"/>
      <c r="N204" s="54" t="s">
        <v>83</v>
      </c>
      <c r="O204" s="54"/>
      <c r="P204" s="54" t="s">
        <v>80</v>
      </c>
      <c r="Q204" s="59" t="s">
        <v>1347</v>
      </c>
      <c r="R204" s="59"/>
    </row>
    <row r="205" spans="1:18" ht="101.5" x14ac:dyDescent="0.35">
      <c r="A205" s="40">
        <f t="shared" si="3"/>
        <v>204</v>
      </c>
      <c r="B205" s="59" t="s">
        <v>28</v>
      </c>
      <c r="C205" s="57">
        <v>45406</v>
      </c>
      <c r="D205" s="57">
        <v>45418</v>
      </c>
      <c r="E205" s="52" t="s">
        <v>1044</v>
      </c>
      <c r="F205" s="52" t="s">
        <v>43</v>
      </c>
      <c r="G205" s="52" t="s">
        <v>1360</v>
      </c>
      <c r="H205" s="58"/>
      <c r="I205" s="58"/>
      <c r="J205" s="52" t="s">
        <v>1361</v>
      </c>
      <c r="K205" s="52" t="s">
        <v>79</v>
      </c>
      <c r="L205" s="54"/>
      <c r="M205" s="54"/>
      <c r="N205" s="54" t="s">
        <v>83</v>
      </c>
      <c r="O205" s="54"/>
      <c r="P205" s="54" t="s">
        <v>80</v>
      </c>
      <c r="Q205" s="59" t="s">
        <v>1347</v>
      </c>
      <c r="R205" s="59"/>
    </row>
    <row r="206" spans="1:18" ht="87" x14ac:dyDescent="0.35">
      <c r="A206" s="40">
        <f t="shared" si="3"/>
        <v>205</v>
      </c>
      <c r="B206" s="59" t="s">
        <v>27</v>
      </c>
      <c r="C206" s="57">
        <v>45407</v>
      </c>
      <c r="D206" s="57">
        <v>45411</v>
      </c>
      <c r="E206" s="52" t="s">
        <v>1366</v>
      </c>
      <c r="F206" s="54" t="s">
        <v>43</v>
      </c>
      <c r="G206" s="52" t="s">
        <v>1369</v>
      </c>
      <c r="H206" s="58"/>
      <c r="I206" s="58">
        <v>23842500</v>
      </c>
      <c r="J206" s="52" t="s">
        <v>1370</v>
      </c>
      <c r="K206" s="52" t="s">
        <v>79</v>
      </c>
      <c r="L206" s="54"/>
      <c r="M206" s="54"/>
      <c r="N206" s="54" t="s">
        <v>83</v>
      </c>
      <c r="O206" s="54"/>
      <c r="P206" s="54" t="s">
        <v>80</v>
      </c>
      <c r="Q206" s="59"/>
      <c r="R206" s="59"/>
    </row>
    <row r="207" spans="1:18" ht="72.5" x14ac:dyDescent="0.35">
      <c r="A207" s="40">
        <f t="shared" si="3"/>
        <v>206</v>
      </c>
      <c r="B207" s="59" t="s">
        <v>27</v>
      </c>
      <c r="C207" s="57">
        <v>45407</v>
      </c>
      <c r="D207" s="57">
        <v>45411</v>
      </c>
      <c r="E207" s="52" t="s">
        <v>1366</v>
      </c>
      <c r="F207" s="52" t="s">
        <v>532</v>
      </c>
      <c r="G207" s="52" t="s">
        <v>1371</v>
      </c>
      <c r="H207" s="58"/>
      <c r="I207" s="58">
        <v>61726500</v>
      </c>
      <c r="J207" s="52" t="s">
        <v>1372</v>
      </c>
      <c r="K207" s="52" t="s">
        <v>79</v>
      </c>
      <c r="L207" s="54"/>
      <c r="M207" s="54"/>
      <c r="N207" s="54" t="s">
        <v>83</v>
      </c>
      <c r="O207" s="54"/>
      <c r="P207" s="54" t="s">
        <v>80</v>
      </c>
      <c r="Q207" s="59"/>
      <c r="R207" s="59"/>
    </row>
    <row r="208" spans="1:18" ht="43.5" x14ac:dyDescent="0.35">
      <c r="A208" s="40">
        <f t="shared" si="3"/>
        <v>207</v>
      </c>
      <c r="B208" s="59" t="s">
        <v>27</v>
      </c>
      <c r="C208" s="57">
        <v>45415</v>
      </c>
      <c r="D208" s="57">
        <v>45419</v>
      </c>
      <c r="E208" s="52" t="s">
        <v>52</v>
      </c>
      <c r="F208" s="52" t="s">
        <v>43</v>
      </c>
      <c r="G208" s="52" t="s">
        <v>1377</v>
      </c>
      <c r="H208" s="58"/>
      <c r="I208" s="58">
        <v>7200000</v>
      </c>
      <c r="J208" s="52" t="s">
        <v>1378</v>
      </c>
      <c r="K208" s="52" t="s">
        <v>81</v>
      </c>
      <c r="L208" s="54"/>
      <c r="M208" s="54"/>
      <c r="N208" s="54" t="s">
        <v>83</v>
      </c>
      <c r="O208" s="54"/>
      <c r="P208" s="54" t="s">
        <v>80</v>
      </c>
      <c r="Q208" s="59"/>
      <c r="R208" s="59"/>
    </row>
    <row r="209" spans="1:18" ht="116" x14ac:dyDescent="0.35">
      <c r="A209" s="40">
        <f t="shared" si="3"/>
        <v>208</v>
      </c>
      <c r="B209" s="59" t="s">
        <v>28</v>
      </c>
      <c r="C209" s="57">
        <v>45404</v>
      </c>
      <c r="D209" s="57">
        <v>45422</v>
      </c>
      <c r="E209" s="52" t="s">
        <v>151</v>
      </c>
      <c r="F209" s="52" t="s">
        <v>130</v>
      </c>
      <c r="G209" s="52" t="s">
        <v>1351</v>
      </c>
      <c r="H209" s="58"/>
      <c r="I209" s="58"/>
      <c r="J209" s="52" t="s">
        <v>1352</v>
      </c>
      <c r="K209" s="52" t="s">
        <v>82</v>
      </c>
      <c r="L209" s="52"/>
      <c r="M209" s="54"/>
      <c r="N209" s="54" t="s">
        <v>83</v>
      </c>
      <c r="O209" s="54"/>
      <c r="P209" s="54" t="s">
        <v>80</v>
      </c>
      <c r="Q209" s="59" t="s">
        <v>1347</v>
      </c>
      <c r="R209" s="59"/>
    </row>
    <row r="210" spans="1:18" ht="116" x14ac:dyDescent="0.35">
      <c r="A210" s="40">
        <f t="shared" si="3"/>
        <v>209</v>
      </c>
      <c r="B210" s="59" t="s">
        <v>27</v>
      </c>
      <c r="C210" s="57">
        <v>45405</v>
      </c>
      <c r="D210" s="57">
        <v>45422</v>
      </c>
      <c r="E210" s="52" t="s">
        <v>1357</v>
      </c>
      <c r="F210" s="52" t="s">
        <v>629</v>
      </c>
      <c r="G210" s="52" t="s">
        <v>1358</v>
      </c>
      <c r="H210" s="58"/>
      <c r="I210" s="58">
        <v>8600000</v>
      </c>
      <c r="J210" s="52" t="s">
        <v>1359</v>
      </c>
      <c r="K210" s="52" t="s">
        <v>82</v>
      </c>
      <c r="L210" s="54"/>
      <c r="M210" s="54"/>
      <c r="N210" s="54" t="s">
        <v>83</v>
      </c>
      <c r="O210" s="54"/>
      <c r="P210" s="54" t="s">
        <v>80</v>
      </c>
      <c r="Q210" s="59"/>
      <c r="R210" s="59"/>
    </row>
    <row r="211" spans="1:18" ht="72.5" x14ac:dyDescent="0.35">
      <c r="A211" s="40">
        <f t="shared" si="3"/>
        <v>210</v>
      </c>
      <c r="B211" s="59" t="s">
        <v>28</v>
      </c>
      <c r="C211" s="57">
        <v>45415</v>
      </c>
      <c r="D211" s="57">
        <v>45423</v>
      </c>
      <c r="E211" s="52" t="s">
        <v>88</v>
      </c>
      <c r="F211" s="52" t="s">
        <v>116</v>
      </c>
      <c r="G211" s="52" t="s">
        <v>1385</v>
      </c>
      <c r="H211" s="58"/>
      <c r="I211" s="58"/>
      <c r="J211" s="52" t="s">
        <v>1386</v>
      </c>
      <c r="K211" s="52" t="s">
        <v>79</v>
      </c>
      <c r="L211" s="54"/>
      <c r="M211" s="54"/>
      <c r="N211" s="54" t="s">
        <v>83</v>
      </c>
      <c r="O211" s="54"/>
      <c r="P211" s="54" t="s">
        <v>80</v>
      </c>
      <c r="Q211" s="59"/>
      <c r="R211" s="59"/>
    </row>
    <row r="212" spans="1:18" ht="101.5" x14ac:dyDescent="0.35">
      <c r="A212" s="40">
        <f t="shared" si="3"/>
        <v>211</v>
      </c>
      <c r="B212" s="59" t="s">
        <v>27</v>
      </c>
      <c r="C212" s="57">
        <v>45416</v>
      </c>
      <c r="D212" s="57">
        <v>45422</v>
      </c>
      <c r="E212" s="52" t="s">
        <v>770</v>
      </c>
      <c r="F212" s="52" t="s">
        <v>55</v>
      </c>
      <c r="G212" s="52" t="s">
        <v>1387</v>
      </c>
      <c r="H212" s="58"/>
      <c r="I212" s="58">
        <v>1890000</v>
      </c>
      <c r="J212" s="52" t="s">
        <v>1388</v>
      </c>
      <c r="K212" s="52" t="s">
        <v>147</v>
      </c>
      <c r="L212" s="54"/>
      <c r="M212" s="54"/>
      <c r="N212" s="54" t="s">
        <v>83</v>
      </c>
      <c r="O212" s="54"/>
      <c r="P212" s="54" t="s">
        <v>80</v>
      </c>
      <c r="Q212" s="53"/>
      <c r="R212" s="59"/>
    </row>
    <row r="213" spans="1:18" ht="116" x14ac:dyDescent="0.35">
      <c r="A213" s="40">
        <f t="shared" si="3"/>
        <v>212</v>
      </c>
      <c r="B213" s="59" t="s">
        <v>28</v>
      </c>
      <c r="C213" s="57">
        <v>45419</v>
      </c>
      <c r="D213" s="55">
        <v>45422</v>
      </c>
      <c r="E213" s="52" t="s">
        <v>450</v>
      </c>
      <c r="F213" s="52" t="s">
        <v>629</v>
      </c>
      <c r="G213" s="54" t="s">
        <v>1397</v>
      </c>
      <c r="H213" s="58"/>
      <c r="I213" s="58"/>
      <c r="J213" s="52" t="s">
        <v>1398</v>
      </c>
      <c r="K213" s="52" t="s">
        <v>82</v>
      </c>
      <c r="L213" s="54"/>
      <c r="M213" s="54"/>
      <c r="N213" s="54" t="s">
        <v>83</v>
      </c>
      <c r="O213" s="54"/>
      <c r="P213" s="54" t="s">
        <v>80</v>
      </c>
      <c r="Q213" s="53"/>
      <c r="R213" s="59"/>
    </row>
    <row r="214" spans="1:18" ht="304.5" x14ac:dyDescent="0.35">
      <c r="A214" s="40">
        <f t="shared" si="3"/>
        <v>213</v>
      </c>
      <c r="B214" s="59" t="s">
        <v>31</v>
      </c>
      <c r="C214" s="57">
        <v>45402</v>
      </c>
      <c r="D214" s="57">
        <v>45425</v>
      </c>
      <c r="E214" s="52" t="s">
        <v>73</v>
      </c>
      <c r="F214" s="52" t="s">
        <v>1349</v>
      </c>
      <c r="G214" s="52" t="s">
        <v>1350</v>
      </c>
      <c r="H214" s="58">
        <v>182461975.13999999</v>
      </c>
      <c r="I214" s="58">
        <v>185074208.95788461</v>
      </c>
      <c r="J214" s="52" t="s">
        <v>1249</v>
      </c>
      <c r="K214" s="52" t="s">
        <v>79</v>
      </c>
      <c r="L214" s="52"/>
      <c r="M214" s="59"/>
      <c r="N214" s="52" t="s">
        <v>83</v>
      </c>
      <c r="O214" s="59"/>
      <c r="P214" s="54" t="s">
        <v>80</v>
      </c>
      <c r="Q214" s="59" t="s">
        <v>1476</v>
      </c>
      <c r="R214" s="59"/>
    </row>
    <row r="215" spans="1:18" ht="43.5" x14ac:dyDescent="0.35">
      <c r="A215" s="40">
        <f t="shared" si="3"/>
        <v>214</v>
      </c>
      <c r="B215" s="59" t="s">
        <v>28</v>
      </c>
      <c r="C215" s="57">
        <v>45404</v>
      </c>
      <c r="D215" s="57">
        <v>45425</v>
      </c>
      <c r="E215" s="52" t="s">
        <v>292</v>
      </c>
      <c r="F215" s="52" t="s">
        <v>132</v>
      </c>
      <c r="G215" s="52" t="s">
        <v>1353</v>
      </c>
      <c r="H215" s="58"/>
      <c r="I215" s="58"/>
      <c r="J215" s="52" t="s">
        <v>1354</v>
      </c>
      <c r="K215" s="52" t="s">
        <v>85</v>
      </c>
      <c r="L215" s="54"/>
      <c r="M215" s="54"/>
      <c r="N215" s="54" t="s">
        <v>83</v>
      </c>
      <c r="O215" s="54"/>
      <c r="P215" s="54" t="s">
        <v>80</v>
      </c>
      <c r="Q215" s="53" t="s">
        <v>1355</v>
      </c>
      <c r="R215" s="59"/>
    </row>
    <row r="216" spans="1:18" ht="116" x14ac:dyDescent="0.35">
      <c r="A216" s="40">
        <f t="shared" si="3"/>
        <v>215</v>
      </c>
      <c r="B216" s="59" t="s">
        <v>28</v>
      </c>
      <c r="C216" s="57">
        <v>45415</v>
      </c>
      <c r="D216" s="57">
        <v>45425</v>
      </c>
      <c r="E216" s="52" t="s">
        <v>1381</v>
      </c>
      <c r="F216" s="54" t="s">
        <v>68</v>
      </c>
      <c r="G216" s="52" t="s">
        <v>1382</v>
      </c>
      <c r="H216" s="58"/>
      <c r="I216" s="58"/>
      <c r="J216" s="52" t="s">
        <v>1383</v>
      </c>
      <c r="K216" s="54" t="s">
        <v>82</v>
      </c>
      <c r="L216" s="54"/>
      <c r="M216" s="54"/>
      <c r="N216" s="54" t="s">
        <v>83</v>
      </c>
      <c r="O216" s="54"/>
      <c r="P216" s="54" t="s">
        <v>80</v>
      </c>
      <c r="Q216" s="59" t="s">
        <v>1347</v>
      </c>
      <c r="R216" s="59"/>
    </row>
    <row r="217" spans="1:18" ht="72.5" x14ac:dyDescent="0.35">
      <c r="A217" s="40">
        <f t="shared" si="3"/>
        <v>216</v>
      </c>
      <c r="B217" s="59" t="s">
        <v>28</v>
      </c>
      <c r="C217" s="57">
        <v>45394</v>
      </c>
      <c r="D217" s="55">
        <v>45413</v>
      </c>
      <c r="E217" s="52" t="s">
        <v>88</v>
      </c>
      <c r="F217" s="52" t="s">
        <v>116</v>
      </c>
      <c r="G217" s="52" t="s">
        <v>1338</v>
      </c>
      <c r="H217" s="58"/>
      <c r="I217" s="58"/>
      <c r="J217" s="52" t="s">
        <v>1339</v>
      </c>
      <c r="K217" s="54" t="s">
        <v>79</v>
      </c>
      <c r="L217" s="52"/>
      <c r="M217" s="54"/>
      <c r="N217" s="54" t="s">
        <v>83</v>
      </c>
      <c r="O217" s="54"/>
      <c r="P217" s="54" t="s">
        <v>80</v>
      </c>
      <c r="Q217" s="59"/>
      <c r="R217" s="59"/>
    </row>
    <row r="218" spans="1:18" ht="58" x14ac:dyDescent="0.35">
      <c r="A218" s="40">
        <f t="shared" si="3"/>
        <v>217</v>
      </c>
      <c r="B218" s="59" t="s">
        <v>27</v>
      </c>
      <c r="C218" s="57">
        <v>45404</v>
      </c>
      <c r="D218" s="57">
        <v>45414</v>
      </c>
      <c r="E218" s="52" t="s">
        <v>1291</v>
      </c>
      <c r="F218" s="52" t="s">
        <v>68</v>
      </c>
      <c r="G218" s="52" t="s">
        <v>1356</v>
      </c>
      <c r="H218" s="58"/>
      <c r="I218" s="58">
        <v>101700000</v>
      </c>
      <c r="J218" s="52" t="s">
        <v>1293</v>
      </c>
      <c r="K218" s="52" t="s">
        <v>82</v>
      </c>
      <c r="L218" s="54"/>
      <c r="M218" s="54"/>
      <c r="N218" s="54" t="s">
        <v>83</v>
      </c>
      <c r="O218" s="54"/>
      <c r="P218" s="54" t="s">
        <v>80</v>
      </c>
      <c r="Q218" s="59" t="s">
        <v>1342</v>
      </c>
      <c r="R218" s="59"/>
    </row>
    <row r="219" spans="1:18" ht="101.5" x14ac:dyDescent="0.35">
      <c r="A219" s="40">
        <f t="shared" si="3"/>
        <v>218</v>
      </c>
      <c r="B219" s="59" t="s">
        <v>27</v>
      </c>
      <c r="C219" s="57">
        <v>45406</v>
      </c>
      <c r="D219" s="57">
        <v>45415</v>
      </c>
      <c r="E219" s="52" t="s">
        <v>770</v>
      </c>
      <c r="F219" s="52" t="s">
        <v>55</v>
      </c>
      <c r="G219" s="52">
        <v>7130007522</v>
      </c>
      <c r="H219" s="58"/>
      <c r="I219" s="58">
        <v>11600000</v>
      </c>
      <c r="J219" s="52" t="s">
        <v>1362</v>
      </c>
      <c r="K219" s="52" t="s">
        <v>147</v>
      </c>
      <c r="L219" s="54"/>
      <c r="M219" s="54"/>
      <c r="N219" s="54" t="s">
        <v>83</v>
      </c>
      <c r="O219" s="54"/>
      <c r="P219" s="54" t="s">
        <v>80</v>
      </c>
      <c r="Q219" s="59"/>
      <c r="R219" s="59"/>
    </row>
    <row r="220" spans="1:18" ht="72.5" x14ac:dyDescent="0.35">
      <c r="A220" s="40">
        <f t="shared" si="3"/>
        <v>219</v>
      </c>
      <c r="B220" s="59" t="s">
        <v>28</v>
      </c>
      <c r="C220" s="57">
        <v>45407</v>
      </c>
      <c r="D220" s="57">
        <v>45411</v>
      </c>
      <c r="E220" s="52" t="s">
        <v>1366</v>
      </c>
      <c r="F220" s="52" t="s">
        <v>532</v>
      </c>
      <c r="G220" s="52" t="s">
        <v>1367</v>
      </c>
      <c r="H220" s="58"/>
      <c r="I220" s="58"/>
      <c r="J220" s="52" t="s">
        <v>1368</v>
      </c>
      <c r="K220" s="52" t="s">
        <v>79</v>
      </c>
      <c r="L220" s="54"/>
      <c r="M220" s="54"/>
      <c r="N220" s="54" t="s">
        <v>83</v>
      </c>
      <c r="O220" s="54"/>
      <c r="P220" s="54" t="s">
        <v>80</v>
      </c>
      <c r="Q220" s="59"/>
      <c r="R220" s="59"/>
    </row>
    <row r="221" spans="1:18" ht="87" x14ac:dyDescent="0.35">
      <c r="A221" s="40">
        <f t="shared" si="3"/>
        <v>220</v>
      </c>
      <c r="B221" s="59" t="s">
        <v>28</v>
      </c>
      <c r="C221" s="57">
        <v>45386</v>
      </c>
      <c r="D221" s="57">
        <v>45405</v>
      </c>
      <c r="E221" s="52" t="s">
        <v>49</v>
      </c>
      <c r="F221" s="52" t="s">
        <v>55</v>
      </c>
      <c r="G221" s="52" t="s">
        <v>1407</v>
      </c>
      <c r="H221" s="58"/>
      <c r="I221" s="58"/>
      <c r="J221" s="52" t="s">
        <v>1408</v>
      </c>
      <c r="K221" s="52" t="s">
        <v>81</v>
      </c>
      <c r="L221" s="54"/>
      <c r="M221" s="54"/>
      <c r="N221" s="54" t="s">
        <v>83</v>
      </c>
      <c r="O221" s="54"/>
      <c r="P221" s="54" t="s">
        <v>80</v>
      </c>
      <c r="Q221" s="59" t="s">
        <v>1409</v>
      </c>
      <c r="R221" s="59"/>
    </row>
    <row r="222" spans="1:18" ht="101.5" x14ac:dyDescent="0.35">
      <c r="A222" s="40">
        <f t="shared" si="3"/>
        <v>221</v>
      </c>
      <c r="B222" s="59" t="s">
        <v>28</v>
      </c>
      <c r="C222" s="57">
        <v>45388</v>
      </c>
      <c r="D222" s="57">
        <v>45395</v>
      </c>
      <c r="E222" s="52" t="s">
        <v>49</v>
      </c>
      <c r="F222" s="52" t="s">
        <v>134</v>
      </c>
      <c r="G222" s="52" t="s">
        <v>1325</v>
      </c>
      <c r="H222" s="58"/>
      <c r="I222" s="58"/>
      <c r="J222" s="52" t="s">
        <v>1326</v>
      </c>
      <c r="K222" s="52" t="s">
        <v>81</v>
      </c>
      <c r="L222" s="52"/>
      <c r="M222" s="54"/>
      <c r="N222" s="52" t="s">
        <v>83</v>
      </c>
      <c r="O222" s="54"/>
      <c r="P222" s="54" t="s">
        <v>80</v>
      </c>
      <c r="Q222" s="53"/>
      <c r="R222" s="59"/>
    </row>
    <row r="223" spans="1:18" ht="188.5" x14ac:dyDescent="0.35">
      <c r="A223" s="40">
        <f t="shared" si="3"/>
        <v>222</v>
      </c>
      <c r="B223" s="59" t="s">
        <v>28</v>
      </c>
      <c r="C223" s="57">
        <v>45384</v>
      </c>
      <c r="D223" s="55">
        <v>45399</v>
      </c>
      <c r="E223" s="52" t="s">
        <v>49</v>
      </c>
      <c r="F223" s="52" t="s">
        <v>1313</v>
      </c>
      <c r="G223" s="52" t="s">
        <v>1314</v>
      </c>
      <c r="H223" s="58"/>
      <c r="I223" s="58"/>
      <c r="J223" s="52" t="s">
        <v>1315</v>
      </c>
      <c r="K223" s="52" t="s">
        <v>82</v>
      </c>
      <c r="L223" s="54"/>
      <c r="M223" s="54"/>
      <c r="N223" s="54" t="s">
        <v>83</v>
      </c>
      <c r="O223" s="54"/>
      <c r="P223" s="54" t="s">
        <v>80</v>
      </c>
      <c r="Q223" s="59" t="s">
        <v>1406</v>
      </c>
      <c r="R223" s="59"/>
    </row>
    <row r="224" spans="1:18" ht="43.5" x14ac:dyDescent="0.35">
      <c r="A224" s="40">
        <f t="shared" si="3"/>
        <v>223</v>
      </c>
      <c r="B224" s="59" t="s">
        <v>28</v>
      </c>
      <c r="C224" s="57">
        <v>45392</v>
      </c>
      <c r="D224" s="57">
        <v>45399</v>
      </c>
      <c r="E224" s="52" t="s">
        <v>1329</v>
      </c>
      <c r="F224" s="52" t="s">
        <v>1330</v>
      </c>
      <c r="G224" s="52" t="s">
        <v>1331</v>
      </c>
      <c r="H224" s="58"/>
      <c r="I224" s="58"/>
      <c r="J224" s="52" t="s">
        <v>1332</v>
      </c>
      <c r="K224" s="52" t="s">
        <v>85</v>
      </c>
      <c r="L224" s="54"/>
      <c r="M224" s="54"/>
      <c r="N224" s="54" t="s">
        <v>83</v>
      </c>
      <c r="O224" s="54"/>
      <c r="P224" s="54" t="s">
        <v>80</v>
      </c>
      <c r="Q224" s="59"/>
      <c r="R224" s="59"/>
    </row>
    <row r="225" spans="1:18" ht="409.5" x14ac:dyDescent="0.35">
      <c r="A225" s="40">
        <f t="shared" si="3"/>
        <v>224</v>
      </c>
      <c r="B225" s="59" t="s">
        <v>31</v>
      </c>
      <c r="C225" s="57">
        <v>45388</v>
      </c>
      <c r="D225" s="57">
        <v>45405</v>
      </c>
      <c r="E225" s="52" t="s">
        <v>49</v>
      </c>
      <c r="F225" s="52" t="s">
        <v>103</v>
      </c>
      <c r="G225" s="52" t="s">
        <v>1323</v>
      </c>
      <c r="H225" s="58">
        <v>5431421.2800000003</v>
      </c>
      <c r="I225" s="58">
        <v>5811620</v>
      </c>
      <c r="J225" s="52" t="s">
        <v>1324</v>
      </c>
      <c r="K225" s="52" t="s">
        <v>82</v>
      </c>
      <c r="L225" s="54"/>
      <c r="M225" s="54"/>
      <c r="N225" s="54" t="s">
        <v>83</v>
      </c>
      <c r="O225" s="54"/>
      <c r="P225" s="54" t="s">
        <v>80</v>
      </c>
      <c r="Q225" s="53" t="s">
        <v>1492</v>
      </c>
      <c r="R225" s="59"/>
    </row>
    <row r="226" spans="1:18" ht="72.5" x14ac:dyDescent="0.35">
      <c r="A226" s="40">
        <f t="shared" si="3"/>
        <v>225</v>
      </c>
      <c r="B226" s="59" t="s">
        <v>27</v>
      </c>
      <c r="C226" s="57">
        <v>45378</v>
      </c>
      <c r="D226" s="57">
        <v>45406</v>
      </c>
      <c r="E226" s="52" t="s">
        <v>1283</v>
      </c>
      <c r="F226" s="52" t="s">
        <v>1284</v>
      </c>
      <c r="G226" s="52" t="s">
        <v>1285</v>
      </c>
      <c r="H226" s="58"/>
      <c r="I226" s="58">
        <v>15600000</v>
      </c>
      <c r="J226" s="52" t="s">
        <v>1286</v>
      </c>
      <c r="K226" s="52" t="s">
        <v>81</v>
      </c>
      <c r="L226" s="54"/>
      <c r="M226" s="54"/>
      <c r="N226" s="54" t="s">
        <v>83</v>
      </c>
      <c r="O226" s="54"/>
      <c r="P226" s="54" t="s">
        <v>80</v>
      </c>
      <c r="Q226" s="53" t="s">
        <v>1282</v>
      </c>
      <c r="R226" s="59"/>
    </row>
    <row r="227" spans="1:18" ht="275.5" x14ac:dyDescent="0.35">
      <c r="A227" s="40">
        <f t="shared" si="3"/>
        <v>226</v>
      </c>
      <c r="B227" s="59" t="s">
        <v>27</v>
      </c>
      <c r="C227" s="57">
        <v>45380</v>
      </c>
      <c r="D227" s="57">
        <v>45406</v>
      </c>
      <c r="E227" s="52" t="s">
        <v>1295</v>
      </c>
      <c r="F227" s="52" t="s">
        <v>1296</v>
      </c>
      <c r="G227" s="52" t="s">
        <v>1297</v>
      </c>
      <c r="H227" s="58"/>
      <c r="I227" s="58">
        <v>62648215.170000002</v>
      </c>
      <c r="J227" s="52" t="s">
        <v>1298</v>
      </c>
      <c r="K227" s="52" t="s">
        <v>82</v>
      </c>
      <c r="L227" s="54"/>
      <c r="M227" s="54"/>
      <c r="N227" s="54" t="s">
        <v>83</v>
      </c>
      <c r="O227" s="54"/>
      <c r="P227" s="54" t="s">
        <v>80</v>
      </c>
      <c r="Q227" s="59" t="s">
        <v>1588</v>
      </c>
      <c r="R227" s="59"/>
    </row>
    <row r="228" spans="1:18" ht="58" x14ac:dyDescent="0.35">
      <c r="A228" s="40">
        <f t="shared" si="3"/>
        <v>227</v>
      </c>
      <c r="B228" s="59" t="s">
        <v>33</v>
      </c>
      <c r="C228" s="57">
        <v>45380</v>
      </c>
      <c r="D228" s="57">
        <v>45400</v>
      </c>
      <c r="E228" s="52" t="s">
        <v>1291</v>
      </c>
      <c r="F228" s="52" t="s">
        <v>68</v>
      </c>
      <c r="G228" s="52" t="s">
        <v>1292</v>
      </c>
      <c r="H228" s="58"/>
      <c r="I228" s="58"/>
      <c r="J228" s="52" t="s">
        <v>1293</v>
      </c>
      <c r="K228" s="52" t="s">
        <v>82</v>
      </c>
      <c r="L228" s="54"/>
      <c r="M228" s="54"/>
      <c r="N228" s="54" t="s">
        <v>83</v>
      </c>
      <c r="O228" s="54"/>
      <c r="P228" s="54" t="s">
        <v>80</v>
      </c>
      <c r="Q228" s="59" t="s">
        <v>1294</v>
      </c>
      <c r="R228" s="59"/>
    </row>
    <row r="229" spans="1:18" ht="130.5" x14ac:dyDescent="0.35">
      <c r="A229" s="40">
        <f t="shared" si="3"/>
        <v>228</v>
      </c>
      <c r="B229" s="59" t="s">
        <v>31</v>
      </c>
      <c r="C229" s="57">
        <v>45388</v>
      </c>
      <c r="D229" s="57">
        <v>45400</v>
      </c>
      <c r="E229" s="52" t="s">
        <v>63</v>
      </c>
      <c r="F229" s="52" t="s">
        <v>60</v>
      </c>
      <c r="G229" s="52" t="s">
        <v>1327</v>
      </c>
      <c r="H229" s="58">
        <v>1924573.65</v>
      </c>
      <c r="I229" s="58">
        <v>2056248.3</v>
      </c>
      <c r="J229" s="52" t="s">
        <v>1328</v>
      </c>
      <c r="K229" s="52" t="s">
        <v>84</v>
      </c>
      <c r="L229" s="52"/>
      <c r="M229" s="59"/>
      <c r="N229" s="54" t="s">
        <v>83</v>
      </c>
      <c r="O229" s="59"/>
      <c r="P229" s="54" t="s">
        <v>80</v>
      </c>
      <c r="Q229" s="53" t="s">
        <v>1437</v>
      </c>
      <c r="R229" s="59"/>
    </row>
    <row r="230" spans="1:18" ht="58" x14ac:dyDescent="0.35">
      <c r="A230" s="40">
        <f t="shared" si="3"/>
        <v>229</v>
      </c>
      <c r="B230" s="59" t="s">
        <v>28</v>
      </c>
      <c r="C230" s="57">
        <v>45394</v>
      </c>
      <c r="D230" s="57">
        <v>45402</v>
      </c>
      <c r="E230" s="52" t="s">
        <v>1335</v>
      </c>
      <c r="F230" s="52" t="s">
        <v>77</v>
      </c>
      <c r="G230" s="52" t="s">
        <v>1336</v>
      </c>
      <c r="H230" s="58"/>
      <c r="I230" s="58"/>
      <c r="J230" s="52" t="s">
        <v>1337</v>
      </c>
      <c r="K230" s="52" t="s">
        <v>85</v>
      </c>
      <c r="L230" s="52"/>
      <c r="M230" s="59"/>
      <c r="N230" s="54" t="s">
        <v>83</v>
      </c>
      <c r="O230" s="59"/>
      <c r="P230" s="54" t="s">
        <v>80</v>
      </c>
      <c r="Q230" s="59" t="s">
        <v>1347</v>
      </c>
      <c r="R230" s="59"/>
    </row>
    <row r="231" spans="1:18" ht="101.5" x14ac:dyDescent="0.35">
      <c r="A231" s="40">
        <f t="shared" si="3"/>
        <v>230</v>
      </c>
      <c r="B231" s="59" t="s">
        <v>28</v>
      </c>
      <c r="C231" s="57">
        <v>45387</v>
      </c>
      <c r="D231" s="57">
        <v>45405</v>
      </c>
      <c r="E231" s="52" t="s">
        <v>88</v>
      </c>
      <c r="F231" s="52" t="s">
        <v>95</v>
      </c>
      <c r="G231" s="52" t="s">
        <v>1318</v>
      </c>
      <c r="H231" s="58"/>
      <c r="I231" s="58"/>
      <c r="J231" s="52" t="s">
        <v>1319</v>
      </c>
      <c r="K231" s="52" t="s">
        <v>85</v>
      </c>
      <c r="L231" s="54"/>
      <c r="M231" s="54"/>
      <c r="N231" s="54" t="s">
        <v>83</v>
      </c>
      <c r="O231" s="54"/>
      <c r="P231" s="54" t="s">
        <v>80</v>
      </c>
      <c r="Q231" s="59" t="s">
        <v>1347</v>
      </c>
      <c r="R231" s="59"/>
    </row>
    <row r="232" spans="1:18" ht="72.5" x14ac:dyDescent="0.35">
      <c r="A232" s="40">
        <f t="shared" si="3"/>
        <v>231</v>
      </c>
      <c r="B232" s="59" t="s">
        <v>28</v>
      </c>
      <c r="C232" s="57">
        <v>45392</v>
      </c>
      <c r="D232" s="57">
        <v>45405</v>
      </c>
      <c r="E232" s="52" t="s">
        <v>859</v>
      </c>
      <c r="F232" s="52" t="s">
        <v>62</v>
      </c>
      <c r="G232" s="52" t="s">
        <v>1333</v>
      </c>
      <c r="H232" s="58"/>
      <c r="I232" s="58"/>
      <c r="J232" s="52" t="s">
        <v>1334</v>
      </c>
      <c r="K232" s="52" t="s">
        <v>85</v>
      </c>
      <c r="L232" s="52"/>
      <c r="M232" s="59"/>
      <c r="N232" s="54" t="s">
        <v>83</v>
      </c>
      <c r="O232" s="59"/>
      <c r="P232" s="54" t="s">
        <v>80</v>
      </c>
      <c r="Q232" s="59" t="s">
        <v>1348</v>
      </c>
      <c r="R232" s="59"/>
    </row>
    <row r="233" spans="1:18" ht="232" x14ac:dyDescent="0.35">
      <c r="A233" s="40">
        <f t="shared" si="3"/>
        <v>232</v>
      </c>
      <c r="B233" s="59" t="s">
        <v>31</v>
      </c>
      <c r="C233" s="57">
        <v>45381</v>
      </c>
      <c r="D233" s="57">
        <v>45391</v>
      </c>
      <c r="E233" s="52" t="s">
        <v>88</v>
      </c>
      <c r="F233" s="52" t="s">
        <v>56</v>
      </c>
      <c r="G233" s="52" t="s">
        <v>1305</v>
      </c>
      <c r="H233" s="58">
        <v>2208000</v>
      </c>
      <c r="I233" s="58">
        <v>36000000</v>
      </c>
      <c r="J233" s="52" t="s">
        <v>1306</v>
      </c>
      <c r="K233" s="52" t="s">
        <v>81</v>
      </c>
      <c r="L233" s="52"/>
      <c r="M233" s="59"/>
      <c r="N233" s="54" t="s">
        <v>83</v>
      </c>
      <c r="O233" s="54"/>
      <c r="P233" s="54" t="s">
        <v>80</v>
      </c>
      <c r="Q233" s="53" t="s">
        <v>1438</v>
      </c>
      <c r="R233" s="59"/>
    </row>
    <row r="234" spans="1:18" ht="130.5" x14ac:dyDescent="0.35">
      <c r="A234" s="40">
        <f t="shared" si="3"/>
        <v>233</v>
      </c>
      <c r="B234" s="59" t="s">
        <v>27</v>
      </c>
      <c r="C234" s="57">
        <v>45380</v>
      </c>
      <c r="D234" s="57">
        <v>45392</v>
      </c>
      <c r="E234" s="52" t="s">
        <v>109</v>
      </c>
      <c r="F234" s="52" t="s">
        <v>150</v>
      </c>
      <c r="G234" s="52" t="s">
        <v>1300</v>
      </c>
      <c r="H234" s="58"/>
      <c r="I234" s="58">
        <v>7800000</v>
      </c>
      <c r="J234" s="52" t="s">
        <v>1301</v>
      </c>
      <c r="K234" s="52" t="s">
        <v>82</v>
      </c>
      <c r="L234" s="54"/>
      <c r="M234" s="54"/>
      <c r="N234" s="54" t="s">
        <v>83</v>
      </c>
      <c r="O234" s="54"/>
      <c r="P234" s="54" t="s">
        <v>80</v>
      </c>
      <c r="Q234" s="59" t="s">
        <v>1299</v>
      </c>
      <c r="R234" s="59"/>
    </row>
    <row r="235" spans="1:18" ht="116" x14ac:dyDescent="0.35">
      <c r="A235" s="40">
        <f t="shared" si="3"/>
        <v>234</v>
      </c>
      <c r="B235" s="59" t="s">
        <v>28</v>
      </c>
      <c r="C235" s="57">
        <v>45384</v>
      </c>
      <c r="D235" s="57">
        <v>45392</v>
      </c>
      <c r="E235" s="52" t="s">
        <v>49</v>
      </c>
      <c r="F235" s="52" t="s">
        <v>55</v>
      </c>
      <c r="G235" s="52" t="s">
        <v>1309</v>
      </c>
      <c r="H235" s="58"/>
      <c r="I235" s="58"/>
      <c r="J235" s="52" t="s">
        <v>1310</v>
      </c>
      <c r="K235" s="52" t="s">
        <v>79</v>
      </c>
      <c r="L235" s="53"/>
      <c r="M235" s="59"/>
      <c r="N235" s="54" t="s">
        <v>83</v>
      </c>
      <c r="O235" s="59"/>
      <c r="P235" s="54" t="s">
        <v>80</v>
      </c>
      <c r="Q235" s="53"/>
      <c r="R235" s="59"/>
    </row>
    <row r="236" spans="1:18" ht="72.5" x14ac:dyDescent="0.35">
      <c r="A236" s="40">
        <f t="shared" si="3"/>
        <v>235</v>
      </c>
      <c r="B236" s="59" t="s">
        <v>27</v>
      </c>
      <c r="C236" s="57">
        <v>45386</v>
      </c>
      <c r="D236" s="57">
        <v>45393</v>
      </c>
      <c r="E236" s="52" t="s">
        <v>362</v>
      </c>
      <c r="F236" s="52" t="s">
        <v>55</v>
      </c>
      <c r="G236" s="52">
        <v>7130007398</v>
      </c>
      <c r="H236" s="58"/>
      <c r="I236" s="58">
        <v>3400000</v>
      </c>
      <c r="J236" s="52" t="s">
        <v>1317</v>
      </c>
      <c r="K236" s="54" t="s">
        <v>147</v>
      </c>
      <c r="L236" s="52"/>
      <c r="M236" s="54"/>
      <c r="N236" s="54" t="s">
        <v>83</v>
      </c>
      <c r="O236" s="54"/>
      <c r="P236" s="54" t="s">
        <v>80</v>
      </c>
      <c r="Q236" s="59"/>
      <c r="R236" s="59"/>
    </row>
    <row r="237" spans="1:18" ht="72.5" x14ac:dyDescent="0.35">
      <c r="A237" s="40">
        <f t="shared" si="3"/>
        <v>236</v>
      </c>
      <c r="B237" s="59" t="s">
        <v>28</v>
      </c>
      <c r="C237" s="57">
        <v>45383</v>
      </c>
      <c r="D237" s="57">
        <v>45395</v>
      </c>
      <c r="E237" s="52" t="s">
        <v>63</v>
      </c>
      <c r="F237" s="52" t="s">
        <v>93</v>
      </c>
      <c r="G237" s="52" t="s">
        <v>1307</v>
      </c>
      <c r="H237" s="58"/>
      <c r="I237" s="58"/>
      <c r="J237" s="52" t="s">
        <v>1308</v>
      </c>
      <c r="K237" s="52" t="s">
        <v>82</v>
      </c>
      <c r="L237" s="52"/>
      <c r="M237" s="59"/>
      <c r="N237" s="54" t="s">
        <v>83</v>
      </c>
      <c r="O237" s="59"/>
      <c r="P237" s="54" t="s">
        <v>80</v>
      </c>
      <c r="Q237" s="59" t="s">
        <v>1343</v>
      </c>
      <c r="R237" s="59"/>
    </row>
    <row r="238" spans="1:18" ht="58" x14ac:dyDescent="0.35">
      <c r="A238" s="40">
        <f t="shared" si="3"/>
        <v>237</v>
      </c>
      <c r="B238" s="59" t="s">
        <v>28</v>
      </c>
      <c r="C238" s="57">
        <v>45384</v>
      </c>
      <c r="D238" s="57">
        <v>45395</v>
      </c>
      <c r="E238" s="52" t="s">
        <v>257</v>
      </c>
      <c r="F238" s="52" t="s">
        <v>650</v>
      </c>
      <c r="G238" s="52" t="s">
        <v>1311</v>
      </c>
      <c r="H238" s="58"/>
      <c r="I238" s="58"/>
      <c r="J238" s="52" t="s">
        <v>1312</v>
      </c>
      <c r="K238" s="52" t="s">
        <v>81</v>
      </c>
      <c r="L238" s="54"/>
      <c r="M238" s="54"/>
      <c r="N238" s="54" t="s">
        <v>83</v>
      </c>
      <c r="O238" s="54"/>
      <c r="P238" s="54" t="s">
        <v>80</v>
      </c>
      <c r="Q238" s="59" t="s">
        <v>1344</v>
      </c>
      <c r="R238" s="59"/>
    </row>
    <row r="239" spans="1:18" ht="377" x14ac:dyDescent="0.35">
      <c r="A239" s="40">
        <f t="shared" si="3"/>
        <v>238</v>
      </c>
      <c r="B239" s="59" t="s">
        <v>31</v>
      </c>
      <c r="C239" s="57">
        <v>45386</v>
      </c>
      <c r="D239" s="57">
        <v>45394</v>
      </c>
      <c r="E239" s="52" t="s">
        <v>88</v>
      </c>
      <c r="F239" s="52" t="s">
        <v>66</v>
      </c>
      <c r="G239" s="52" t="s">
        <v>1316</v>
      </c>
      <c r="H239" s="58">
        <v>11766032.199999999</v>
      </c>
      <c r="I239" s="56">
        <v>13800000</v>
      </c>
      <c r="J239" s="52" t="s">
        <v>1312</v>
      </c>
      <c r="K239" s="52" t="s">
        <v>81</v>
      </c>
      <c r="L239" s="54"/>
      <c r="M239" s="54"/>
      <c r="N239" s="54" t="s">
        <v>83</v>
      </c>
      <c r="O239" s="54"/>
      <c r="P239" s="54" t="s">
        <v>80</v>
      </c>
      <c r="Q239" s="52" t="s">
        <v>1590</v>
      </c>
      <c r="R239" s="59"/>
    </row>
    <row r="240" spans="1:18" ht="116" x14ac:dyDescent="0.35">
      <c r="A240" s="40">
        <f t="shared" si="3"/>
        <v>239</v>
      </c>
      <c r="B240" s="59" t="s">
        <v>28</v>
      </c>
      <c r="C240" s="57">
        <v>45387</v>
      </c>
      <c r="D240" s="57">
        <v>45390</v>
      </c>
      <c r="E240" s="52" t="s">
        <v>1320</v>
      </c>
      <c r="F240" s="52" t="s">
        <v>43</v>
      </c>
      <c r="G240" s="52" t="s">
        <v>1321</v>
      </c>
      <c r="H240" s="58"/>
      <c r="I240" s="58"/>
      <c r="J240" s="52" t="s">
        <v>1322</v>
      </c>
      <c r="K240" s="52" t="s">
        <v>81</v>
      </c>
      <c r="L240" s="54"/>
      <c r="M240" s="54"/>
      <c r="N240" s="54" t="s">
        <v>83</v>
      </c>
      <c r="O240" s="54"/>
      <c r="P240" s="54" t="s">
        <v>80</v>
      </c>
      <c r="Q240" s="59"/>
      <c r="R240" s="59"/>
    </row>
    <row r="241" spans="1:18" ht="43.5" x14ac:dyDescent="0.35">
      <c r="A241" s="40">
        <f t="shared" si="3"/>
        <v>240</v>
      </c>
      <c r="B241" s="59" t="s">
        <v>27</v>
      </c>
      <c r="C241" s="57">
        <v>45365</v>
      </c>
      <c r="D241" s="57">
        <v>45400</v>
      </c>
      <c r="E241" s="52" t="s">
        <v>1278</v>
      </c>
      <c r="F241" s="52" t="s">
        <v>1279</v>
      </c>
      <c r="G241" s="52" t="s">
        <v>1280</v>
      </c>
      <c r="H241" s="58"/>
      <c r="I241" s="58">
        <v>62648000</v>
      </c>
      <c r="J241" s="52" t="s">
        <v>1281</v>
      </c>
      <c r="K241" s="52" t="s">
        <v>79</v>
      </c>
      <c r="L241" s="54"/>
      <c r="M241" s="54"/>
      <c r="N241" s="54" t="s">
        <v>83</v>
      </c>
      <c r="O241" s="54"/>
      <c r="P241" s="54" t="s">
        <v>80</v>
      </c>
      <c r="Q241" s="59" t="s">
        <v>1282</v>
      </c>
      <c r="R241" s="59"/>
    </row>
    <row r="242" spans="1:18" ht="72.5" x14ac:dyDescent="0.35">
      <c r="A242" s="40">
        <f t="shared" si="3"/>
        <v>241</v>
      </c>
      <c r="B242" s="59" t="s">
        <v>33</v>
      </c>
      <c r="C242" s="57">
        <v>45364</v>
      </c>
      <c r="D242" s="57">
        <v>45386</v>
      </c>
      <c r="E242" s="52" t="s">
        <v>73</v>
      </c>
      <c r="F242" s="52" t="s">
        <v>1247</v>
      </c>
      <c r="G242" s="52" t="s">
        <v>1248</v>
      </c>
      <c r="H242" s="58"/>
      <c r="I242" s="58"/>
      <c r="J242" s="52" t="s">
        <v>1249</v>
      </c>
      <c r="K242" s="52" t="s">
        <v>85</v>
      </c>
      <c r="L242" s="54"/>
      <c r="M242" s="54"/>
      <c r="N242" s="54" t="s">
        <v>83</v>
      </c>
      <c r="O242" s="54"/>
      <c r="P242" s="54" t="s">
        <v>80</v>
      </c>
      <c r="Q242" s="59" t="s">
        <v>1250</v>
      </c>
      <c r="R242" s="59"/>
    </row>
    <row r="243" spans="1:18" ht="43.5" x14ac:dyDescent="0.35">
      <c r="A243" s="40">
        <f t="shared" si="3"/>
        <v>242</v>
      </c>
      <c r="B243" s="59" t="s">
        <v>28</v>
      </c>
      <c r="C243" s="57">
        <v>45366</v>
      </c>
      <c r="D243" s="57">
        <v>45393</v>
      </c>
      <c r="E243" s="52" t="s">
        <v>105</v>
      </c>
      <c r="F243" s="52" t="s">
        <v>43</v>
      </c>
      <c r="G243" s="52" t="s">
        <v>1256</v>
      </c>
      <c r="H243" s="58"/>
      <c r="I243" s="58"/>
      <c r="J243" s="52" t="s">
        <v>1257</v>
      </c>
      <c r="K243" s="52" t="s">
        <v>82</v>
      </c>
      <c r="L243" s="54"/>
      <c r="M243" s="54"/>
      <c r="N243" s="54" t="s">
        <v>83</v>
      </c>
      <c r="O243" s="54"/>
      <c r="P243" s="54" t="s">
        <v>80</v>
      </c>
      <c r="Q243" s="53" t="s">
        <v>1258</v>
      </c>
      <c r="R243" s="59"/>
    </row>
    <row r="244" spans="1:18" ht="159.5" x14ac:dyDescent="0.35">
      <c r="A244" s="40">
        <f t="shared" si="3"/>
        <v>243</v>
      </c>
      <c r="B244" s="59" t="s">
        <v>28</v>
      </c>
      <c r="C244" s="57">
        <v>45400</v>
      </c>
      <c r="D244" s="57">
        <v>45392</v>
      </c>
      <c r="E244" s="52" t="s">
        <v>1235</v>
      </c>
      <c r="F244" s="52" t="s">
        <v>77</v>
      </c>
      <c r="G244" s="52" t="s">
        <v>1262</v>
      </c>
      <c r="H244" s="58"/>
      <c r="I244" s="58"/>
      <c r="J244" s="52" t="s">
        <v>1263</v>
      </c>
      <c r="K244" s="54" t="s">
        <v>85</v>
      </c>
      <c r="L244" s="54"/>
      <c r="M244" s="54"/>
      <c r="N244" s="54" t="s">
        <v>83</v>
      </c>
      <c r="O244" s="54"/>
      <c r="P244" s="54" t="s">
        <v>80</v>
      </c>
      <c r="Q244" s="59" t="s">
        <v>1250</v>
      </c>
      <c r="R244" s="59"/>
    </row>
    <row r="245" spans="1:18" ht="87" x14ac:dyDescent="0.35">
      <c r="A245" s="40">
        <f t="shared" si="3"/>
        <v>244</v>
      </c>
      <c r="B245" s="59" t="s">
        <v>27</v>
      </c>
      <c r="C245" s="57">
        <v>45379</v>
      </c>
      <c r="D245" s="57">
        <v>45393</v>
      </c>
      <c r="E245" s="52" t="s">
        <v>49</v>
      </c>
      <c r="F245" s="52" t="s">
        <v>1259</v>
      </c>
      <c r="G245" s="52" t="s">
        <v>1287</v>
      </c>
      <c r="H245" s="58"/>
      <c r="I245" s="58">
        <v>9400000</v>
      </c>
      <c r="J245" s="52" t="s">
        <v>1288</v>
      </c>
      <c r="K245" s="52" t="s">
        <v>82</v>
      </c>
      <c r="L245" s="54"/>
      <c r="M245" s="54"/>
      <c r="N245" s="54" t="s">
        <v>83</v>
      </c>
      <c r="O245" s="54"/>
      <c r="P245" s="54" t="s">
        <v>80</v>
      </c>
      <c r="Q245" s="52"/>
      <c r="R245" s="59"/>
    </row>
    <row r="246" spans="1:18" ht="87" x14ac:dyDescent="0.35">
      <c r="A246" s="40">
        <f t="shared" si="3"/>
        <v>245</v>
      </c>
      <c r="B246" s="59" t="s">
        <v>28</v>
      </c>
      <c r="C246" s="57">
        <v>45366</v>
      </c>
      <c r="D246" s="57">
        <v>45387</v>
      </c>
      <c r="E246" s="52" t="s">
        <v>49</v>
      </c>
      <c r="F246" s="52" t="s">
        <v>1259</v>
      </c>
      <c r="G246" s="52" t="s">
        <v>1260</v>
      </c>
      <c r="H246" s="58"/>
      <c r="I246" s="58"/>
      <c r="J246" s="52" t="s">
        <v>1261</v>
      </c>
      <c r="K246" s="52" t="s">
        <v>82</v>
      </c>
      <c r="L246" s="54"/>
      <c r="M246" s="54"/>
      <c r="N246" s="54" t="s">
        <v>83</v>
      </c>
      <c r="O246" s="54"/>
      <c r="P246" s="54" t="s">
        <v>80</v>
      </c>
      <c r="Q246" s="59"/>
      <c r="R246" s="59"/>
    </row>
    <row r="247" spans="1:18" ht="43.5" x14ac:dyDescent="0.35">
      <c r="A247" s="40">
        <f t="shared" si="3"/>
        <v>246</v>
      </c>
      <c r="B247" s="53" t="s">
        <v>28</v>
      </c>
      <c r="C247" s="57">
        <v>45352</v>
      </c>
      <c r="D247" s="57">
        <v>45382</v>
      </c>
      <c r="E247" s="52" t="s">
        <v>208</v>
      </c>
      <c r="F247" s="52" t="s">
        <v>209</v>
      </c>
      <c r="G247" s="52" t="s">
        <v>210</v>
      </c>
      <c r="H247" s="58"/>
      <c r="I247" s="58"/>
      <c r="J247" s="52" t="s">
        <v>211</v>
      </c>
      <c r="K247" s="53" t="s">
        <v>85</v>
      </c>
      <c r="L247" s="53"/>
      <c r="M247" s="59"/>
      <c r="N247" s="54" t="s">
        <v>83</v>
      </c>
      <c r="O247" s="54"/>
      <c r="P247" s="54" t="s">
        <v>80</v>
      </c>
      <c r="Q247" s="59"/>
      <c r="R247" s="59"/>
    </row>
    <row r="248" spans="1:18" ht="101.5" x14ac:dyDescent="0.35">
      <c r="A248" s="40">
        <f t="shared" si="3"/>
        <v>247</v>
      </c>
      <c r="B248" s="59" t="s">
        <v>27</v>
      </c>
      <c r="C248" s="57">
        <v>45380</v>
      </c>
      <c r="D248" s="57">
        <v>45383</v>
      </c>
      <c r="E248" s="52" t="s">
        <v>144</v>
      </c>
      <c r="F248" s="52" t="s">
        <v>98</v>
      </c>
      <c r="G248" s="52" t="s">
        <v>1289</v>
      </c>
      <c r="H248" s="58"/>
      <c r="I248" s="58">
        <v>26129681</v>
      </c>
      <c r="J248" s="52" t="s">
        <v>1290</v>
      </c>
      <c r="K248" s="52" t="s">
        <v>81</v>
      </c>
      <c r="L248" s="54"/>
      <c r="M248" s="54"/>
      <c r="N248" s="54" t="s">
        <v>83</v>
      </c>
      <c r="O248" s="54"/>
      <c r="P248" s="54" t="s">
        <v>80</v>
      </c>
      <c r="Q248" s="59"/>
      <c r="R248" s="59"/>
    </row>
    <row r="249" spans="1:18" ht="87" x14ac:dyDescent="0.35">
      <c r="A249" s="40">
        <f t="shared" si="3"/>
        <v>248</v>
      </c>
      <c r="B249" s="59" t="s">
        <v>27</v>
      </c>
      <c r="C249" s="57">
        <v>45365</v>
      </c>
      <c r="D249" s="57">
        <v>45369</v>
      </c>
      <c r="E249" s="52" t="s">
        <v>49</v>
      </c>
      <c r="F249" s="52" t="s">
        <v>43</v>
      </c>
      <c r="G249" s="52" t="s">
        <v>1268</v>
      </c>
      <c r="H249" s="58"/>
      <c r="I249" s="58">
        <v>5800000</v>
      </c>
      <c r="J249" s="52" t="s">
        <v>1269</v>
      </c>
      <c r="K249" s="52" t="s">
        <v>81</v>
      </c>
      <c r="L249" s="54"/>
      <c r="M249" s="54"/>
      <c r="N249" s="54" t="s">
        <v>83</v>
      </c>
      <c r="O249" s="54"/>
      <c r="P249" s="54" t="s">
        <v>80</v>
      </c>
      <c r="Q249" s="59"/>
      <c r="R249" s="59"/>
    </row>
    <row r="250" spans="1:18" ht="43.5" x14ac:dyDescent="0.35">
      <c r="A250" s="40">
        <f t="shared" si="3"/>
        <v>249</v>
      </c>
      <c r="B250" s="59" t="s">
        <v>27</v>
      </c>
      <c r="C250" s="57">
        <v>45369</v>
      </c>
      <c r="D250" s="57">
        <v>45373</v>
      </c>
      <c r="E250" s="52" t="s">
        <v>463</v>
      </c>
      <c r="F250" s="52" t="s">
        <v>60</v>
      </c>
      <c r="G250" s="52" t="s">
        <v>1270</v>
      </c>
      <c r="H250" s="58"/>
      <c r="I250" s="58">
        <v>12800000</v>
      </c>
      <c r="J250" s="52" t="s">
        <v>1271</v>
      </c>
      <c r="K250" s="52" t="s">
        <v>81</v>
      </c>
      <c r="L250" s="54"/>
      <c r="M250" s="54"/>
      <c r="N250" s="54" t="s">
        <v>83</v>
      </c>
      <c r="O250" s="54"/>
      <c r="P250" s="54" t="s">
        <v>80</v>
      </c>
      <c r="Q250" s="61"/>
      <c r="R250" s="59"/>
    </row>
    <row r="251" spans="1:18" ht="116" x14ac:dyDescent="0.35">
      <c r="A251" s="40">
        <f t="shared" si="3"/>
        <v>250</v>
      </c>
      <c r="B251" s="59" t="s">
        <v>27</v>
      </c>
      <c r="C251" s="57">
        <v>45369</v>
      </c>
      <c r="D251" s="57">
        <v>45374</v>
      </c>
      <c r="E251" s="52" t="s">
        <v>140</v>
      </c>
      <c r="F251" s="52"/>
      <c r="G251" s="52" t="s">
        <v>1272</v>
      </c>
      <c r="H251" s="58"/>
      <c r="I251" s="58">
        <v>21800000</v>
      </c>
      <c r="J251" s="52" t="s">
        <v>1273</v>
      </c>
      <c r="K251" s="52" t="s">
        <v>79</v>
      </c>
      <c r="L251" s="54"/>
      <c r="M251" s="54"/>
      <c r="N251" s="54" t="s">
        <v>83</v>
      </c>
      <c r="O251" s="54"/>
      <c r="P251" s="54" t="s">
        <v>80</v>
      </c>
      <c r="Q251" s="59"/>
      <c r="R251" s="59"/>
    </row>
    <row r="252" spans="1:18" ht="130.5" x14ac:dyDescent="0.35">
      <c r="A252" s="40">
        <f t="shared" si="3"/>
        <v>251</v>
      </c>
      <c r="B252" s="53" t="s">
        <v>31</v>
      </c>
      <c r="C252" s="57">
        <v>45350</v>
      </c>
      <c r="D252" s="57">
        <v>45378</v>
      </c>
      <c r="E252" s="52" t="s">
        <v>63</v>
      </c>
      <c r="F252" s="52" t="s">
        <v>205</v>
      </c>
      <c r="G252" s="52" t="s">
        <v>206</v>
      </c>
      <c r="H252" s="58">
        <v>322718737.27999997</v>
      </c>
      <c r="I252" s="58">
        <v>357758860.37735999</v>
      </c>
      <c r="J252" s="52" t="s">
        <v>207</v>
      </c>
      <c r="K252" s="53" t="s">
        <v>79</v>
      </c>
      <c r="L252" s="59"/>
      <c r="M252" s="59"/>
      <c r="N252" s="54" t="s">
        <v>83</v>
      </c>
      <c r="O252" s="54"/>
      <c r="P252" s="54" t="s">
        <v>80</v>
      </c>
      <c r="Q252" s="53" t="s">
        <v>1439</v>
      </c>
      <c r="R252" s="59"/>
    </row>
    <row r="253" spans="1:18" ht="362.5" x14ac:dyDescent="0.35">
      <c r="A253" s="40">
        <f t="shared" si="3"/>
        <v>252</v>
      </c>
      <c r="B253" s="59" t="s">
        <v>31</v>
      </c>
      <c r="C253" s="57">
        <v>45363</v>
      </c>
      <c r="D253" s="57">
        <v>45377</v>
      </c>
      <c r="E253" s="52" t="s">
        <v>63</v>
      </c>
      <c r="F253" s="52" t="s">
        <v>60</v>
      </c>
      <c r="G253" s="52" t="s">
        <v>1245</v>
      </c>
      <c r="H253" s="58">
        <v>16226023.199999999</v>
      </c>
      <c r="I253" s="58">
        <v>18741820.338983051</v>
      </c>
      <c r="J253" s="52" t="s">
        <v>1246</v>
      </c>
      <c r="K253" s="52" t="s">
        <v>84</v>
      </c>
      <c r="L253" s="54"/>
      <c r="M253" s="54"/>
      <c r="N253" s="54" t="s">
        <v>83</v>
      </c>
      <c r="O253" s="54"/>
      <c r="P253" s="54" t="s">
        <v>80</v>
      </c>
      <c r="Q253" s="53" t="s">
        <v>1440</v>
      </c>
      <c r="R253" s="59"/>
    </row>
    <row r="254" spans="1:18" ht="87" x14ac:dyDescent="0.35">
      <c r="A254" s="40">
        <f t="shared" si="3"/>
        <v>253</v>
      </c>
      <c r="B254" s="59" t="s">
        <v>28</v>
      </c>
      <c r="C254" s="57">
        <v>45366</v>
      </c>
      <c r="D254" s="57">
        <v>45378</v>
      </c>
      <c r="E254" s="52" t="s">
        <v>1253</v>
      </c>
      <c r="F254" s="52" t="s">
        <v>95</v>
      </c>
      <c r="G254" s="52" t="s">
        <v>1254</v>
      </c>
      <c r="H254" s="58"/>
      <c r="I254" s="58"/>
      <c r="J254" s="52" t="s">
        <v>1255</v>
      </c>
      <c r="K254" s="52" t="s">
        <v>85</v>
      </c>
      <c r="L254" s="54"/>
      <c r="M254" s="54"/>
      <c r="N254" s="54" t="s">
        <v>83</v>
      </c>
      <c r="O254" s="54"/>
      <c r="P254" s="54" t="s">
        <v>80</v>
      </c>
      <c r="Q254" s="61"/>
      <c r="R254" s="59"/>
    </row>
    <row r="255" spans="1:18" ht="58" x14ac:dyDescent="0.35">
      <c r="A255" s="40">
        <f t="shared" si="3"/>
        <v>254</v>
      </c>
      <c r="B255" s="59" t="s">
        <v>27</v>
      </c>
      <c r="C255" s="57">
        <v>45371</v>
      </c>
      <c r="D255" s="57">
        <v>45378</v>
      </c>
      <c r="E255" s="52" t="s">
        <v>328</v>
      </c>
      <c r="F255" s="52" t="s">
        <v>89</v>
      </c>
      <c r="G255" s="52" t="s">
        <v>1266</v>
      </c>
      <c r="H255" s="58"/>
      <c r="I255" s="58">
        <v>10907399.41</v>
      </c>
      <c r="J255" s="52" t="s">
        <v>1267</v>
      </c>
      <c r="K255" s="52" t="s">
        <v>82</v>
      </c>
      <c r="L255" s="54"/>
      <c r="M255" s="54"/>
      <c r="N255" s="54" t="s">
        <v>83</v>
      </c>
      <c r="O255" s="54"/>
      <c r="P255" s="54" t="s">
        <v>80</v>
      </c>
      <c r="Q255" s="59"/>
      <c r="R255" s="59"/>
    </row>
    <row r="256" spans="1:18" ht="145" x14ac:dyDescent="0.35">
      <c r="A256" s="40">
        <f t="shared" si="3"/>
        <v>255</v>
      </c>
      <c r="B256" s="59" t="s">
        <v>28</v>
      </c>
      <c r="C256" s="57">
        <v>45364</v>
      </c>
      <c r="D256" s="57">
        <v>45370</v>
      </c>
      <c r="E256" s="52" t="s">
        <v>52</v>
      </c>
      <c r="F256" s="52" t="s">
        <v>43</v>
      </c>
      <c r="G256" s="52" t="s">
        <v>1251</v>
      </c>
      <c r="H256" s="58"/>
      <c r="I256" s="58"/>
      <c r="J256" s="52" t="s">
        <v>1252</v>
      </c>
      <c r="K256" s="52" t="s">
        <v>81</v>
      </c>
      <c r="L256" s="52"/>
      <c r="M256" s="54"/>
      <c r="N256" s="54" t="s">
        <v>83</v>
      </c>
      <c r="O256" s="54"/>
      <c r="P256" s="54" t="s">
        <v>80</v>
      </c>
      <c r="Q256" s="53" t="s">
        <v>1302</v>
      </c>
      <c r="R256" s="59"/>
    </row>
    <row r="257" spans="1:18" ht="87" x14ac:dyDescent="0.35">
      <c r="A257" s="40">
        <f t="shared" si="3"/>
        <v>256</v>
      </c>
      <c r="B257" s="59" t="s">
        <v>28</v>
      </c>
      <c r="C257" s="57">
        <v>45355</v>
      </c>
      <c r="D257" s="57">
        <v>45373</v>
      </c>
      <c r="E257" s="52" t="s">
        <v>71</v>
      </c>
      <c r="F257" s="52" t="s">
        <v>48</v>
      </c>
      <c r="G257" s="52" t="s">
        <v>1227</v>
      </c>
      <c r="H257" s="58"/>
      <c r="I257" s="58"/>
      <c r="J257" s="52" t="s">
        <v>1228</v>
      </c>
      <c r="K257" s="54" t="s">
        <v>82</v>
      </c>
      <c r="L257" s="52"/>
      <c r="M257" s="54"/>
      <c r="N257" s="54" t="s">
        <v>83</v>
      </c>
      <c r="O257" s="54"/>
      <c r="P257" s="54" t="s">
        <v>80</v>
      </c>
      <c r="Q257" s="59"/>
      <c r="R257" s="59"/>
    </row>
    <row r="258" spans="1:18" ht="58" x14ac:dyDescent="0.35">
      <c r="A258" s="40">
        <f t="shared" ref="A258:A321" si="4">ROW()-1</f>
        <v>257</v>
      </c>
      <c r="B258" s="59" t="s">
        <v>27</v>
      </c>
      <c r="C258" s="57">
        <v>45357</v>
      </c>
      <c r="D258" s="57">
        <v>45378</v>
      </c>
      <c r="E258" s="52" t="s">
        <v>118</v>
      </c>
      <c r="F258" s="52" t="s">
        <v>265</v>
      </c>
      <c r="G258" s="52" t="s">
        <v>1230</v>
      </c>
      <c r="H258" s="58"/>
      <c r="I258" s="58">
        <v>63200000</v>
      </c>
      <c r="J258" s="52" t="s">
        <v>1231</v>
      </c>
      <c r="K258" s="54" t="s">
        <v>82</v>
      </c>
      <c r="L258" s="54"/>
      <c r="M258" s="54"/>
      <c r="N258" s="54" t="s">
        <v>83</v>
      </c>
      <c r="O258" s="54"/>
      <c r="P258" s="54" t="s">
        <v>80</v>
      </c>
      <c r="Q258" s="59" t="s">
        <v>1232</v>
      </c>
      <c r="R258" s="59"/>
    </row>
    <row r="259" spans="1:18" ht="116" x14ac:dyDescent="0.35">
      <c r="A259" s="40">
        <f t="shared" si="4"/>
        <v>258</v>
      </c>
      <c r="B259" s="59" t="s">
        <v>28</v>
      </c>
      <c r="C259" s="57">
        <v>45358</v>
      </c>
      <c r="D259" s="57">
        <v>45378</v>
      </c>
      <c r="E259" s="52" t="s">
        <v>1235</v>
      </c>
      <c r="F259" s="52" t="s">
        <v>77</v>
      </c>
      <c r="G259" s="52" t="s">
        <v>1236</v>
      </c>
      <c r="H259" s="58"/>
      <c r="I259" s="58"/>
      <c r="J259" s="52" t="s">
        <v>1237</v>
      </c>
      <c r="K259" s="52" t="s">
        <v>85</v>
      </c>
      <c r="L259" s="54"/>
      <c r="M259" s="54"/>
      <c r="N259" s="54" t="s">
        <v>83</v>
      </c>
      <c r="O259" s="54"/>
      <c r="P259" s="54" t="s">
        <v>80</v>
      </c>
      <c r="Q259" s="59" t="s">
        <v>240</v>
      </c>
      <c r="R259" s="59"/>
    </row>
    <row r="260" spans="1:18" ht="101.5" x14ac:dyDescent="0.35">
      <c r="A260" s="40">
        <f t="shared" si="4"/>
        <v>259</v>
      </c>
      <c r="B260" s="59" t="s">
        <v>29</v>
      </c>
      <c r="C260" s="57">
        <v>45363</v>
      </c>
      <c r="D260" s="57">
        <v>45372</v>
      </c>
      <c r="E260" s="52" t="s">
        <v>96</v>
      </c>
      <c r="F260" s="52" t="s">
        <v>45</v>
      </c>
      <c r="G260" s="52" t="s">
        <v>1238</v>
      </c>
      <c r="H260" s="58">
        <v>5381280</v>
      </c>
      <c r="I260" s="58">
        <v>83200000</v>
      </c>
      <c r="J260" s="52" t="s">
        <v>1239</v>
      </c>
      <c r="K260" s="52" t="s">
        <v>81</v>
      </c>
      <c r="L260" s="54"/>
      <c r="M260" s="54"/>
      <c r="N260" s="54" t="s">
        <v>83</v>
      </c>
      <c r="O260" s="54"/>
      <c r="P260" s="54" t="s">
        <v>80</v>
      </c>
      <c r="Q260" s="53" t="s">
        <v>1240</v>
      </c>
      <c r="R260" s="59"/>
    </row>
    <row r="261" spans="1:18" ht="58" x14ac:dyDescent="0.35">
      <c r="A261" s="40">
        <f t="shared" si="4"/>
        <v>260</v>
      </c>
      <c r="B261" s="59" t="s">
        <v>28</v>
      </c>
      <c r="C261" s="57">
        <v>45363</v>
      </c>
      <c r="D261" s="57">
        <v>45371</v>
      </c>
      <c r="E261" s="52" t="s">
        <v>1241</v>
      </c>
      <c r="F261" s="52" t="s">
        <v>1242</v>
      </c>
      <c r="G261" s="52" t="s">
        <v>1243</v>
      </c>
      <c r="H261" s="58"/>
      <c r="I261" s="58"/>
      <c r="J261" s="52" t="s">
        <v>1244</v>
      </c>
      <c r="K261" s="52" t="s">
        <v>82</v>
      </c>
      <c r="L261" s="54"/>
      <c r="M261" s="54"/>
      <c r="N261" s="54" t="s">
        <v>83</v>
      </c>
      <c r="O261" s="54"/>
      <c r="P261" s="54" t="s">
        <v>80</v>
      </c>
      <c r="Q261" s="59"/>
      <c r="R261" s="59"/>
    </row>
    <row r="262" spans="1:18" ht="58" x14ac:dyDescent="0.35">
      <c r="A262" s="40">
        <f t="shared" si="4"/>
        <v>261</v>
      </c>
      <c r="B262" s="59" t="s">
        <v>28</v>
      </c>
      <c r="C262" s="57">
        <v>45369</v>
      </c>
      <c r="D262" s="57">
        <v>45370</v>
      </c>
      <c r="E262" s="52" t="s">
        <v>1264</v>
      </c>
      <c r="F262" s="52" t="s">
        <v>708</v>
      </c>
      <c r="G262" s="52">
        <v>370</v>
      </c>
      <c r="H262" s="58"/>
      <c r="I262" s="58"/>
      <c r="J262" s="52" t="s">
        <v>1265</v>
      </c>
      <c r="K262" s="52" t="s">
        <v>85</v>
      </c>
      <c r="L262" s="54"/>
      <c r="M262" s="54"/>
      <c r="N262" s="54" t="s">
        <v>83</v>
      </c>
      <c r="O262" s="54"/>
      <c r="P262" s="54" t="s">
        <v>80</v>
      </c>
      <c r="Q262" s="59"/>
      <c r="R262" s="59"/>
    </row>
    <row r="263" spans="1:18" ht="72.5" x14ac:dyDescent="0.35">
      <c r="A263" s="40">
        <f t="shared" si="4"/>
        <v>262</v>
      </c>
      <c r="B263" s="53" t="s">
        <v>28</v>
      </c>
      <c r="C263" s="57">
        <v>45345</v>
      </c>
      <c r="D263" s="57">
        <v>45369</v>
      </c>
      <c r="E263" s="52" t="s">
        <v>137</v>
      </c>
      <c r="F263" s="52" t="s">
        <v>67</v>
      </c>
      <c r="G263" s="52" t="s">
        <v>188</v>
      </c>
      <c r="H263" s="58"/>
      <c r="I263" s="58"/>
      <c r="J263" s="52" t="s">
        <v>189</v>
      </c>
      <c r="K263" s="53" t="s">
        <v>79</v>
      </c>
      <c r="L263" s="53"/>
      <c r="M263" s="59"/>
      <c r="N263" s="54" t="s">
        <v>83</v>
      </c>
      <c r="O263" s="54"/>
      <c r="P263" s="54" t="s">
        <v>80</v>
      </c>
      <c r="Q263" s="59" t="s">
        <v>1303</v>
      </c>
      <c r="R263" s="59"/>
    </row>
    <row r="264" spans="1:18" ht="58" x14ac:dyDescent="0.35">
      <c r="A264" s="40">
        <f t="shared" si="4"/>
        <v>263</v>
      </c>
      <c r="B264" s="53" t="s">
        <v>28</v>
      </c>
      <c r="C264" s="57">
        <v>45349</v>
      </c>
      <c r="D264" s="57">
        <v>45370</v>
      </c>
      <c r="E264" s="52" t="s">
        <v>195</v>
      </c>
      <c r="F264" s="52" t="s">
        <v>196</v>
      </c>
      <c r="G264" s="52" t="s">
        <v>197</v>
      </c>
      <c r="H264" s="58"/>
      <c r="I264" s="58"/>
      <c r="J264" s="52" t="s">
        <v>198</v>
      </c>
      <c r="K264" s="53" t="s">
        <v>79</v>
      </c>
      <c r="L264" s="59"/>
      <c r="M264" s="59"/>
      <c r="N264" s="54" t="s">
        <v>83</v>
      </c>
      <c r="O264" s="54"/>
      <c r="P264" s="54" t="s">
        <v>80</v>
      </c>
      <c r="Q264" s="59" t="s">
        <v>1304</v>
      </c>
      <c r="R264" s="59"/>
    </row>
    <row r="265" spans="1:18" ht="159.5" x14ac:dyDescent="0.35">
      <c r="A265" s="40">
        <f t="shared" si="4"/>
        <v>264</v>
      </c>
      <c r="B265" s="53" t="s">
        <v>28</v>
      </c>
      <c r="C265" s="57">
        <v>45345</v>
      </c>
      <c r="D265" s="57">
        <v>45366</v>
      </c>
      <c r="E265" s="52" t="s">
        <v>49</v>
      </c>
      <c r="F265" s="52" t="s">
        <v>87</v>
      </c>
      <c r="G265" s="52" t="s">
        <v>185</v>
      </c>
      <c r="H265" s="58"/>
      <c r="I265" s="58"/>
      <c r="J265" s="52" t="s">
        <v>186</v>
      </c>
      <c r="K265" s="53" t="s">
        <v>81</v>
      </c>
      <c r="L265" s="53"/>
      <c r="M265" s="59"/>
      <c r="N265" s="54" t="s">
        <v>83</v>
      </c>
      <c r="O265" s="54"/>
      <c r="P265" s="54" t="s">
        <v>80</v>
      </c>
      <c r="Q265" s="59" t="s">
        <v>187</v>
      </c>
      <c r="R265" s="59"/>
    </row>
    <row r="266" spans="1:18" ht="43.5" x14ac:dyDescent="0.35">
      <c r="A266" s="40">
        <f t="shared" si="4"/>
        <v>265</v>
      </c>
      <c r="B266" s="53" t="s">
        <v>27</v>
      </c>
      <c r="C266" s="57">
        <v>45327</v>
      </c>
      <c r="D266" s="57">
        <v>45363</v>
      </c>
      <c r="E266" s="52" t="s">
        <v>52</v>
      </c>
      <c r="F266" s="52" t="s">
        <v>53</v>
      </c>
      <c r="G266" s="52" t="s">
        <v>155</v>
      </c>
      <c r="H266" s="58"/>
      <c r="I266" s="58">
        <v>58451184.591866925</v>
      </c>
      <c r="J266" s="52" t="s">
        <v>156</v>
      </c>
      <c r="K266" s="53" t="s">
        <v>85</v>
      </c>
      <c r="L266" s="59"/>
      <c r="M266" s="59"/>
      <c r="N266" s="54" t="s">
        <v>83</v>
      </c>
      <c r="O266" s="54"/>
      <c r="P266" s="54" t="s">
        <v>80</v>
      </c>
      <c r="Q266" s="59" t="s">
        <v>157</v>
      </c>
      <c r="R266" s="59"/>
    </row>
    <row r="267" spans="1:18" ht="72.5" x14ac:dyDescent="0.35">
      <c r="A267" s="40">
        <f t="shared" si="4"/>
        <v>266</v>
      </c>
      <c r="B267" s="53" t="s">
        <v>28</v>
      </c>
      <c r="C267" s="57">
        <v>45350</v>
      </c>
      <c r="D267" s="57">
        <v>45359</v>
      </c>
      <c r="E267" s="52" t="s">
        <v>63</v>
      </c>
      <c r="F267" s="52" t="s">
        <v>199</v>
      </c>
      <c r="G267" s="52" t="s">
        <v>200</v>
      </c>
      <c r="H267" s="58"/>
      <c r="I267" s="58"/>
      <c r="J267" s="52" t="s">
        <v>201</v>
      </c>
      <c r="K267" s="53" t="s">
        <v>79</v>
      </c>
      <c r="L267" s="59"/>
      <c r="M267" s="59"/>
      <c r="N267" s="54" t="s">
        <v>83</v>
      </c>
      <c r="O267" s="54"/>
      <c r="P267" s="54" t="s">
        <v>80</v>
      </c>
      <c r="Q267" s="59"/>
      <c r="R267" s="59"/>
    </row>
    <row r="268" spans="1:18" ht="72.5" x14ac:dyDescent="0.35">
      <c r="A268" s="40">
        <f t="shared" si="4"/>
        <v>267</v>
      </c>
      <c r="B268" s="53" t="s">
        <v>28</v>
      </c>
      <c r="C268" s="57">
        <v>45350</v>
      </c>
      <c r="D268" s="57">
        <v>45359</v>
      </c>
      <c r="E268" s="52" t="s">
        <v>63</v>
      </c>
      <c r="F268" s="52" t="s">
        <v>202</v>
      </c>
      <c r="G268" s="52" t="s">
        <v>203</v>
      </c>
      <c r="H268" s="58"/>
      <c r="I268" s="58"/>
      <c r="J268" s="52" t="s">
        <v>204</v>
      </c>
      <c r="K268" s="53" t="s">
        <v>79</v>
      </c>
      <c r="L268" s="53"/>
      <c r="M268" s="59"/>
      <c r="N268" s="54" t="s">
        <v>83</v>
      </c>
      <c r="O268" s="54"/>
      <c r="P268" s="54" t="s">
        <v>80</v>
      </c>
      <c r="Q268" s="59"/>
      <c r="R268" s="59"/>
    </row>
    <row r="269" spans="1:18" ht="29" x14ac:dyDescent="0.35">
      <c r="A269" s="40">
        <f t="shared" si="4"/>
        <v>268</v>
      </c>
      <c r="B269" s="53" t="s">
        <v>27</v>
      </c>
      <c r="C269" s="57">
        <v>45352</v>
      </c>
      <c r="D269" s="57">
        <v>45359</v>
      </c>
      <c r="E269" s="52" t="s">
        <v>212</v>
      </c>
      <c r="F269" s="52" t="s">
        <v>77</v>
      </c>
      <c r="G269" s="52" t="s">
        <v>213</v>
      </c>
      <c r="H269" s="58"/>
      <c r="I269" s="58"/>
      <c r="J269" s="52" t="s">
        <v>214</v>
      </c>
      <c r="K269" s="53" t="s">
        <v>85</v>
      </c>
      <c r="L269" s="53"/>
      <c r="M269" s="59"/>
      <c r="N269" s="54" t="s">
        <v>83</v>
      </c>
      <c r="O269" s="54"/>
      <c r="P269" s="54" t="s">
        <v>80</v>
      </c>
      <c r="Q269" s="53"/>
      <c r="R269" s="59"/>
    </row>
    <row r="270" spans="1:18" ht="58" x14ac:dyDescent="0.35">
      <c r="A270" s="40">
        <f t="shared" si="4"/>
        <v>269</v>
      </c>
      <c r="B270" s="53" t="s">
        <v>28</v>
      </c>
      <c r="C270" s="57">
        <v>45348</v>
      </c>
      <c r="D270" s="57">
        <v>45363</v>
      </c>
      <c r="E270" s="52" t="s">
        <v>49</v>
      </c>
      <c r="F270" s="52" t="s">
        <v>91</v>
      </c>
      <c r="G270" s="52" t="s">
        <v>190</v>
      </c>
      <c r="H270" s="58"/>
      <c r="I270" s="58"/>
      <c r="J270" s="52" t="s">
        <v>191</v>
      </c>
      <c r="K270" s="53" t="s">
        <v>79</v>
      </c>
      <c r="L270" s="53"/>
      <c r="M270" s="59"/>
      <c r="N270" s="54" t="s">
        <v>83</v>
      </c>
      <c r="O270" s="54"/>
      <c r="P270" s="54" t="s">
        <v>80</v>
      </c>
      <c r="Q270" s="59" t="s">
        <v>192</v>
      </c>
      <c r="R270" s="59"/>
    </row>
    <row r="271" spans="1:18" ht="72.5" x14ac:dyDescent="0.35">
      <c r="A271" s="40">
        <f t="shared" si="4"/>
        <v>270</v>
      </c>
      <c r="B271" s="59" t="s">
        <v>28</v>
      </c>
      <c r="C271" s="57">
        <v>45357</v>
      </c>
      <c r="D271" s="57">
        <v>45362</v>
      </c>
      <c r="E271" s="52" t="s">
        <v>52</v>
      </c>
      <c r="F271" s="52" t="s">
        <v>142</v>
      </c>
      <c r="G271" s="52" t="s">
        <v>1233</v>
      </c>
      <c r="H271" s="58"/>
      <c r="I271" s="58"/>
      <c r="J271" s="52" t="s">
        <v>1234</v>
      </c>
      <c r="K271" s="52" t="s">
        <v>79</v>
      </c>
      <c r="L271" s="54"/>
      <c r="M271" s="54"/>
      <c r="N271" s="54" t="s">
        <v>83</v>
      </c>
      <c r="O271" s="54"/>
      <c r="P271" s="54" t="s">
        <v>80</v>
      </c>
      <c r="Q271" s="53"/>
      <c r="R271" s="59"/>
    </row>
    <row r="272" spans="1:18" ht="409.5" x14ac:dyDescent="0.35">
      <c r="A272" s="40">
        <f t="shared" si="4"/>
        <v>271</v>
      </c>
      <c r="B272" s="53" t="s">
        <v>31</v>
      </c>
      <c r="C272" s="57">
        <v>45349</v>
      </c>
      <c r="D272" s="57">
        <v>45359</v>
      </c>
      <c r="E272" s="52" t="s">
        <v>63</v>
      </c>
      <c r="F272" s="52" t="s">
        <v>56</v>
      </c>
      <c r="G272" s="52" t="s">
        <v>193</v>
      </c>
      <c r="H272" s="58">
        <v>6157938</v>
      </c>
      <c r="I272" s="58">
        <v>8551562.6525423732</v>
      </c>
      <c r="J272" s="52" t="s">
        <v>194</v>
      </c>
      <c r="K272" s="53" t="s">
        <v>79</v>
      </c>
      <c r="L272" s="59"/>
      <c r="M272" s="59"/>
      <c r="N272" s="54" t="s">
        <v>83</v>
      </c>
      <c r="O272" s="54"/>
      <c r="P272" s="54" t="s">
        <v>80</v>
      </c>
      <c r="Q272" s="59" t="s">
        <v>1514</v>
      </c>
      <c r="R272" s="59"/>
    </row>
    <row r="273" spans="1:18" ht="87" x14ac:dyDescent="0.35">
      <c r="A273" s="40">
        <f t="shared" si="4"/>
        <v>272</v>
      </c>
      <c r="B273" s="53" t="s">
        <v>28</v>
      </c>
      <c r="C273" s="57">
        <v>45350</v>
      </c>
      <c r="D273" s="57">
        <v>45353</v>
      </c>
      <c r="E273" s="52" t="s">
        <v>63</v>
      </c>
      <c r="F273" s="52" t="s">
        <v>60</v>
      </c>
      <c r="G273" s="52" t="s">
        <v>158</v>
      </c>
      <c r="H273" s="58"/>
      <c r="I273" s="58"/>
      <c r="J273" s="52" t="s">
        <v>159</v>
      </c>
      <c r="K273" s="53" t="s">
        <v>84</v>
      </c>
      <c r="L273" s="59"/>
      <c r="M273" s="59"/>
      <c r="N273" s="54" t="s">
        <v>83</v>
      </c>
      <c r="O273" s="54"/>
      <c r="P273" s="54" t="s">
        <v>80</v>
      </c>
      <c r="Q273" s="59"/>
      <c r="R273" s="59"/>
    </row>
    <row r="274" spans="1:18" ht="72.5" x14ac:dyDescent="0.35">
      <c r="A274" s="40">
        <f t="shared" si="4"/>
        <v>273</v>
      </c>
      <c r="B274" s="53" t="s">
        <v>28</v>
      </c>
      <c r="C274" s="57">
        <v>45349</v>
      </c>
      <c r="D274" s="57">
        <v>45355</v>
      </c>
      <c r="E274" s="52" t="s">
        <v>52</v>
      </c>
      <c r="F274" s="52" t="s">
        <v>160</v>
      </c>
      <c r="G274" s="52" t="s">
        <v>161</v>
      </c>
      <c r="H274" s="58"/>
      <c r="I274" s="58"/>
      <c r="J274" s="52" t="s">
        <v>162</v>
      </c>
      <c r="K274" s="53" t="s">
        <v>81</v>
      </c>
      <c r="L274" s="53"/>
      <c r="M274" s="59"/>
      <c r="N274" s="54" t="s">
        <v>83</v>
      </c>
      <c r="O274" s="54"/>
      <c r="P274" s="54" t="s">
        <v>80</v>
      </c>
      <c r="Q274" s="59" t="s">
        <v>1229</v>
      </c>
      <c r="R274" s="59"/>
    </row>
    <row r="275" spans="1:18" ht="72.5" x14ac:dyDescent="0.35">
      <c r="A275" s="40">
        <f t="shared" si="4"/>
        <v>274</v>
      </c>
      <c r="B275" s="53" t="s">
        <v>28</v>
      </c>
      <c r="C275" s="57">
        <v>45351</v>
      </c>
      <c r="D275" s="57">
        <v>45352</v>
      </c>
      <c r="E275" s="52" t="s">
        <v>163</v>
      </c>
      <c r="F275" s="52" t="s">
        <v>44</v>
      </c>
      <c r="G275" s="52" t="s">
        <v>164</v>
      </c>
      <c r="H275" s="58"/>
      <c r="I275" s="58"/>
      <c r="J275" s="52" t="s">
        <v>165</v>
      </c>
      <c r="K275" s="53" t="s">
        <v>84</v>
      </c>
      <c r="L275" s="53"/>
      <c r="M275" s="59"/>
      <c r="N275" s="54" t="s">
        <v>83</v>
      </c>
      <c r="O275" s="54"/>
      <c r="P275" s="54" t="s">
        <v>80</v>
      </c>
      <c r="Q275" s="59"/>
      <c r="R275" s="59"/>
    </row>
    <row r="276" spans="1:18" ht="72.5" x14ac:dyDescent="0.35">
      <c r="A276" s="40">
        <f t="shared" si="4"/>
        <v>275</v>
      </c>
      <c r="B276" s="59" t="s">
        <v>28</v>
      </c>
      <c r="C276" s="57">
        <v>45336</v>
      </c>
      <c r="D276" s="57">
        <v>45356</v>
      </c>
      <c r="E276" s="52" t="s">
        <v>49</v>
      </c>
      <c r="F276" s="52" t="s">
        <v>149</v>
      </c>
      <c r="G276" s="52" t="s">
        <v>166</v>
      </c>
      <c r="H276" s="58"/>
      <c r="I276" s="58"/>
      <c r="J276" s="52" t="s">
        <v>167</v>
      </c>
      <c r="K276" s="54" t="s">
        <v>147</v>
      </c>
      <c r="L276" s="54"/>
      <c r="M276" s="54"/>
      <c r="N276" s="54" t="s">
        <v>83</v>
      </c>
      <c r="O276" s="54"/>
      <c r="P276" s="54" t="s">
        <v>80</v>
      </c>
      <c r="Q276" s="59" t="s">
        <v>168</v>
      </c>
      <c r="R276" s="59"/>
    </row>
    <row r="277" spans="1:18" ht="116" x14ac:dyDescent="0.35">
      <c r="A277" s="40">
        <f t="shared" si="4"/>
        <v>276</v>
      </c>
      <c r="B277" s="53" t="s">
        <v>28</v>
      </c>
      <c r="C277" s="57">
        <v>45341</v>
      </c>
      <c r="D277" s="57">
        <v>45356</v>
      </c>
      <c r="E277" s="52" t="s">
        <v>169</v>
      </c>
      <c r="F277" s="52" t="s">
        <v>170</v>
      </c>
      <c r="G277" s="52" t="s">
        <v>171</v>
      </c>
      <c r="H277" s="58"/>
      <c r="I277" s="58"/>
      <c r="J277" s="52" t="s">
        <v>172</v>
      </c>
      <c r="K277" s="53" t="s">
        <v>79</v>
      </c>
      <c r="L277" s="59"/>
      <c r="M277" s="59"/>
      <c r="N277" s="54" t="s">
        <v>83</v>
      </c>
      <c r="O277" s="54"/>
      <c r="P277" s="54" t="s">
        <v>80</v>
      </c>
      <c r="Q277" s="53"/>
      <c r="R277" s="59"/>
    </row>
    <row r="278" spans="1:18" ht="72.5" x14ac:dyDescent="0.35">
      <c r="A278" s="40">
        <f t="shared" si="4"/>
        <v>277</v>
      </c>
      <c r="B278" s="53" t="s">
        <v>28</v>
      </c>
      <c r="C278" s="57">
        <v>45348</v>
      </c>
      <c r="D278" s="57">
        <v>45358</v>
      </c>
      <c r="E278" s="52" t="s">
        <v>173</v>
      </c>
      <c r="F278" s="52" t="s">
        <v>146</v>
      </c>
      <c r="G278" s="52" t="s">
        <v>174</v>
      </c>
      <c r="H278" s="58"/>
      <c r="I278" s="58"/>
      <c r="J278" s="52" t="s">
        <v>175</v>
      </c>
      <c r="K278" s="53" t="s">
        <v>85</v>
      </c>
      <c r="L278" s="59"/>
      <c r="M278" s="59"/>
      <c r="N278" s="54" t="s">
        <v>83</v>
      </c>
      <c r="O278" s="54"/>
      <c r="P278" s="54" t="s">
        <v>80</v>
      </c>
      <c r="Q278" s="53"/>
      <c r="R278" s="59"/>
    </row>
    <row r="279" spans="1:18" ht="58" x14ac:dyDescent="0.35">
      <c r="A279" s="40">
        <f t="shared" si="4"/>
        <v>278</v>
      </c>
      <c r="B279" s="53" t="s">
        <v>28</v>
      </c>
      <c r="C279" s="57">
        <v>45349</v>
      </c>
      <c r="D279" s="57">
        <v>45358</v>
      </c>
      <c r="E279" s="52" t="s">
        <v>63</v>
      </c>
      <c r="F279" s="52" t="s">
        <v>176</v>
      </c>
      <c r="G279" s="52" t="s">
        <v>177</v>
      </c>
      <c r="H279" s="58"/>
      <c r="I279" s="58"/>
      <c r="J279" s="52" t="s">
        <v>178</v>
      </c>
      <c r="K279" s="53" t="s">
        <v>79</v>
      </c>
      <c r="L279" s="53"/>
      <c r="M279" s="59"/>
      <c r="N279" s="54" t="s">
        <v>83</v>
      </c>
      <c r="O279" s="54"/>
      <c r="P279" s="54" t="s">
        <v>80</v>
      </c>
      <c r="Q279" s="59"/>
      <c r="R279" s="59"/>
    </row>
    <row r="280" spans="1:18" ht="409.5" x14ac:dyDescent="0.35">
      <c r="A280" s="40">
        <f t="shared" si="4"/>
        <v>279</v>
      </c>
      <c r="B280" s="53" t="s">
        <v>31</v>
      </c>
      <c r="C280" s="57">
        <v>45341</v>
      </c>
      <c r="D280" s="57">
        <v>45359</v>
      </c>
      <c r="E280" s="52" t="s">
        <v>88</v>
      </c>
      <c r="F280" s="52" t="s">
        <v>43</v>
      </c>
      <c r="G280" s="52" t="s">
        <v>183</v>
      </c>
      <c r="H280" s="58">
        <v>17115840</v>
      </c>
      <c r="I280" s="58">
        <v>22709232.000000004</v>
      </c>
      <c r="J280" s="52" t="s">
        <v>184</v>
      </c>
      <c r="K280" s="53" t="s">
        <v>81</v>
      </c>
      <c r="L280" s="53"/>
      <c r="M280" s="59"/>
      <c r="N280" s="54" t="s">
        <v>83</v>
      </c>
      <c r="O280" s="54"/>
      <c r="P280" s="54" t="s">
        <v>80</v>
      </c>
      <c r="Q280" s="59" t="s">
        <v>1493</v>
      </c>
      <c r="R280" s="59"/>
    </row>
    <row r="281" spans="1:18" ht="87" x14ac:dyDescent="0.35">
      <c r="A281" s="40">
        <f t="shared" si="4"/>
        <v>280</v>
      </c>
      <c r="B281" s="53" t="s">
        <v>33</v>
      </c>
      <c r="C281" s="57">
        <v>45335</v>
      </c>
      <c r="D281" s="57">
        <v>45362</v>
      </c>
      <c r="E281" s="52" t="s">
        <v>179</v>
      </c>
      <c r="F281" s="52" t="s">
        <v>43</v>
      </c>
      <c r="G281" s="52" t="s">
        <v>180</v>
      </c>
      <c r="H281" s="58"/>
      <c r="I281" s="58"/>
      <c r="J281" s="52" t="s">
        <v>181</v>
      </c>
      <c r="K281" s="53" t="s">
        <v>81</v>
      </c>
      <c r="L281" s="59"/>
      <c r="M281" s="59"/>
      <c r="N281" s="54" t="s">
        <v>83</v>
      </c>
      <c r="O281" s="54"/>
      <c r="P281" s="54" t="s">
        <v>80</v>
      </c>
      <c r="Q281" s="59" t="s">
        <v>182</v>
      </c>
      <c r="R281" s="59"/>
    </row>
    <row r="282" spans="1:18" ht="58" x14ac:dyDescent="0.35">
      <c r="A282" s="40">
        <f t="shared" si="4"/>
        <v>281</v>
      </c>
      <c r="B282" s="59" t="s">
        <v>28</v>
      </c>
      <c r="C282" s="57">
        <v>45353</v>
      </c>
      <c r="D282" s="57">
        <v>45356</v>
      </c>
      <c r="E282" s="52" t="s">
        <v>328</v>
      </c>
      <c r="F282" s="52" t="s">
        <v>135</v>
      </c>
      <c r="G282" s="52" t="s">
        <v>1225</v>
      </c>
      <c r="H282" s="58"/>
      <c r="I282" s="58"/>
      <c r="J282" s="52" t="s">
        <v>1226</v>
      </c>
      <c r="K282" s="52" t="s">
        <v>79</v>
      </c>
      <c r="L282" s="54"/>
      <c r="M282" s="54"/>
      <c r="N282" s="54" t="s">
        <v>83</v>
      </c>
      <c r="O282" s="54"/>
      <c r="P282" s="54" t="s">
        <v>80</v>
      </c>
      <c r="Q282" s="59"/>
      <c r="R282" s="59"/>
    </row>
    <row r="283" spans="1:18" ht="130.5" x14ac:dyDescent="0.35">
      <c r="A283" s="40">
        <f t="shared" si="4"/>
        <v>282</v>
      </c>
      <c r="B283" s="53" t="s">
        <v>33</v>
      </c>
      <c r="C283" s="57">
        <v>45306</v>
      </c>
      <c r="D283" s="57">
        <v>45352</v>
      </c>
      <c r="E283" s="52" t="s">
        <v>88</v>
      </c>
      <c r="F283" s="52" t="s">
        <v>116</v>
      </c>
      <c r="G283" s="52" t="s">
        <v>152</v>
      </c>
      <c r="H283" s="58"/>
      <c r="I283" s="58"/>
      <c r="J283" s="52" t="s">
        <v>153</v>
      </c>
      <c r="K283" s="53" t="s">
        <v>79</v>
      </c>
      <c r="L283" s="59"/>
      <c r="M283" s="59"/>
      <c r="N283" s="54" t="s">
        <v>83</v>
      </c>
      <c r="O283" s="54"/>
      <c r="P283" s="54" t="s">
        <v>80</v>
      </c>
      <c r="Q283" s="59" t="s">
        <v>154</v>
      </c>
      <c r="R283" s="59"/>
    </row>
    <row r="284" spans="1:18" ht="29" x14ac:dyDescent="0.35">
      <c r="A284" s="40">
        <f t="shared" si="4"/>
        <v>283</v>
      </c>
      <c r="B284" s="53" t="s">
        <v>27</v>
      </c>
      <c r="C284" s="57">
        <v>45338</v>
      </c>
      <c r="D284" s="57">
        <v>45354</v>
      </c>
      <c r="E284" s="52" t="s">
        <v>144</v>
      </c>
      <c r="F284" s="52" t="s">
        <v>98</v>
      </c>
      <c r="G284" s="52" t="s">
        <v>215</v>
      </c>
      <c r="H284" s="58"/>
      <c r="I284" s="58">
        <v>32471358.859999999</v>
      </c>
      <c r="J284" s="52" t="s">
        <v>216</v>
      </c>
      <c r="K284" s="53"/>
      <c r="L284" s="59"/>
      <c r="M284" s="59"/>
      <c r="N284" s="54" t="s">
        <v>83</v>
      </c>
      <c r="O284" s="54"/>
      <c r="P284" s="54" t="s">
        <v>80</v>
      </c>
      <c r="Q284" s="53"/>
      <c r="R284" s="59"/>
    </row>
    <row r="285" spans="1:18" ht="145" x14ac:dyDescent="0.35">
      <c r="A285" s="40">
        <f t="shared" si="4"/>
        <v>284</v>
      </c>
      <c r="B285" s="53" t="s">
        <v>28</v>
      </c>
      <c r="C285" s="57">
        <v>45345</v>
      </c>
      <c r="D285" s="57">
        <v>45350</v>
      </c>
      <c r="E285" s="52" t="s">
        <v>96</v>
      </c>
      <c r="F285" s="52" t="s">
        <v>45</v>
      </c>
      <c r="G285" s="52" t="s">
        <v>217</v>
      </c>
      <c r="H285" s="58"/>
      <c r="I285" s="58"/>
      <c r="J285" s="52" t="s">
        <v>218</v>
      </c>
      <c r="K285" s="53" t="s">
        <v>81</v>
      </c>
      <c r="L285" s="59"/>
      <c r="M285" s="59"/>
      <c r="N285" s="54"/>
      <c r="O285" s="54"/>
      <c r="P285" s="54"/>
      <c r="Q285" s="59"/>
      <c r="R285" s="59"/>
    </row>
    <row r="286" spans="1:18" ht="145" x14ac:dyDescent="0.35">
      <c r="A286" s="40">
        <f t="shared" si="4"/>
        <v>285</v>
      </c>
      <c r="B286" s="53" t="s">
        <v>28</v>
      </c>
      <c r="C286" s="57">
        <v>45345</v>
      </c>
      <c r="D286" s="57">
        <v>45350</v>
      </c>
      <c r="E286" s="52" t="s">
        <v>96</v>
      </c>
      <c r="F286" s="52" t="s">
        <v>45</v>
      </c>
      <c r="G286" s="52" t="s">
        <v>219</v>
      </c>
      <c r="H286" s="58"/>
      <c r="I286" s="58"/>
      <c r="J286" s="52" t="s">
        <v>220</v>
      </c>
      <c r="K286" s="53" t="s">
        <v>81</v>
      </c>
      <c r="L286" s="59"/>
      <c r="M286" s="59"/>
      <c r="N286" s="54" t="s">
        <v>83</v>
      </c>
      <c r="O286" s="54"/>
      <c r="P286" s="54" t="s">
        <v>80</v>
      </c>
      <c r="Q286" s="59"/>
      <c r="R286" s="59"/>
    </row>
    <row r="287" spans="1:18" ht="72.5" x14ac:dyDescent="0.35">
      <c r="A287" s="40">
        <f t="shared" si="4"/>
        <v>286</v>
      </c>
      <c r="B287" s="53" t="s">
        <v>27</v>
      </c>
      <c r="C287" s="57">
        <v>45338</v>
      </c>
      <c r="D287" s="57">
        <v>45351</v>
      </c>
      <c r="E287" s="52" t="s">
        <v>221</v>
      </c>
      <c r="F287" s="52" t="s">
        <v>43</v>
      </c>
      <c r="G287" s="52" t="s">
        <v>222</v>
      </c>
      <c r="H287" s="58"/>
      <c r="I287" s="58">
        <v>15746831</v>
      </c>
      <c r="J287" s="52" t="s">
        <v>223</v>
      </c>
      <c r="K287" s="53" t="s">
        <v>81</v>
      </c>
      <c r="L287" s="59"/>
      <c r="M287" s="59"/>
      <c r="N287" s="54" t="s">
        <v>83</v>
      </c>
      <c r="O287" s="54"/>
      <c r="P287" s="54" t="s">
        <v>80</v>
      </c>
      <c r="Q287" s="59" t="s">
        <v>168</v>
      </c>
      <c r="R287" s="59"/>
    </row>
    <row r="288" spans="1:18" ht="101.5" x14ac:dyDescent="0.35">
      <c r="A288" s="40">
        <f t="shared" si="4"/>
        <v>287</v>
      </c>
      <c r="B288" s="53" t="s">
        <v>28</v>
      </c>
      <c r="C288" s="57">
        <v>45323</v>
      </c>
      <c r="D288" s="57">
        <v>45344</v>
      </c>
      <c r="E288" s="52" t="s">
        <v>224</v>
      </c>
      <c r="F288" s="52" t="s">
        <v>225</v>
      </c>
      <c r="G288" s="52" t="s">
        <v>226</v>
      </c>
      <c r="H288" s="58"/>
      <c r="I288" s="58"/>
      <c r="J288" s="52" t="s">
        <v>227</v>
      </c>
      <c r="K288" s="53" t="s">
        <v>84</v>
      </c>
      <c r="L288" s="53"/>
      <c r="M288" s="59"/>
      <c r="N288" s="54" t="s">
        <v>83</v>
      </c>
      <c r="O288" s="54"/>
      <c r="P288" s="54" t="s">
        <v>80</v>
      </c>
      <c r="Q288" s="53"/>
      <c r="R288" s="59"/>
    </row>
    <row r="289" spans="1:18" ht="101.5" x14ac:dyDescent="0.35">
      <c r="A289" s="40">
        <f t="shared" si="4"/>
        <v>288</v>
      </c>
      <c r="B289" s="53" t="s">
        <v>28</v>
      </c>
      <c r="C289" s="57">
        <v>45325</v>
      </c>
      <c r="D289" s="57">
        <v>45344</v>
      </c>
      <c r="E289" s="52" t="s">
        <v>49</v>
      </c>
      <c r="F289" s="52" t="s">
        <v>87</v>
      </c>
      <c r="G289" s="52" t="s">
        <v>228</v>
      </c>
      <c r="H289" s="58"/>
      <c r="I289" s="58"/>
      <c r="J289" s="52" t="s">
        <v>229</v>
      </c>
      <c r="K289" s="53" t="s">
        <v>81</v>
      </c>
      <c r="L289" s="53"/>
      <c r="M289" s="59"/>
      <c r="N289" s="54" t="s">
        <v>83</v>
      </c>
      <c r="O289" s="53"/>
      <c r="P289" s="54" t="s">
        <v>80</v>
      </c>
      <c r="Q289" s="59" t="s">
        <v>230</v>
      </c>
      <c r="R289" s="59"/>
    </row>
    <row r="290" spans="1:18" ht="130.5" x14ac:dyDescent="0.35">
      <c r="A290" s="40">
        <f t="shared" si="4"/>
        <v>289</v>
      </c>
      <c r="B290" s="53" t="s">
        <v>28</v>
      </c>
      <c r="C290" s="57">
        <v>45335</v>
      </c>
      <c r="D290" s="57">
        <v>45342</v>
      </c>
      <c r="E290" s="52" t="s">
        <v>63</v>
      </c>
      <c r="F290" s="52" t="s">
        <v>89</v>
      </c>
      <c r="G290" s="52" t="s">
        <v>231</v>
      </c>
      <c r="H290" s="58"/>
      <c r="I290" s="58"/>
      <c r="J290" s="52" t="s">
        <v>232</v>
      </c>
      <c r="K290" s="53" t="s">
        <v>233</v>
      </c>
      <c r="L290" s="59"/>
      <c r="M290" s="59"/>
      <c r="N290" s="54" t="s">
        <v>83</v>
      </c>
      <c r="O290" s="54"/>
      <c r="P290" s="54" t="s">
        <v>80</v>
      </c>
      <c r="Q290" s="59"/>
      <c r="R290" s="59"/>
    </row>
    <row r="291" spans="1:18" ht="58" x14ac:dyDescent="0.35">
      <c r="A291" s="40">
        <f t="shared" si="4"/>
        <v>290</v>
      </c>
      <c r="B291" s="53" t="s">
        <v>28</v>
      </c>
      <c r="C291" s="57">
        <v>45335</v>
      </c>
      <c r="D291" s="57">
        <v>45345</v>
      </c>
      <c r="E291" s="52" t="s">
        <v>49</v>
      </c>
      <c r="F291" s="52" t="s">
        <v>136</v>
      </c>
      <c r="G291" s="52" t="s">
        <v>234</v>
      </c>
      <c r="H291" s="58"/>
      <c r="I291" s="58"/>
      <c r="J291" s="52" t="s">
        <v>235</v>
      </c>
      <c r="K291" s="53" t="s">
        <v>81</v>
      </c>
      <c r="L291" s="59"/>
      <c r="M291" s="59"/>
      <c r="N291" s="54" t="s">
        <v>83</v>
      </c>
      <c r="O291" s="54"/>
      <c r="P291" s="54" t="s">
        <v>80</v>
      </c>
      <c r="Q291" s="59"/>
      <c r="R291" s="59"/>
    </row>
    <row r="292" spans="1:18" ht="101.5" x14ac:dyDescent="0.35">
      <c r="A292" s="40">
        <f t="shared" si="4"/>
        <v>291</v>
      </c>
      <c r="B292" s="53" t="s">
        <v>28</v>
      </c>
      <c r="C292" s="57">
        <v>45321</v>
      </c>
      <c r="D292" s="57">
        <v>45348</v>
      </c>
      <c r="E292" s="52" t="s">
        <v>236</v>
      </c>
      <c r="F292" s="52" t="s">
        <v>237</v>
      </c>
      <c r="G292" s="52" t="s">
        <v>238</v>
      </c>
      <c r="H292" s="58"/>
      <c r="I292" s="58"/>
      <c r="J292" s="52" t="s">
        <v>239</v>
      </c>
      <c r="K292" s="53" t="s">
        <v>81</v>
      </c>
      <c r="L292" s="53"/>
      <c r="M292" s="59"/>
      <c r="N292" s="54" t="s">
        <v>83</v>
      </c>
      <c r="O292" s="54"/>
      <c r="P292" s="54" t="s">
        <v>80</v>
      </c>
      <c r="Q292" s="53" t="s">
        <v>240</v>
      </c>
      <c r="R292" s="59"/>
    </row>
    <row r="293" spans="1:18" ht="174" x14ac:dyDescent="0.35">
      <c r="A293" s="40">
        <f t="shared" si="4"/>
        <v>292</v>
      </c>
      <c r="B293" s="53" t="s">
        <v>28</v>
      </c>
      <c r="C293" s="57">
        <v>45327</v>
      </c>
      <c r="D293" s="57">
        <v>45348</v>
      </c>
      <c r="E293" s="52" t="s">
        <v>63</v>
      </c>
      <c r="F293" s="52" t="s">
        <v>117</v>
      </c>
      <c r="G293" s="52" t="s">
        <v>241</v>
      </c>
      <c r="H293" s="58"/>
      <c r="I293" s="58"/>
      <c r="J293" s="52" t="s">
        <v>242</v>
      </c>
      <c r="K293" s="53" t="s">
        <v>82</v>
      </c>
      <c r="L293" s="59"/>
      <c r="M293" s="59"/>
      <c r="N293" s="54" t="s">
        <v>83</v>
      </c>
      <c r="O293" s="54"/>
      <c r="P293" s="54" t="s">
        <v>80</v>
      </c>
      <c r="Q293" s="59" t="s">
        <v>243</v>
      </c>
      <c r="R293" s="59"/>
    </row>
    <row r="294" spans="1:18" ht="101.5" x14ac:dyDescent="0.35">
      <c r="A294" s="40">
        <f t="shared" si="4"/>
        <v>293</v>
      </c>
      <c r="B294" s="53" t="s">
        <v>28</v>
      </c>
      <c r="C294" s="57">
        <v>45341</v>
      </c>
      <c r="D294" s="57">
        <v>45348</v>
      </c>
      <c r="E294" s="52" t="s">
        <v>88</v>
      </c>
      <c r="F294" s="52" t="s">
        <v>60</v>
      </c>
      <c r="G294" s="52" t="s">
        <v>244</v>
      </c>
      <c r="H294" s="58"/>
      <c r="I294" s="58"/>
      <c r="J294" s="52" t="s">
        <v>245</v>
      </c>
      <c r="K294" s="53" t="s">
        <v>84</v>
      </c>
      <c r="L294" s="59"/>
      <c r="M294" s="59"/>
      <c r="N294" s="54" t="s">
        <v>83</v>
      </c>
      <c r="O294" s="54"/>
      <c r="P294" s="54" t="s">
        <v>80</v>
      </c>
      <c r="Q294" s="53" t="s">
        <v>246</v>
      </c>
      <c r="R294" s="59"/>
    </row>
    <row r="295" spans="1:18" ht="72.5" x14ac:dyDescent="0.35">
      <c r="A295" s="40">
        <f t="shared" si="4"/>
        <v>294</v>
      </c>
      <c r="B295" s="53" t="s">
        <v>28</v>
      </c>
      <c r="C295" s="57">
        <v>45331</v>
      </c>
      <c r="D295" s="57">
        <v>45350</v>
      </c>
      <c r="E295" s="52" t="s">
        <v>124</v>
      </c>
      <c r="F295" s="52" t="s">
        <v>100</v>
      </c>
      <c r="G295" s="52" t="s">
        <v>247</v>
      </c>
      <c r="H295" s="58"/>
      <c r="I295" s="58"/>
      <c r="J295" s="52" t="s">
        <v>248</v>
      </c>
      <c r="K295" s="53" t="s">
        <v>82</v>
      </c>
      <c r="L295" s="53"/>
      <c r="M295" s="59"/>
      <c r="N295" s="54" t="s">
        <v>83</v>
      </c>
      <c r="O295" s="54"/>
      <c r="P295" s="54" t="s">
        <v>80</v>
      </c>
      <c r="Q295" s="59" t="s">
        <v>249</v>
      </c>
      <c r="R295" s="59"/>
    </row>
    <row r="296" spans="1:18" ht="101.5" x14ac:dyDescent="0.35">
      <c r="A296" s="40">
        <f t="shared" si="4"/>
        <v>295</v>
      </c>
      <c r="B296" s="53" t="s">
        <v>28</v>
      </c>
      <c r="C296" s="57">
        <v>45337</v>
      </c>
      <c r="D296" s="57">
        <v>45350</v>
      </c>
      <c r="E296" s="52" t="s">
        <v>49</v>
      </c>
      <c r="F296" s="52" t="s">
        <v>134</v>
      </c>
      <c r="G296" s="52" t="s">
        <v>250</v>
      </c>
      <c r="H296" s="58"/>
      <c r="I296" s="58"/>
      <c r="J296" s="52" t="s">
        <v>251</v>
      </c>
      <c r="K296" s="53" t="s">
        <v>81</v>
      </c>
      <c r="L296" s="53"/>
      <c r="M296" s="59"/>
      <c r="N296" s="54" t="s">
        <v>83</v>
      </c>
      <c r="O296" s="54"/>
      <c r="P296" s="54" t="s">
        <v>80</v>
      </c>
      <c r="Q296" s="53" t="s">
        <v>252</v>
      </c>
      <c r="R296" s="59"/>
    </row>
    <row r="297" spans="1:18" ht="29" x14ac:dyDescent="0.35">
      <c r="A297" s="40">
        <f t="shared" si="4"/>
        <v>296</v>
      </c>
      <c r="B297" s="53" t="s">
        <v>27</v>
      </c>
      <c r="C297" s="57">
        <v>45342</v>
      </c>
      <c r="D297" s="57">
        <v>45349</v>
      </c>
      <c r="E297" s="52" t="s">
        <v>52</v>
      </c>
      <c r="F297" s="52" t="s">
        <v>53</v>
      </c>
      <c r="G297" s="52" t="s">
        <v>253</v>
      </c>
      <c r="H297" s="58"/>
      <c r="I297" s="58">
        <v>4956626.4000000004</v>
      </c>
      <c r="J297" s="52" t="s">
        <v>254</v>
      </c>
      <c r="K297" s="53" t="s">
        <v>85</v>
      </c>
      <c r="L297" s="59"/>
      <c r="M297" s="59"/>
      <c r="N297" s="54" t="s">
        <v>83</v>
      </c>
      <c r="O297" s="54"/>
      <c r="P297" s="54" t="s">
        <v>80</v>
      </c>
      <c r="Q297" s="59"/>
      <c r="R297" s="59"/>
    </row>
    <row r="298" spans="1:18" ht="188.5" x14ac:dyDescent="0.35">
      <c r="A298" s="40">
        <f t="shared" si="4"/>
        <v>297</v>
      </c>
      <c r="B298" s="53" t="s">
        <v>28</v>
      </c>
      <c r="C298" s="57">
        <v>45341</v>
      </c>
      <c r="D298" s="57">
        <v>45352</v>
      </c>
      <c r="E298" s="52" t="s">
        <v>169</v>
      </c>
      <c r="F298" s="52" t="s">
        <v>65</v>
      </c>
      <c r="G298" s="52" t="s">
        <v>255</v>
      </c>
      <c r="H298" s="58"/>
      <c r="I298" s="58"/>
      <c r="J298" s="52" t="s">
        <v>256</v>
      </c>
      <c r="K298" s="53" t="s">
        <v>79</v>
      </c>
      <c r="L298" s="53"/>
      <c r="M298" s="59"/>
      <c r="N298" s="54" t="s">
        <v>83</v>
      </c>
      <c r="O298" s="54"/>
      <c r="P298" s="54" t="s">
        <v>80</v>
      </c>
      <c r="Q298" s="59" t="s">
        <v>168</v>
      </c>
      <c r="R298" s="59"/>
    </row>
    <row r="299" spans="1:18" ht="409.5" x14ac:dyDescent="0.35">
      <c r="A299" s="40">
        <f t="shared" si="4"/>
        <v>298</v>
      </c>
      <c r="B299" s="53" t="s">
        <v>31</v>
      </c>
      <c r="C299" s="57">
        <v>45331</v>
      </c>
      <c r="D299" s="57">
        <v>45344</v>
      </c>
      <c r="E299" s="52" t="s">
        <v>257</v>
      </c>
      <c r="F299" s="52" t="s">
        <v>258</v>
      </c>
      <c r="G299" s="52" t="s">
        <v>259</v>
      </c>
      <c r="H299" s="58">
        <v>20979305.93220339</v>
      </c>
      <c r="I299" s="58">
        <v>20979305.93220339</v>
      </c>
      <c r="J299" s="52" t="s">
        <v>260</v>
      </c>
      <c r="K299" s="53" t="s">
        <v>81</v>
      </c>
      <c r="L299" s="59"/>
      <c r="M299" s="59"/>
      <c r="N299" s="54" t="s">
        <v>83</v>
      </c>
      <c r="O299" s="54"/>
      <c r="P299" s="54" t="s">
        <v>80</v>
      </c>
      <c r="Q299" s="59" t="s">
        <v>1518</v>
      </c>
      <c r="R299" s="59"/>
    </row>
    <row r="300" spans="1:18" ht="72.5" x14ac:dyDescent="0.35">
      <c r="A300" s="40">
        <f t="shared" si="4"/>
        <v>299</v>
      </c>
      <c r="B300" s="53" t="s">
        <v>28</v>
      </c>
      <c r="C300" s="57">
        <v>45329</v>
      </c>
      <c r="D300" s="57">
        <v>45349</v>
      </c>
      <c r="E300" s="52" t="s">
        <v>257</v>
      </c>
      <c r="F300" s="52" t="s">
        <v>258</v>
      </c>
      <c r="G300" s="52" t="s">
        <v>261</v>
      </c>
      <c r="H300" s="58"/>
      <c r="I300" s="58"/>
      <c r="J300" s="52" t="s">
        <v>262</v>
      </c>
      <c r="K300" s="53" t="s">
        <v>81</v>
      </c>
      <c r="L300" s="53"/>
      <c r="M300" s="59"/>
      <c r="N300" s="54" t="s">
        <v>83</v>
      </c>
      <c r="O300" s="54"/>
      <c r="P300" s="54" t="s">
        <v>80</v>
      </c>
      <c r="Q300" s="59" t="s">
        <v>263</v>
      </c>
      <c r="R300" s="59"/>
    </row>
    <row r="301" spans="1:18" ht="275.5" x14ac:dyDescent="0.35">
      <c r="A301" s="40">
        <f t="shared" si="4"/>
        <v>300</v>
      </c>
      <c r="B301" s="53" t="s">
        <v>31</v>
      </c>
      <c r="C301" s="57">
        <v>45314</v>
      </c>
      <c r="D301" s="57">
        <v>45345</v>
      </c>
      <c r="E301" s="52" t="s">
        <v>264</v>
      </c>
      <c r="F301" s="52" t="s">
        <v>265</v>
      </c>
      <c r="G301" s="52" t="s">
        <v>266</v>
      </c>
      <c r="H301" s="58">
        <v>41650556.560000002</v>
      </c>
      <c r="I301" s="58">
        <v>53607581.994508505</v>
      </c>
      <c r="J301" s="52" t="s">
        <v>267</v>
      </c>
      <c r="K301" s="53" t="s">
        <v>79</v>
      </c>
      <c r="L301" s="53"/>
      <c r="M301" s="59"/>
      <c r="N301" s="54" t="s">
        <v>83</v>
      </c>
      <c r="O301" s="54"/>
      <c r="P301" s="54" t="s">
        <v>80</v>
      </c>
      <c r="Q301" s="53" t="s">
        <v>1277</v>
      </c>
      <c r="R301" s="59"/>
    </row>
    <row r="302" spans="1:18" ht="101.5" x14ac:dyDescent="0.35">
      <c r="A302" s="40">
        <f t="shared" si="4"/>
        <v>301</v>
      </c>
      <c r="B302" s="53" t="s">
        <v>27</v>
      </c>
      <c r="C302" s="57">
        <v>45336</v>
      </c>
      <c r="D302" s="57">
        <v>45345</v>
      </c>
      <c r="E302" s="52" t="s">
        <v>268</v>
      </c>
      <c r="F302" s="52" t="s">
        <v>142</v>
      </c>
      <c r="G302" s="52" t="s">
        <v>269</v>
      </c>
      <c r="H302" s="58"/>
      <c r="I302" s="58">
        <v>4780000</v>
      </c>
      <c r="J302" s="52" t="s">
        <v>270</v>
      </c>
      <c r="K302" s="53" t="s">
        <v>147</v>
      </c>
      <c r="L302" s="53"/>
      <c r="M302" s="59"/>
      <c r="N302" s="54" t="s">
        <v>83</v>
      </c>
      <c r="O302" s="54"/>
      <c r="P302" s="54" t="s">
        <v>80</v>
      </c>
      <c r="Q302" s="59" t="s">
        <v>168</v>
      </c>
      <c r="R302" s="59"/>
    </row>
    <row r="303" spans="1:18" ht="43.5" x14ac:dyDescent="0.35">
      <c r="A303" s="40">
        <f t="shared" si="4"/>
        <v>302</v>
      </c>
      <c r="B303" s="53" t="s">
        <v>28</v>
      </c>
      <c r="C303" s="57">
        <v>45342</v>
      </c>
      <c r="D303" s="57">
        <v>45346</v>
      </c>
      <c r="E303" s="52" t="s">
        <v>271</v>
      </c>
      <c r="F303" s="52" t="s">
        <v>135</v>
      </c>
      <c r="G303" s="52" t="s">
        <v>272</v>
      </c>
      <c r="H303" s="58"/>
      <c r="I303" s="58"/>
      <c r="J303" s="52" t="s">
        <v>273</v>
      </c>
      <c r="K303" s="53" t="s">
        <v>79</v>
      </c>
      <c r="L303" s="53"/>
      <c r="M303" s="59"/>
      <c r="N303" s="54" t="s">
        <v>83</v>
      </c>
      <c r="O303" s="54"/>
      <c r="P303" s="54" t="s">
        <v>80</v>
      </c>
      <c r="Q303" s="59" t="s">
        <v>274</v>
      </c>
      <c r="R303" s="59"/>
    </row>
    <row r="304" spans="1:18" ht="43.5" x14ac:dyDescent="0.35">
      <c r="A304" s="40">
        <f t="shared" si="4"/>
        <v>303</v>
      </c>
      <c r="B304" s="53" t="s">
        <v>27</v>
      </c>
      <c r="C304" s="57">
        <v>45329</v>
      </c>
      <c r="D304" s="57">
        <v>45342</v>
      </c>
      <c r="E304" s="52" t="s">
        <v>275</v>
      </c>
      <c r="F304" s="52" t="s">
        <v>276</v>
      </c>
      <c r="G304" s="52" t="s">
        <v>277</v>
      </c>
      <c r="H304" s="58"/>
      <c r="I304" s="58"/>
      <c r="J304" s="52" t="s">
        <v>278</v>
      </c>
      <c r="K304" s="53" t="s">
        <v>85</v>
      </c>
      <c r="L304" s="53"/>
      <c r="M304" s="59"/>
      <c r="N304" s="54" t="s">
        <v>83</v>
      </c>
      <c r="O304" s="54"/>
      <c r="P304" s="54" t="s">
        <v>80</v>
      </c>
      <c r="Q304" s="59"/>
      <c r="R304" s="59"/>
    </row>
    <row r="305" spans="1:18" ht="116" x14ac:dyDescent="0.35">
      <c r="A305" s="40">
        <f t="shared" si="4"/>
        <v>304</v>
      </c>
      <c r="B305" s="53" t="s">
        <v>28</v>
      </c>
      <c r="C305" s="57">
        <v>45328</v>
      </c>
      <c r="D305" s="57">
        <v>45338</v>
      </c>
      <c r="E305" s="52" t="s">
        <v>88</v>
      </c>
      <c r="F305" s="52" t="s">
        <v>279</v>
      </c>
      <c r="G305" s="52" t="s">
        <v>280</v>
      </c>
      <c r="H305" s="58"/>
      <c r="I305" s="58"/>
      <c r="J305" s="52" t="s">
        <v>281</v>
      </c>
      <c r="K305" s="53" t="s">
        <v>82</v>
      </c>
      <c r="L305" s="53"/>
      <c r="M305" s="59"/>
      <c r="N305" s="54" t="s">
        <v>83</v>
      </c>
      <c r="O305" s="54"/>
      <c r="P305" s="54" t="s">
        <v>80</v>
      </c>
      <c r="Q305" s="53" t="s">
        <v>282</v>
      </c>
      <c r="R305" s="59"/>
    </row>
    <row r="306" spans="1:18" ht="174" x14ac:dyDescent="0.35">
      <c r="A306" s="40">
        <f t="shared" si="4"/>
        <v>305</v>
      </c>
      <c r="B306" s="53" t="s">
        <v>31</v>
      </c>
      <c r="C306" s="57">
        <v>45335</v>
      </c>
      <c r="D306" s="57">
        <v>45339</v>
      </c>
      <c r="E306" s="52" t="s">
        <v>63</v>
      </c>
      <c r="F306" s="52" t="s">
        <v>65</v>
      </c>
      <c r="G306" s="52" t="s">
        <v>283</v>
      </c>
      <c r="H306" s="58">
        <v>8355597.4500000002</v>
      </c>
      <c r="I306" s="58">
        <v>8527100</v>
      </c>
      <c r="J306" s="52" t="s">
        <v>284</v>
      </c>
      <c r="K306" s="53" t="s">
        <v>82</v>
      </c>
      <c r="L306" s="53"/>
      <c r="M306" s="59"/>
      <c r="N306" s="54" t="s">
        <v>83</v>
      </c>
      <c r="O306" s="54"/>
      <c r="P306" s="54" t="s">
        <v>80</v>
      </c>
      <c r="Q306" s="59" t="s">
        <v>1517</v>
      </c>
      <c r="R306" s="59"/>
    </row>
    <row r="307" spans="1:18" ht="409.5" x14ac:dyDescent="0.35">
      <c r="A307" s="40">
        <f t="shared" si="4"/>
        <v>306</v>
      </c>
      <c r="B307" s="53" t="s">
        <v>31</v>
      </c>
      <c r="C307" s="57">
        <v>45338</v>
      </c>
      <c r="D307" s="57">
        <v>45341</v>
      </c>
      <c r="E307" s="52" t="s">
        <v>63</v>
      </c>
      <c r="F307" s="52" t="s">
        <v>65</v>
      </c>
      <c r="G307" s="52" t="s">
        <v>285</v>
      </c>
      <c r="H307" s="58">
        <v>6492372.8799999999</v>
      </c>
      <c r="I307" s="58">
        <v>6841938.6355932206</v>
      </c>
      <c r="J307" s="52" t="s">
        <v>286</v>
      </c>
      <c r="K307" s="53" t="s">
        <v>82</v>
      </c>
      <c r="L307" s="59"/>
      <c r="M307" s="59"/>
      <c r="N307" s="54" t="s">
        <v>83</v>
      </c>
      <c r="O307" s="54"/>
      <c r="P307" s="54" t="s">
        <v>80</v>
      </c>
      <c r="Q307" s="53" t="s">
        <v>1516</v>
      </c>
      <c r="R307" s="59"/>
    </row>
    <row r="308" spans="1:18" ht="101.5" x14ac:dyDescent="0.35">
      <c r="A308" s="40">
        <f t="shared" si="4"/>
        <v>307</v>
      </c>
      <c r="B308" s="53" t="s">
        <v>28</v>
      </c>
      <c r="C308" s="57">
        <v>45311</v>
      </c>
      <c r="D308" s="57">
        <v>45339</v>
      </c>
      <c r="E308" s="52" t="s">
        <v>105</v>
      </c>
      <c r="F308" s="52" t="s">
        <v>287</v>
      </c>
      <c r="G308" s="52" t="s">
        <v>288</v>
      </c>
      <c r="H308" s="58"/>
      <c r="I308" s="58"/>
      <c r="J308" s="52" t="s">
        <v>289</v>
      </c>
      <c r="K308" s="53" t="s">
        <v>82</v>
      </c>
      <c r="L308" s="59"/>
      <c r="M308" s="59"/>
      <c r="N308" s="54" t="s">
        <v>83</v>
      </c>
      <c r="O308" s="54"/>
      <c r="P308" s="54" t="s">
        <v>80</v>
      </c>
      <c r="Q308" s="59" t="s">
        <v>290</v>
      </c>
      <c r="R308" s="59"/>
    </row>
    <row r="309" spans="1:18" ht="101.5" x14ac:dyDescent="0.35">
      <c r="A309" s="40">
        <f t="shared" si="4"/>
        <v>308</v>
      </c>
      <c r="B309" s="53" t="s">
        <v>28</v>
      </c>
      <c r="C309" s="57">
        <v>45329</v>
      </c>
      <c r="D309" s="57">
        <v>45336</v>
      </c>
      <c r="E309" s="52" t="s">
        <v>73</v>
      </c>
      <c r="F309" s="52" t="s">
        <v>47</v>
      </c>
      <c r="G309" s="52">
        <v>3200000814</v>
      </c>
      <c r="H309" s="58"/>
      <c r="I309" s="58"/>
      <c r="J309" s="52" t="s">
        <v>291</v>
      </c>
      <c r="K309" s="54" t="s">
        <v>85</v>
      </c>
      <c r="L309" s="53"/>
      <c r="M309" s="59"/>
      <c r="N309" s="54" t="s">
        <v>83</v>
      </c>
      <c r="O309" s="54"/>
      <c r="P309" s="54" t="s">
        <v>80</v>
      </c>
      <c r="Q309" s="59" t="s">
        <v>243</v>
      </c>
      <c r="R309" s="59"/>
    </row>
    <row r="310" spans="1:18" ht="87" x14ac:dyDescent="0.35">
      <c r="A310" s="40">
        <f t="shared" si="4"/>
        <v>309</v>
      </c>
      <c r="B310" s="53" t="s">
        <v>27</v>
      </c>
      <c r="C310" s="57">
        <v>45308</v>
      </c>
      <c r="D310" s="57">
        <v>45337</v>
      </c>
      <c r="E310" s="52" t="s">
        <v>292</v>
      </c>
      <c r="F310" s="52" t="s">
        <v>47</v>
      </c>
      <c r="G310" s="52" t="s">
        <v>293</v>
      </c>
      <c r="H310" s="58"/>
      <c r="I310" s="58">
        <v>59274000</v>
      </c>
      <c r="J310" s="52" t="s">
        <v>294</v>
      </c>
      <c r="K310" s="53" t="s">
        <v>85</v>
      </c>
      <c r="L310" s="59"/>
      <c r="M310" s="59"/>
      <c r="N310" s="54" t="s">
        <v>83</v>
      </c>
      <c r="O310" s="54"/>
      <c r="P310" s="54" t="s">
        <v>80</v>
      </c>
      <c r="Q310" s="59" t="s">
        <v>295</v>
      </c>
      <c r="R310" s="59"/>
    </row>
    <row r="311" spans="1:18" ht="72.5" x14ac:dyDescent="0.35">
      <c r="A311" s="40">
        <f t="shared" si="4"/>
        <v>310</v>
      </c>
      <c r="B311" s="53" t="s">
        <v>27</v>
      </c>
      <c r="C311" s="57">
        <v>45308</v>
      </c>
      <c r="D311" s="57">
        <v>45337</v>
      </c>
      <c r="E311" s="52" t="s">
        <v>292</v>
      </c>
      <c r="F311" s="52" t="s">
        <v>132</v>
      </c>
      <c r="G311" s="52" t="s">
        <v>296</v>
      </c>
      <c r="H311" s="58"/>
      <c r="I311" s="58">
        <v>70132320</v>
      </c>
      <c r="J311" s="52" t="s">
        <v>297</v>
      </c>
      <c r="K311" s="53" t="s">
        <v>85</v>
      </c>
      <c r="L311" s="59"/>
      <c r="M311" s="59"/>
      <c r="N311" s="54" t="s">
        <v>83</v>
      </c>
      <c r="O311" s="54"/>
      <c r="P311" s="54" t="s">
        <v>80</v>
      </c>
      <c r="Q311" s="59" t="s">
        <v>295</v>
      </c>
      <c r="R311" s="59"/>
    </row>
    <row r="312" spans="1:18" ht="58" x14ac:dyDescent="0.35">
      <c r="A312" s="40">
        <f t="shared" si="4"/>
        <v>311</v>
      </c>
      <c r="B312" s="53" t="s">
        <v>28</v>
      </c>
      <c r="C312" s="57">
        <v>45322</v>
      </c>
      <c r="D312" s="57">
        <v>45337</v>
      </c>
      <c r="E312" s="52" t="s">
        <v>88</v>
      </c>
      <c r="F312" s="52" t="s">
        <v>47</v>
      </c>
      <c r="G312" s="52">
        <v>1000414232</v>
      </c>
      <c r="H312" s="58"/>
      <c r="I312" s="58"/>
      <c r="J312" s="52" t="s">
        <v>298</v>
      </c>
      <c r="K312" s="53" t="s">
        <v>81</v>
      </c>
      <c r="L312" s="59"/>
      <c r="M312" s="59"/>
      <c r="N312" s="54" t="s">
        <v>83</v>
      </c>
      <c r="O312" s="54"/>
      <c r="P312" s="54" t="s">
        <v>80</v>
      </c>
      <c r="Q312" s="59" t="s">
        <v>240</v>
      </c>
      <c r="R312" s="59"/>
    </row>
    <row r="313" spans="1:18" ht="87" x14ac:dyDescent="0.35">
      <c r="A313" s="40">
        <f t="shared" si="4"/>
        <v>312</v>
      </c>
      <c r="B313" s="53" t="s">
        <v>27</v>
      </c>
      <c r="C313" s="57">
        <v>45325</v>
      </c>
      <c r="D313" s="57">
        <v>45336</v>
      </c>
      <c r="E313" s="52" t="s">
        <v>88</v>
      </c>
      <c r="F313" s="52" t="s">
        <v>299</v>
      </c>
      <c r="G313" s="52" t="s">
        <v>300</v>
      </c>
      <c r="H313" s="58"/>
      <c r="I313" s="58">
        <v>19187814.55084746</v>
      </c>
      <c r="J313" s="52" t="s">
        <v>301</v>
      </c>
      <c r="K313" s="53" t="s">
        <v>81</v>
      </c>
      <c r="L313" s="53"/>
      <c r="M313" s="59"/>
      <c r="N313" s="54" t="s">
        <v>83</v>
      </c>
      <c r="O313" s="54"/>
      <c r="P313" s="54" t="s">
        <v>80</v>
      </c>
      <c r="Q313" s="59"/>
      <c r="R313" s="59"/>
    </row>
    <row r="314" spans="1:18" ht="72.5" x14ac:dyDescent="0.35">
      <c r="A314" s="40">
        <f t="shared" si="4"/>
        <v>313</v>
      </c>
      <c r="B314" s="53" t="s">
        <v>28</v>
      </c>
      <c r="C314" s="57">
        <v>45300</v>
      </c>
      <c r="D314" s="57">
        <v>45329</v>
      </c>
      <c r="E314" s="52" t="s">
        <v>302</v>
      </c>
      <c r="F314" s="52" t="s">
        <v>44</v>
      </c>
      <c r="G314" s="52" t="s">
        <v>303</v>
      </c>
      <c r="H314" s="58"/>
      <c r="I314" s="58"/>
      <c r="J314" s="52" t="s">
        <v>304</v>
      </c>
      <c r="K314" s="53" t="s">
        <v>85</v>
      </c>
      <c r="L314" s="53"/>
      <c r="M314" s="59"/>
      <c r="N314" s="54" t="s">
        <v>83</v>
      </c>
      <c r="O314" s="54"/>
      <c r="P314" s="54" t="s">
        <v>80</v>
      </c>
      <c r="Q314" s="59" t="s">
        <v>305</v>
      </c>
      <c r="R314" s="59"/>
    </row>
    <row r="315" spans="1:18" ht="58" x14ac:dyDescent="0.35">
      <c r="A315" s="40">
        <f t="shared" si="4"/>
        <v>314</v>
      </c>
      <c r="B315" s="53" t="s">
        <v>28</v>
      </c>
      <c r="C315" s="57">
        <v>45327</v>
      </c>
      <c r="D315" s="57">
        <v>45329</v>
      </c>
      <c r="E315" s="52" t="s">
        <v>306</v>
      </c>
      <c r="F315" s="52" t="s">
        <v>265</v>
      </c>
      <c r="G315" s="52" t="s">
        <v>307</v>
      </c>
      <c r="H315" s="58"/>
      <c r="I315" s="58"/>
      <c r="J315" s="52" t="s">
        <v>308</v>
      </c>
      <c r="K315" s="53" t="s">
        <v>82</v>
      </c>
      <c r="L315" s="59"/>
      <c r="M315" s="59"/>
      <c r="N315" s="54" t="s">
        <v>83</v>
      </c>
      <c r="O315" s="54"/>
      <c r="P315" s="54" t="s">
        <v>80</v>
      </c>
      <c r="Q315" s="59"/>
      <c r="R315" s="59"/>
    </row>
    <row r="316" spans="1:18" ht="101.5" x14ac:dyDescent="0.35">
      <c r="A316" s="40">
        <f t="shared" si="4"/>
        <v>315</v>
      </c>
      <c r="B316" s="53" t="s">
        <v>27</v>
      </c>
      <c r="C316" s="57">
        <v>45308</v>
      </c>
      <c r="D316" s="57">
        <v>45332</v>
      </c>
      <c r="E316" s="52" t="s">
        <v>63</v>
      </c>
      <c r="F316" s="52" t="s">
        <v>89</v>
      </c>
      <c r="G316" s="52" t="s">
        <v>309</v>
      </c>
      <c r="H316" s="58"/>
      <c r="I316" s="58">
        <v>48490851.669491529</v>
      </c>
      <c r="J316" s="52" t="s">
        <v>310</v>
      </c>
      <c r="K316" s="53" t="s">
        <v>81</v>
      </c>
      <c r="L316" s="59"/>
      <c r="M316" s="59"/>
      <c r="N316" s="54" t="s">
        <v>83</v>
      </c>
      <c r="O316" s="54"/>
      <c r="P316" s="54" t="s">
        <v>80</v>
      </c>
      <c r="Q316" s="59"/>
      <c r="R316" s="59"/>
    </row>
    <row r="317" spans="1:18" ht="217.5" x14ac:dyDescent="0.35">
      <c r="A317" s="40">
        <f t="shared" si="4"/>
        <v>316</v>
      </c>
      <c r="B317" s="53" t="s">
        <v>31</v>
      </c>
      <c r="C317" s="57">
        <v>45325</v>
      </c>
      <c r="D317" s="57">
        <v>45332</v>
      </c>
      <c r="E317" s="52" t="s">
        <v>88</v>
      </c>
      <c r="F317" s="52" t="s">
        <v>311</v>
      </c>
      <c r="G317" s="52" t="s">
        <v>312</v>
      </c>
      <c r="H317" s="58">
        <v>19679732.440000001</v>
      </c>
      <c r="I317" s="58">
        <v>20391982.101694915</v>
      </c>
      <c r="J317" s="52" t="s">
        <v>313</v>
      </c>
      <c r="K317" s="53" t="s">
        <v>81</v>
      </c>
      <c r="L317" s="59"/>
      <c r="M317" s="59"/>
      <c r="N317" s="54" t="s">
        <v>83</v>
      </c>
      <c r="O317" s="54"/>
      <c r="P317" s="54" t="s">
        <v>80</v>
      </c>
      <c r="Q317" s="59" t="s">
        <v>1519</v>
      </c>
      <c r="R317" s="59"/>
    </row>
    <row r="318" spans="1:18" ht="58" x14ac:dyDescent="0.35">
      <c r="A318" s="40">
        <f t="shared" si="4"/>
        <v>317</v>
      </c>
      <c r="B318" s="53" t="s">
        <v>28</v>
      </c>
      <c r="C318" s="57">
        <v>45315</v>
      </c>
      <c r="D318" s="57">
        <v>45331</v>
      </c>
      <c r="E318" s="52" t="s">
        <v>73</v>
      </c>
      <c r="F318" s="52" t="s">
        <v>47</v>
      </c>
      <c r="G318" s="52" t="s">
        <v>314</v>
      </c>
      <c r="H318" s="58"/>
      <c r="I318" s="58"/>
      <c r="J318" s="52" t="s">
        <v>315</v>
      </c>
      <c r="K318" s="53" t="s">
        <v>85</v>
      </c>
      <c r="L318" s="59"/>
      <c r="M318" s="59"/>
      <c r="N318" s="54" t="s">
        <v>83</v>
      </c>
      <c r="O318" s="54"/>
      <c r="P318" s="54" t="s">
        <v>80</v>
      </c>
      <c r="Q318" s="59" t="s">
        <v>240</v>
      </c>
      <c r="R318" s="59"/>
    </row>
    <row r="319" spans="1:18" ht="116" x14ac:dyDescent="0.35">
      <c r="A319" s="40">
        <f t="shared" si="4"/>
        <v>318</v>
      </c>
      <c r="B319" s="53" t="s">
        <v>28</v>
      </c>
      <c r="C319" s="57">
        <v>45306</v>
      </c>
      <c r="D319" s="57">
        <v>45324</v>
      </c>
      <c r="E319" s="52" t="s">
        <v>49</v>
      </c>
      <c r="F319" s="52" t="s">
        <v>265</v>
      </c>
      <c r="G319" s="52" t="s">
        <v>316</v>
      </c>
      <c r="H319" s="58"/>
      <c r="I319" s="58"/>
      <c r="J319" s="52" t="s">
        <v>317</v>
      </c>
      <c r="K319" s="53" t="s">
        <v>82</v>
      </c>
      <c r="L319" s="59"/>
      <c r="M319" s="59"/>
      <c r="N319" s="54" t="s">
        <v>83</v>
      </c>
      <c r="O319" s="54"/>
      <c r="P319" s="54" t="s">
        <v>80</v>
      </c>
      <c r="Q319" s="59" t="s">
        <v>154</v>
      </c>
      <c r="R319" s="59"/>
    </row>
    <row r="320" spans="1:18" ht="116" x14ac:dyDescent="0.35">
      <c r="A320" s="40">
        <f t="shared" si="4"/>
        <v>319</v>
      </c>
      <c r="B320" s="53" t="s">
        <v>28</v>
      </c>
      <c r="C320" s="57">
        <v>45313</v>
      </c>
      <c r="D320" s="57">
        <v>45324</v>
      </c>
      <c r="E320" s="52" t="s">
        <v>63</v>
      </c>
      <c r="F320" s="52" t="s">
        <v>149</v>
      </c>
      <c r="G320" s="52" t="s">
        <v>318</v>
      </c>
      <c r="H320" s="58"/>
      <c r="I320" s="58"/>
      <c r="J320" s="52" t="s">
        <v>319</v>
      </c>
      <c r="K320" s="53" t="s">
        <v>82</v>
      </c>
      <c r="L320" s="59"/>
      <c r="M320" s="59"/>
      <c r="N320" s="54" t="s">
        <v>83</v>
      </c>
      <c r="O320" s="54"/>
      <c r="P320" s="54" t="s">
        <v>80</v>
      </c>
      <c r="Q320" s="53"/>
      <c r="R320" s="59"/>
    </row>
    <row r="321" spans="1:18" ht="58" x14ac:dyDescent="0.35">
      <c r="A321" s="40">
        <f t="shared" si="4"/>
        <v>320</v>
      </c>
      <c r="B321" s="53" t="s">
        <v>27</v>
      </c>
      <c r="C321" s="57">
        <v>45309</v>
      </c>
      <c r="D321" s="57">
        <v>45328</v>
      </c>
      <c r="E321" s="52" t="s">
        <v>151</v>
      </c>
      <c r="F321" s="52" t="s">
        <v>130</v>
      </c>
      <c r="G321" s="52" t="s">
        <v>320</v>
      </c>
      <c r="H321" s="58"/>
      <c r="I321" s="58">
        <v>70338983.050847456</v>
      </c>
      <c r="J321" s="52" t="s">
        <v>321</v>
      </c>
      <c r="K321" s="53" t="s">
        <v>82</v>
      </c>
      <c r="L321" s="59"/>
      <c r="M321" s="59"/>
      <c r="N321" s="54" t="s">
        <v>83</v>
      </c>
      <c r="O321" s="54"/>
      <c r="P321" s="54" t="s">
        <v>80</v>
      </c>
      <c r="Q321" s="53" t="s">
        <v>295</v>
      </c>
      <c r="R321" s="59"/>
    </row>
    <row r="322" spans="1:18" ht="29" x14ac:dyDescent="0.35">
      <c r="A322" s="40">
        <f t="shared" ref="A322:A385" si="5">ROW()-1</f>
        <v>321</v>
      </c>
      <c r="B322" s="53" t="s">
        <v>28</v>
      </c>
      <c r="C322" s="57">
        <v>45316</v>
      </c>
      <c r="D322" s="57">
        <v>45323</v>
      </c>
      <c r="E322" s="52" t="s">
        <v>322</v>
      </c>
      <c r="F322" s="52"/>
      <c r="G322" s="52" t="s">
        <v>323</v>
      </c>
      <c r="H322" s="58"/>
      <c r="I322" s="58"/>
      <c r="J322" s="52" t="s">
        <v>123</v>
      </c>
      <c r="K322" s="53" t="s">
        <v>82</v>
      </c>
      <c r="L322" s="59"/>
      <c r="M322" s="59"/>
      <c r="N322" s="54" t="s">
        <v>83</v>
      </c>
      <c r="O322" s="54"/>
      <c r="P322" s="54" t="s">
        <v>80</v>
      </c>
      <c r="Q322" s="53"/>
      <c r="R322" s="59"/>
    </row>
    <row r="323" spans="1:18" ht="203" x14ac:dyDescent="0.35">
      <c r="A323" s="40">
        <f t="shared" si="5"/>
        <v>322</v>
      </c>
      <c r="B323" s="53" t="s">
        <v>31</v>
      </c>
      <c r="C323" s="57">
        <v>45321</v>
      </c>
      <c r="D323" s="57">
        <v>45325</v>
      </c>
      <c r="E323" s="52" t="s">
        <v>88</v>
      </c>
      <c r="F323" s="52" t="s">
        <v>324</v>
      </c>
      <c r="G323" s="52" t="s">
        <v>325</v>
      </c>
      <c r="H323" s="58">
        <v>9754332.8900000006</v>
      </c>
      <c r="I323" s="58">
        <v>10936400.033898305</v>
      </c>
      <c r="J323" s="52" t="s">
        <v>326</v>
      </c>
      <c r="K323" s="53" t="s">
        <v>81</v>
      </c>
      <c r="L323" s="59"/>
      <c r="M323" s="59"/>
      <c r="N323" s="54" t="s">
        <v>83</v>
      </c>
      <c r="O323" s="54"/>
      <c r="P323" s="54" t="s">
        <v>80</v>
      </c>
      <c r="Q323" s="59" t="s">
        <v>327</v>
      </c>
      <c r="R323" s="59"/>
    </row>
    <row r="324" spans="1:18" ht="101.5" x14ac:dyDescent="0.35">
      <c r="A324" s="40">
        <f t="shared" si="5"/>
        <v>323</v>
      </c>
      <c r="B324" s="53" t="s">
        <v>28</v>
      </c>
      <c r="C324" s="57">
        <v>45310</v>
      </c>
      <c r="D324" s="57">
        <v>45323</v>
      </c>
      <c r="E324" s="52" t="s">
        <v>328</v>
      </c>
      <c r="F324" s="52" t="s">
        <v>89</v>
      </c>
      <c r="G324" s="52" t="s">
        <v>329</v>
      </c>
      <c r="H324" s="58"/>
      <c r="I324" s="58"/>
      <c r="J324" s="52" t="s">
        <v>330</v>
      </c>
      <c r="K324" s="53" t="s">
        <v>79</v>
      </c>
      <c r="L324" s="59"/>
      <c r="M324" s="59"/>
      <c r="N324" s="54" t="s">
        <v>83</v>
      </c>
      <c r="O324" s="54"/>
      <c r="P324" s="54" t="s">
        <v>80</v>
      </c>
      <c r="Q324" s="53" t="s">
        <v>331</v>
      </c>
      <c r="R324" s="59"/>
    </row>
    <row r="325" spans="1:18" ht="58" x14ac:dyDescent="0.35">
      <c r="A325" s="40">
        <f t="shared" si="5"/>
        <v>324</v>
      </c>
      <c r="B325" s="53" t="s">
        <v>28</v>
      </c>
      <c r="C325" s="57">
        <v>45302</v>
      </c>
      <c r="D325" s="57">
        <v>45322</v>
      </c>
      <c r="E325" s="52" t="s">
        <v>49</v>
      </c>
      <c r="F325" s="52" t="s">
        <v>134</v>
      </c>
      <c r="G325" s="52" t="s">
        <v>332</v>
      </c>
      <c r="H325" s="58"/>
      <c r="I325" s="58"/>
      <c r="J325" s="52" t="s">
        <v>333</v>
      </c>
      <c r="K325" s="53" t="s">
        <v>81</v>
      </c>
      <c r="L325" s="59"/>
      <c r="M325" s="59"/>
      <c r="N325" s="54" t="s">
        <v>83</v>
      </c>
      <c r="O325" s="54"/>
      <c r="P325" s="54" t="s">
        <v>80</v>
      </c>
      <c r="Q325" s="69" t="s">
        <v>334</v>
      </c>
      <c r="R325" s="59"/>
    </row>
    <row r="326" spans="1:18" ht="159.5" x14ac:dyDescent="0.35">
      <c r="A326" s="40">
        <f t="shared" si="5"/>
        <v>325</v>
      </c>
      <c r="B326" s="53" t="s">
        <v>28</v>
      </c>
      <c r="C326" s="57">
        <v>45313</v>
      </c>
      <c r="D326" s="57">
        <v>45322</v>
      </c>
      <c r="E326" s="52" t="s">
        <v>74</v>
      </c>
      <c r="F326" s="52" t="s">
        <v>75</v>
      </c>
      <c r="G326" s="52" t="s">
        <v>335</v>
      </c>
      <c r="H326" s="58"/>
      <c r="I326" s="58"/>
      <c r="J326" s="52" t="s">
        <v>336</v>
      </c>
      <c r="K326" s="54" t="s">
        <v>84</v>
      </c>
      <c r="L326" s="59"/>
      <c r="M326" s="59"/>
      <c r="N326" s="54" t="s">
        <v>83</v>
      </c>
      <c r="O326" s="54"/>
      <c r="P326" s="54" t="s">
        <v>80</v>
      </c>
      <c r="Q326" s="59"/>
      <c r="R326" s="59"/>
    </row>
    <row r="327" spans="1:18" ht="58" x14ac:dyDescent="0.35">
      <c r="A327" s="40">
        <f t="shared" si="5"/>
        <v>326</v>
      </c>
      <c r="B327" s="53" t="s">
        <v>27</v>
      </c>
      <c r="C327" s="57">
        <v>45300</v>
      </c>
      <c r="D327" s="57">
        <v>45322</v>
      </c>
      <c r="E327" s="52" t="s">
        <v>69</v>
      </c>
      <c r="F327" s="52" t="s">
        <v>113</v>
      </c>
      <c r="G327" s="52" t="s">
        <v>337</v>
      </c>
      <c r="H327" s="58"/>
      <c r="I327" s="58">
        <v>15187558.474576272</v>
      </c>
      <c r="J327" s="52" t="s">
        <v>338</v>
      </c>
      <c r="K327" s="53" t="s">
        <v>81</v>
      </c>
      <c r="L327" s="59"/>
      <c r="M327" s="59"/>
      <c r="N327" s="54" t="s">
        <v>83</v>
      </c>
      <c r="O327" s="54"/>
      <c r="P327" s="54" t="s">
        <v>80</v>
      </c>
      <c r="Q327" s="59" t="s">
        <v>339</v>
      </c>
      <c r="R327" s="59"/>
    </row>
    <row r="328" spans="1:18" ht="43.5" x14ac:dyDescent="0.35">
      <c r="A328" s="40">
        <f t="shared" si="5"/>
        <v>327</v>
      </c>
      <c r="B328" s="53" t="s">
        <v>28</v>
      </c>
      <c r="C328" s="57">
        <v>45299</v>
      </c>
      <c r="D328" s="57">
        <v>45313</v>
      </c>
      <c r="E328" s="52" t="s">
        <v>340</v>
      </c>
      <c r="F328" s="52" t="s">
        <v>77</v>
      </c>
      <c r="G328" s="52" t="s">
        <v>341</v>
      </c>
      <c r="H328" s="58"/>
      <c r="I328" s="58"/>
      <c r="J328" s="52" t="s">
        <v>342</v>
      </c>
      <c r="K328" s="53" t="s">
        <v>85</v>
      </c>
      <c r="L328" s="59"/>
      <c r="M328" s="59"/>
      <c r="N328" s="54" t="s">
        <v>83</v>
      </c>
      <c r="O328" s="54"/>
      <c r="P328" s="54" t="s">
        <v>80</v>
      </c>
      <c r="Q328" s="53"/>
      <c r="R328" s="59"/>
    </row>
    <row r="329" spans="1:18" ht="87" x14ac:dyDescent="0.35">
      <c r="A329" s="40">
        <f t="shared" si="5"/>
        <v>328</v>
      </c>
      <c r="B329" s="53" t="s">
        <v>28</v>
      </c>
      <c r="C329" s="57">
        <v>45289</v>
      </c>
      <c r="D329" s="57">
        <v>45314</v>
      </c>
      <c r="E329" s="52" t="s">
        <v>343</v>
      </c>
      <c r="F329" s="52" t="s">
        <v>77</v>
      </c>
      <c r="G329" s="52" t="s">
        <v>344</v>
      </c>
      <c r="H329" s="58"/>
      <c r="I329" s="58"/>
      <c r="J329" s="52" t="s">
        <v>345</v>
      </c>
      <c r="K329" s="53" t="s">
        <v>85</v>
      </c>
      <c r="L329" s="59"/>
      <c r="M329" s="59"/>
      <c r="N329" s="54" t="s">
        <v>83</v>
      </c>
      <c r="O329" s="54"/>
      <c r="P329" s="54" t="s">
        <v>80</v>
      </c>
      <c r="Q329" s="53" t="s">
        <v>346</v>
      </c>
      <c r="R329" s="59"/>
    </row>
    <row r="330" spans="1:18" ht="72.5" x14ac:dyDescent="0.35">
      <c r="A330" s="40">
        <f t="shared" si="5"/>
        <v>329</v>
      </c>
      <c r="B330" s="53" t="s">
        <v>28</v>
      </c>
      <c r="C330" s="57">
        <v>45301</v>
      </c>
      <c r="D330" s="57">
        <v>45314</v>
      </c>
      <c r="E330" s="52" t="s">
        <v>49</v>
      </c>
      <c r="F330" s="52" t="s">
        <v>103</v>
      </c>
      <c r="G330" s="52" t="s">
        <v>347</v>
      </c>
      <c r="H330" s="58"/>
      <c r="I330" s="58"/>
      <c r="J330" s="52" t="s">
        <v>348</v>
      </c>
      <c r="K330" s="53" t="s">
        <v>82</v>
      </c>
      <c r="L330" s="59"/>
      <c r="M330" s="59"/>
      <c r="N330" s="54" t="s">
        <v>83</v>
      </c>
      <c r="O330" s="54"/>
      <c r="P330" s="54" t="s">
        <v>80</v>
      </c>
      <c r="Q330" s="53"/>
      <c r="R330" s="59"/>
    </row>
    <row r="331" spans="1:18" ht="101.5" x14ac:dyDescent="0.35">
      <c r="A331" s="40">
        <f t="shared" si="5"/>
        <v>330</v>
      </c>
      <c r="B331" s="53" t="s">
        <v>28</v>
      </c>
      <c r="C331" s="57">
        <v>45297</v>
      </c>
      <c r="D331" s="57">
        <v>45318</v>
      </c>
      <c r="E331" s="52" t="s">
        <v>349</v>
      </c>
      <c r="F331" s="52" t="s">
        <v>133</v>
      </c>
      <c r="G331" s="52" t="s">
        <v>350</v>
      </c>
      <c r="H331" s="58"/>
      <c r="I331" s="58"/>
      <c r="J331" s="52" t="s">
        <v>351</v>
      </c>
      <c r="K331" s="53" t="s">
        <v>85</v>
      </c>
      <c r="L331" s="59"/>
      <c r="M331" s="59"/>
      <c r="N331" s="54" t="s">
        <v>83</v>
      </c>
      <c r="O331" s="54"/>
      <c r="P331" s="54" t="s">
        <v>80</v>
      </c>
      <c r="Q331" s="53" t="s">
        <v>240</v>
      </c>
      <c r="R331" s="59"/>
    </row>
    <row r="332" spans="1:18" ht="43.5" x14ac:dyDescent="0.35">
      <c r="A332" s="40">
        <f t="shared" si="5"/>
        <v>331</v>
      </c>
      <c r="B332" s="53" t="s">
        <v>33</v>
      </c>
      <c r="C332" s="57">
        <v>45311</v>
      </c>
      <c r="D332" s="57">
        <v>45318</v>
      </c>
      <c r="E332" s="52" t="s">
        <v>88</v>
      </c>
      <c r="F332" s="52" t="s">
        <v>324</v>
      </c>
      <c r="G332" s="52" t="s">
        <v>352</v>
      </c>
      <c r="H332" s="58"/>
      <c r="I332" s="58">
        <v>10898773.762711864</v>
      </c>
      <c r="J332" s="52" t="s">
        <v>326</v>
      </c>
      <c r="K332" s="53" t="s">
        <v>81</v>
      </c>
      <c r="L332" s="59"/>
      <c r="M332" s="59"/>
      <c r="N332" s="54" t="s">
        <v>83</v>
      </c>
      <c r="O332" s="54"/>
      <c r="P332" s="54" t="s">
        <v>80</v>
      </c>
      <c r="Q332" s="53" t="s">
        <v>353</v>
      </c>
      <c r="R332" s="59"/>
    </row>
    <row r="333" spans="1:18" ht="87" x14ac:dyDescent="0.35">
      <c r="A333" s="40">
        <f t="shared" si="5"/>
        <v>332</v>
      </c>
      <c r="B333" s="53" t="s">
        <v>28</v>
      </c>
      <c r="C333" s="57">
        <v>45302</v>
      </c>
      <c r="D333" s="57">
        <v>45320</v>
      </c>
      <c r="E333" s="52" t="s">
        <v>63</v>
      </c>
      <c r="F333" s="52" t="s">
        <v>65</v>
      </c>
      <c r="G333" s="52" t="s">
        <v>354</v>
      </c>
      <c r="H333" s="58"/>
      <c r="I333" s="58"/>
      <c r="J333" s="52" t="s">
        <v>355</v>
      </c>
      <c r="K333" s="53" t="s">
        <v>82</v>
      </c>
      <c r="L333" s="59"/>
      <c r="M333" s="59"/>
      <c r="N333" s="54" t="s">
        <v>83</v>
      </c>
      <c r="O333" s="54"/>
      <c r="P333" s="54" t="s">
        <v>80</v>
      </c>
      <c r="Q333" s="59"/>
      <c r="R333" s="59"/>
    </row>
    <row r="334" spans="1:18" ht="58" x14ac:dyDescent="0.35">
      <c r="A334" s="40">
        <f t="shared" si="5"/>
        <v>333</v>
      </c>
      <c r="B334" s="53" t="s">
        <v>28</v>
      </c>
      <c r="C334" s="57">
        <v>45294</v>
      </c>
      <c r="D334" s="57">
        <v>45313</v>
      </c>
      <c r="E334" s="52" t="s">
        <v>328</v>
      </c>
      <c r="F334" s="52" t="s">
        <v>356</v>
      </c>
      <c r="G334" s="52" t="s">
        <v>357</v>
      </c>
      <c r="H334" s="58"/>
      <c r="I334" s="58"/>
      <c r="J334" s="52" t="s">
        <v>358</v>
      </c>
      <c r="K334" s="53" t="s">
        <v>79</v>
      </c>
      <c r="L334" s="59"/>
      <c r="M334" s="59"/>
      <c r="N334" s="54" t="s">
        <v>83</v>
      </c>
      <c r="O334" s="54"/>
      <c r="P334" s="54" t="s">
        <v>80</v>
      </c>
      <c r="Q334" s="59"/>
      <c r="R334" s="59"/>
    </row>
    <row r="335" spans="1:18" ht="58" x14ac:dyDescent="0.35">
      <c r="A335" s="40">
        <f t="shared" si="5"/>
        <v>334</v>
      </c>
      <c r="B335" s="53" t="s">
        <v>28</v>
      </c>
      <c r="C335" s="57">
        <v>45293</v>
      </c>
      <c r="D335" s="57">
        <v>45310</v>
      </c>
      <c r="E335" s="52" t="s">
        <v>138</v>
      </c>
      <c r="F335" s="52" t="s">
        <v>46</v>
      </c>
      <c r="G335" s="52" t="s">
        <v>359</v>
      </c>
      <c r="H335" s="58"/>
      <c r="I335" s="56"/>
      <c r="J335" s="52" t="s">
        <v>360</v>
      </c>
      <c r="K335" s="53" t="s">
        <v>84</v>
      </c>
      <c r="L335" s="59"/>
      <c r="M335" s="59"/>
      <c r="N335" s="54" t="s">
        <v>83</v>
      </c>
      <c r="O335" s="54"/>
      <c r="P335" s="54" t="s">
        <v>80</v>
      </c>
      <c r="Q335" s="53" t="s">
        <v>361</v>
      </c>
      <c r="R335" s="59"/>
    </row>
    <row r="336" spans="1:18" ht="58" x14ac:dyDescent="0.35">
      <c r="A336" s="40">
        <f t="shared" si="5"/>
        <v>335</v>
      </c>
      <c r="B336" s="53" t="s">
        <v>29</v>
      </c>
      <c r="C336" s="57">
        <v>45309</v>
      </c>
      <c r="D336" s="57">
        <v>45311</v>
      </c>
      <c r="E336" s="52" t="s">
        <v>362</v>
      </c>
      <c r="F336" s="52" t="s">
        <v>97</v>
      </c>
      <c r="G336" s="52" t="s">
        <v>363</v>
      </c>
      <c r="H336" s="58">
        <v>20325000</v>
      </c>
      <c r="I336" s="58">
        <v>20325000</v>
      </c>
      <c r="J336" s="52" t="s">
        <v>364</v>
      </c>
      <c r="K336" s="53" t="s">
        <v>147</v>
      </c>
      <c r="L336" s="59"/>
      <c r="M336" s="59"/>
      <c r="N336" s="54" t="s">
        <v>83</v>
      </c>
      <c r="O336" s="54"/>
      <c r="P336" s="54" t="s">
        <v>80</v>
      </c>
      <c r="Q336" s="53"/>
      <c r="R336" s="59"/>
    </row>
    <row r="337" spans="1:18" ht="43.5" x14ac:dyDescent="0.35">
      <c r="A337" s="40">
        <f t="shared" si="5"/>
        <v>336</v>
      </c>
      <c r="B337" s="53" t="s">
        <v>28</v>
      </c>
      <c r="C337" s="57">
        <v>45301</v>
      </c>
      <c r="D337" s="57">
        <v>45309</v>
      </c>
      <c r="E337" s="52" t="s">
        <v>118</v>
      </c>
      <c r="F337" s="52" t="s">
        <v>68</v>
      </c>
      <c r="G337" s="52" t="s">
        <v>365</v>
      </c>
      <c r="H337" s="58"/>
      <c r="I337" s="58"/>
      <c r="J337" s="52" t="s">
        <v>366</v>
      </c>
      <c r="K337" s="53" t="s">
        <v>82</v>
      </c>
      <c r="L337" s="59"/>
      <c r="M337" s="59"/>
      <c r="N337" s="54" t="s">
        <v>83</v>
      </c>
      <c r="O337" s="54"/>
      <c r="P337" s="54" t="s">
        <v>80</v>
      </c>
      <c r="Q337" s="53"/>
      <c r="R337" s="59"/>
    </row>
    <row r="338" spans="1:18" ht="72.5" x14ac:dyDescent="0.35">
      <c r="A338" s="40">
        <f t="shared" si="5"/>
        <v>337</v>
      </c>
      <c r="B338" s="53" t="s">
        <v>28</v>
      </c>
      <c r="C338" s="57">
        <v>45289</v>
      </c>
      <c r="D338" s="57">
        <v>45308</v>
      </c>
      <c r="E338" s="52" t="s">
        <v>49</v>
      </c>
      <c r="F338" s="52" t="s">
        <v>119</v>
      </c>
      <c r="G338" s="52" t="s">
        <v>367</v>
      </c>
      <c r="H338" s="58"/>
      <c r="I338" s="58"/>
      <c r="J338" s="52" t="s">
        <v>368</v>
      </c>
      <c r="K338" s="53" t="s">
        <v>79</v>
      </c>
      <c r="L338" s="59"/>
      <c r="M338" s="59"/>
      <c r="N338" s="54" t="s">
        <v>83</v>
      </c>
      <c r="O338" s="54"/>
      <c r="P338" s="54" t="s">
        <v>80</v>
      </c>
      <c r="Q338" s="59" t="s">
        <v>369</v>
      </c>
      <c r="R338" s="59"/>
    </row>
    <row r="339" spans="1:18" ht="58" x14ac:dyDescent="0.35">
      <c r="A339" s="40">
        <f t="shared" si="5"/>
        <v>338</v>
      </c>
      <c r="B339" s="53" t="s">
        <v>29</v>
      </c>
      <c r="C339" s="57">
        <v>45295</v>
      </c>
      <c r="D339" s="57">
        <v>45311</v>
      </c>
      <c r="E339" s="52" t="s">
        <v>88</v>
      </c>
      <c r="F339" s="52" t="s">
        <v>43</v>
      </c>
      <c r="G339" s="52" t="s">
        <v>370</v>
      </c>
      <c r="H339" s="58">
        <v>1054136.52</v>
      </c>
      <c r="I339" s="58">
        <v>1054136.52</v>
      </c>
      <c r="J339" s="52" t="s">
        <v>371</v>
      </c>
      <c r="K339" s="53" t="s">
        <v>79</v>
      </c>
      <c r="L339" s="59"/>
      <c r="M339" s="59"/>
      <c r="N339" s="54" t="s">
        <v>83</v>
      </c>
      <c r="O339" s="54"/>
      <c r="P339" s="54" t="s">
        <v>80</v>
      </c>
      <c r="Q339" s="59" t="s">
        <v>346</v>
      </c>
      <c r="R339" s="59"/>
    </row>
    <row r="340" spans="1:18" ht="72.5" x14ac:dyDescent="0.35">
      <c r="A340" s="40">
        <f t="shared" si="5"/>
        <v>339</v>
      </c>
      <c r="B340" s="53" t="s">
        <v>29</v>
      </c>
      <c r="C340" s="57">
        <v>45290</v>
      </c>
      <c r="D340" s="57">
        <v>45294</v>
      </c>
      <c r="E340" s="52" t="s">
        <v>63</v>
      </c>
      <c r="F340" s="52" t="s">
        <v>372</v>
      </c>
      <c r="G340" s="52" t="s">
        <v>373</v>
      </c>
      <c r="H340" s="58"/>
      <c r="I340" s="58">
        <v>13727434.745762713</v>
      </c>
      <c r="J340" s="52" t="s">
        <v>374</v>
      </c>
      <c r="K340" s="53" t="s">
        <v>82</v>
      </c>
      <c r="L340" s="59"/>
      <c r="M340" s="59"/>
      <c r="N340" s="54" t="s">
        <v>83</v>
      </c>
      <c r="O340" s="54"/>
      <c r="P340" s="54" t="s">
        <v>80</v>
      </c>
      <c r="Q340" s="59"/>
      <c r="R340" s="59"/>
    </row>
    <row r="341" spans="1:18" ht="58" x14ac:dyDescent="0.35">
      <c r="A341" s="40">
        <f t="shared" si="5"/>
        <v>340</v>
      </c>
      <c r="B341" s="53" t="s">
        <v>28</v>
      </c>
      <c r="C341" s="57">
        <v>45285</v>
      </c>
      <c r="D341" s="57">
        <v>45300</v>
      </c>
      <c r="E341" s="52" t="s">
        <v>49</v>
      </c>
      <c r="F341" s="52" t="s">
        <v>62</v>
      </c>
      <c r="G341" s="52" t="s">
        <v>375</v>
      </c>
      <c r="H341" s="58"/>
      <c r="I341" s="58"/>
      <c r="J341" s="52" t="s">
        <v>376</v>
      </c>
      <c r="K341" s="53" t="s">
        <v>79</v>
      </c>
      <c r="L341" s="59"/>
      <c r="M341" s="59"/>
      <c r="N341" s="54" t="s">
        <v>83</v>
      </c>
      <c r="O341" s="54"/>
      <c r="P341" s="54" t="s">
        <v>80</v>
      </c>
      <c r="Q341" s="53" t="s">
        <v>377</v>
      </c>
      <c r="R341" s="59"/>
    </row>
    <row r="342" spans="1:18" ht="217.5" x14ac:dyDescent="0.35">
      <c r="A342" s="40">
        <f t="shared" si="5"/>
        <v>341</v>
      </c>
      <c r="B342" s="53" t="s">
        <v>31</v>
      </c>
      <c r="C342" s="57">
        <v>45287</v>
      </c>
      <c r="D342" s="57">
        <v>45303</v>
      </c>
      <c r="E342" s="52" t="s">
        <v>63</v>
      </c>
      <c r="F342" s="52" t="s">
        <v>131</v>
      </c>
      <c r="G342" s="52" t="s">
        <v>378</v>
      </c>
      <c r="H342" s="58">
        <v>5911121.1799999997</v>
      </c>
      <c r="I342" s="58">
        <v>8173022.7199999988</v>
      </c>
      <c r="J342" s="52" t="s">
        <v>379</v>
      </c>
      <c r="K342" s="53" t="s">
        <v>79</v>
      </c>
      <c r="L342" s="59"/>
      <c r="M342" s="59"/>
      <c r="N342" s="54" t="s">
        <v>83</v>
      </c>
      <c r="O342" s="54"/>
      <c r="P342" s="54" t="s">
        <v>80</v>
      </c>
      <c r="Q342" s="59" t="s">
        <v>380</v>
      </c>
      <c r="R342" s="59"/>
    </row>
    <row r="343" spans="1:18" ht="72.5" x14ac:dyDescent="0.35">
      <c r="A343" s="40">
        <f t="shared" si="5"/>
        <v>342</v>
      </c>
      <c r="B343" s="53" t="s">
        <v>28</v>
      </c>
      <c r="C343" s="57">
        <v>45289</v>
      </c>
      <c r="D343" s="57">
        <v>45299</v>
      </c>
      <c r="E343" s="52" t="s">
        <v>63</v>
      </c>
      <c r="F343" s="52" t="s">
        <v>60</v>
      </c>
      <c r="G343" s="52" t="s">
        <v>381</v>
      </c>
      <c r="H343" s="58"/>
      <c r="I343" s="58"/>
      <c r="J343" s="52" t="s">
        <v>382</v>
      </c>
      <c r="K343" s="54" t="s">
        <v>81</v>
      </c>
      <c r="L343" s="54"/>
      <c r="M343" s="54"/>
      <c r="N343" s="54" t="s">
        <v>83</v>
      </c>
      <c r="O343" s="54"/>
      <c r="P343" s="54" t="s">
        <v>80</v>
      </c>
      <c r="Q343" s="59" t="s">
        <v>383</v>
      </c>
      <c r="R343" s="59"/>
    </row>
    <row r="344" spans="1:18" ht="29" x14ac:dyDescent="0.35">
      <c r="A344" s="40">
        <f t="shared" si="5"/>
        <v>343</v>
      </c>
      <c r="B344" s="53" t="s">
        <v>28</v>
      </c>
      <c r="C344" s="57">
        <v>45289</v>
      </c>
      <c r="D344" s="57">
        <v>45299</v>
      </c>
      <c r="E344" s="52" t="s">
        <v>52</v>
      </c>
      <c r="F344" s="52" t="s">
        <v>43</v>
      </c>
      <c r="G344" s="52" t="s">
        <v>384</v>
      </c>
      <c r="H344" s="58"/>
      <c r="I344" s="58"/>
      <c r="J344" s="52" t="s">
        <v>385</v>
      </c>
      <c r="K344" s="53" t="s">
        <v>81</v>
      </c>
      <c r="L344" s="59"/>
      <c r="M344" s="59"/>
      <c r="N344" s="54" t="s">
        <v>83</v>
      </c>
      <c r="O344" s="54"/>
      <c r="P344" s="54" t="s">
        <v>80</v>
      </c>
      <c r="Q344" s="53" t="s">
        <v>386</v>
      </c>
      <c r="R344" s="59"/>
    </row>
    <row r="345" spans="1:18" ht="29" x14ac:dyDescent="0.35">
      <c r="A345" s="40">
        <f t="shared" si="5"/>
        <v>344</v>
      </c>
      <c r="B345" s="53" t="s">
        <v>28</v>
      </c>
      <c r="C345" s="57">
        <v>45293</v>
      </c>
      <c r="D345" s="57">
        <v>45301</v>
      </c>
      <c r="E345" s="52" t="s">
        <v>52</v>
      </c>
      <c r="F345" s="52" t="s">
        <v>237</v>
      </c>
      <c r="G345" s="52" t="s">
        <v>387</v>
      </c>
      <c r="H345" s="58"/>
      <c r="I345" s="58"/>
      <c r="J345" s="52" t="s">
        <v>388</v>
      </c>
      <c r="K345" s="53" t="s">
        <v>82</v>
      </c>
      <c r="L345" s="59"/>
      <c r="M345" s="59"/>
      <c r="N345" s="54" t="s">
        <v>83</v>
      </c>
      <c r="O345" s="54"/>
      <c r="P345" s="54" t="s">
        <v>80</v>
      </c>
      <c r="Q345" s="53"/>
      <c r="R345" s="59"/>
    </row>
    <row r="346" spans="1:18" ht="87" x14ac:dyDescent="0.35">
      <c r="A346" s="40">
        <f t="shared" si="5"/>
        <v>345</v>
      </c>
      <c r="B346" s="53" t="s">
        <v>27</v>
      </c>
      <c r="C346" s="57">
        <v>45278</v>
      </c>
      <c r="D346" s="57">
        <v>45296</v>
      </c>
      <c r="E346" s="52" t="s">
        <v>121</v>
      </c>
      <c r="F346" s="52" t="s">
        <v>389</v>
      </c>
      <c r="G346" s="52" t="s">
        <v>390</v>
      </c>
      <c r="H346" s="58"/>
      <c r="I346" s="58">
        <v>33500000</v>
      </c>
      <c r="J346" s="52" t="s">
        <v>391</v>
      </c>
      <c r="K346" s="53" t="s">
        <v>82</v>
      </c>
      <c r="L346" s="59"/>
      <c r="M346" s="59"/>
      <c r="N346" s="54" t="s">
        <v>83</v>
      </c>
      <c r="O346" s="54"/>
      <c r="P346" s="54" t="s">
        <v>80</v>
      </c>
      <c r="Q346" s="59" t="s">
        <v>392</v>
      </c>
      <c r="R346" s="59"/>
    </row>
    <row r="347" spans="1:18" ht="29" x14ac:dyDescent="0.35">
      <c r="A347" s="40">
        <f t="shared" si="5"/>
        <v>346</v>
      </c>
      <c r="B347" s="53" t="s">
        <v>29</v>
      </c>
      <c r="C347" s="57">
        <v>45295</v>
      </c>
      <c r="D347" s="57">
        <v>45309</v>
      </c>
      <c r="E347" s="52" t="s">
        <v>52</v>
      </c>
      <c r="F347" s="52" t="s">
        <v>53</v>
      </c>
      <c r="G347" s="52" t="s">
        <v>393</v>
      </c>
      <c r="H347" s="58"/>
      <c r="I347" s="58">
        <v>15000000</v>
      </c>
      <c r="J347" s="52" t="s">
        <v>394</v>
      </c>
      <c r="K347" s="53" t="s">
        <v>85</v>
      </c>
      <c r="L347" s="59"/>
      <c r="M347" s="59"/>
      <c r="N347" s="54" t="s">
        <v>83</v>
      </c>
      <c r="O347" s="54"/>
      <c r="P347" s="54" t="s">
        <v>80</v>
      </c>
      <c r="Q347" s="53"/>
      <c r="R347" s="59"/>
    </row>
    <row r="348" spans="1:18" ht="72.5" x14ac:dyDescent="0.35">
      <c r="A348" s="40">
        <f t="shared" si="5"/>
        <v>347</v>
      </c>
      <c r="B348" s="53" t="s">
        <v>28</v>
      </c>
      <c r="C348" s="57">
        <v>45301</v>
      </c>
      <c r="D348" s="57">
        <v>45309</v>
      </c>
      <c r="E348" s="52" t="s">
        <v>49</v>
      </c>
      <c r="F348" s="52" t="s">
        <v>60</v>
      </c>
      <c r="G348" s="52" t="s">
        <v>395</v>
      </c>
      <c r="H348" s="58"/>
      <c r="I348" s="58"/>
      <c r="J348" s="52" t="s">
        <v>396</v>
      </c>
      <c r="K348" s="54" t="s">
        <v>84</v>
      </c>
      <c r="L348" s="54"/>
      <c r="M348" s="54"/>
      <c r="N348" s="54" t="s">
        <v>83</v>
      </c>
      <c r="O348" s="54"/>
      <c r="P348" s="54" t="s">
        <v>80</v>
      </c>
      <c r="Q348" s="59" t="s">
        <v>397</v>
      </c>
      <c r="R348" s="59"/>
    </row>
    <row r="349" spans="1:18" ht="145" x14ac:dyDescent="0.35">
      <c r="A349" s="40">
        <f t="shared" si="5"/>
        <v>348</v>
      </c>
      <c r="B349" s="53" t="s">
        <v>28</v>
      </c>
      <c r="C349" s="57">
        <v>45278</v>
      </c>
      <c r="D349" s="57">
        <v>45292</v>
      </c>
      <c r="E349" s="52" t="s">
        <v>63</v>
      </c>
      <c r="F349" s="52" t="s">
        <v>199</v>
      </c>
      <c r="G349" s="52" t="s">
        <v>398</v>
      </c>
      <c r="H349" s="58"/>
      <c r="I349" s="58"/>
      <c r="J349" s="52" t="s">
        <v>399</v>
      </c>
      <c r="K349" s="54" t="s">
        <v>79</v>
      </c>
      <c r="L349" s="54"/>
      <c r="M349" s="54"/>
      <c r="N349" s="54" t="s">
        <v>83</v>
      </c>
      <c r="O349" s="54"/>
      <c r="P349" s="54" t="s">
        <v>80</v>
      </c>
      <c r="Q349" s="59" t="s">
        <v>377</v>
      </c>
      <c r="R349" s="59"/>
    </row>
    <row r="350" spans="1:18" ht="72.5" x14ac:dyDescent="0.35">
      <c r="A350" s="40">
        <f t="shared" si="5"/>
        <v>349</v>
      </c>
      <c r="B350" s="53" t="s">
        <v>28</v>
      </c>
      <c r="C350" s="57">
        <v>45289</v>
      </c>
      <c r="D350" s="57">
        <v>45290</v>
      </c>
      <c r="E350" s="52" t="s">
        <v>63</v>
      </c>
      <c r="F350" s="52" t="s">
        <v>372</v>
      </c>
      <c r="G350" s="52" t="s">
        <v>400</v>
      </c>
      <c r="H350" s="58"/>
      <c r="I350" s="58"/>
      <c r="J350" s="52" t="s">
        <v>401</v>
      </c>
      <c r="K350" s="54" t="s">
        <v>82</v>
      </c>
      <c r="L350" s="54"/>
      <c r="M350" s="54"/>
      <c r="N350" s="54" t="s">
        <v>83</v>
      </c>
      <c r="O350" s="54"/>
      <c r="P350" s="54" t="s">
        <v>80</v>
      </c>
      <c r="Q350" s="59"/>
      <c r="R350" s="59"/>
    </row>
    <row r="351" spans="1:18" ht="58" x14ac:dyDescent="0.35">
      <c r="A351" s="40">
        <f t="shared" si="5"/>
        <v>350</v>
      </c>
      <c r="B351" s="53" t="s">
        <v>28</v>
      </c>
      <c r="C351" s="57">
        <v>45285</v>
      </c>
      <c r="D351" s="57">
        <v>45303</v>
      </c>
      <c r="E351" s="52" t="s">
        <v>49</v>
      </c>
      <c r="F351" s="52" t="s">
        <v>143</v>
      </c>
      <c r="G351" s="52" t="s">
        <v>402</v>
      </c>
      <c r="H351" s="58"/>
      <c r="I351" s="58"/>
      <c r="J351" s="52" t="s">
        <v>403</v>
      </c>
      <c r="K351" s="54" t="s">
        <v>82</v>
      </c>
      <c r="L351" s="54"/>
      <c r="M351" s="54"/>
      <c r="N351" s="54" t="s">
        <v>83</v>
      </c>
      <c r="O351" s="54"/>
      <c r="P351" s="54" t="s">
        <v>80</v>
      </c>
      <c r="Q351" s="59" t="s">
        <v>263</v>
      </c>
      <c r="R351" s="59"/>
    </row>
    <row r="352" spans="1:18" ht="101.5" x14ac:dyDescent="0.35">
      <c r="A352" s="40">
        <f t="shared" si="5"/>
        <v>351</v>
      </c>
      <c r="B352" s="53" t="s">
        <v>28</v>
      </c>
      <c r="C352" s="57">
        <v>45260</v>
      </c>
      <c r="D352" s="57">
        <v>45289</v>
      </c>
      <c r="E352" s="52" t="s">
        <v>88</v>
      </c>
      <c r="F352" s="52" t="s">
        <v>116</v>
      </c>
      <c r="G352" s="52" t="s">
        <v>404</v>
      </c>
      <c r="H352" s="58"/>
      <c r="I352" s="58"/>
      <c r="J352" s="52" t="s">
        <v>405</v>
      </c>
      <c r="K352" s="53" t="s">
        <v>79</v>
      </c>
      <c r="L352" s="59"/>
      <c r="M352" s="59"/>
      <c r="N352" s="54" t="s">
        <v>83</v>
      </c>
      <c r="O352" s="54"/>
      <c r="P352" s="54" t="s">
        <v>80</v>
      </c>
      <c r="Q352" s="53" t="s">
        <v>406</v>
      </c>
      <c r="R352" s="59"/>
    </row>
    <row r="353" spans="1:18" ht="87" x14ac:dyDescent="0.35">
      <c r="A353" s="40">
        <f t="shared" si="5"/>
        <v>352</v>
      </c>
      <c r="B353" s="53" t="s">
        <v>28</v>
      </c>
      <c r="C353" s="57">
        <v>45280</v>
      </c>
      <c r="D353" s="57">
        <v>45283</v>
      </c>
      <c r="E353" s="52" t="s">
        <v>407</v>
      </c>
      <c r="F353" s="52" t="s">
        <v>44</v>
      </c>
      <c r="G353" s="52" t="s">
        <v>408</v>
      </c>
      <c r="H353" s="58"/>
      <c r="I353" s="58"/>
      <c r="J353" s="52" t="s">
        <v>409</v>
      </c>
      <c r="K353" s="54" t="s">
        <v>79</v>
      </c>
      <c r="L353" s="54"/>
      <c r="M353" s="54"/>
      <c r="N353" s="54" t="s">
        <v>83</v>
      </c>
      <c r="O353" s="54"/>
      <c r="P353" s="54" t="s">
        <v>80</v>
      </c>
      <c r="Q353" s="59" t="s">
        <v>377</v>
      </c>
      <c r="R353" s="59"/>
    </row>
    <row r="354" spans="1:18" ht="58" x14ac:dyDescent="0.35">
      <c r="A354" s="40">
        <f t="shared" si="5"/>
        <v>353</v>
      </c>
      <c r="B354" s="53" t="s">
        <v>28</v>
      </c>
      <c r="C354" s="57">
        <v>45260</v>
      </c>
      <c r="D354" s="57">
        <v>45282</v>
      </c>
      <c r="E354" s="52" t="s">
        <v>49</v>
      </c>
      <c r="F354" s="52" t="s">
        <v>57</v>
      </c>
      <c r="G354" s="52" t="s">
        <v>410</v>
      </c>
      <c r="H354" s="58"/>
      <c r="I354" s="58"/>
      <c r="J354" s="52" t="s">
        <v>411</v>
      </c>
      <c r="K354" s="54" t="s">
        <v>81</v>
      </c>
      <c r="L354" s="54"/>
      <c r="M354" s="54"/>
      <c r="N354" s="54" t="s">
        <v>83</v>
      </c>
      <c r="O354" s="54"/>
      <c r="P354" s="54" t="s">
        <v>80</v>
      </c>
      <c r="Q354" s="59" t="s">
        <v>240</v>
      </c>
      <c r="R354" s="59"/>
    </row>
    <row r="355" spans="1:18" ht="409.5" x14ac:dyDescent="0.35">
      <c r="A355" s="40">
        <f t="shared" si="5"/>
        <v>354</v>
      </c>
      <c r="B355" s="53" t="s">
        <v>31</v>
      </c>
      <c r="C355" s="57">
        <v>45264</v>
      </c>
      <c r="D355" s="57">
        <v>45282</v>
      </c>
      <c r="E355" s="52" t="s">
        <v>49</v>
      </c>
      <c r="F355" s="52" t="s">
        <v>57</v>
      </c>
      <c r="G355" s="52" t="s">
        <v>412</v>
      </c>
      <c r="H355" s="58">
        <v>82996592.576271206</v>
      </c>
      <c r="I355" s="58">
        <v>110565340.847458</v>
      </c>
      <c r="J355" s="52" t="s">
        <v>413</v>
      </c>
      <c r="K355" s="54" t="s">
        <v>81</v>
      </c>
      <c r="L355" s="54"/>
      <c r="M355" s="54"/>
      <c r="N355" s="54" t="s">
        <v>83</v>
      </c>
      <c r="O355" s="54"/>
      <c r="P355" s="54" t="s">
        <v>80</v>
      </c>
      <c r="Q355" s="59" t="s">
        <v>414</v>
      </c>
      <c r="R355" s="59"/>
    </row>
    <row r="356" spans="1:18" ht="72.5" x14ac:dyDescent="0.35">
      <c r="A356" s="40">
        <f t="shared" si="5"/>
        <v>355</v>
      </c>
      <c r="B356" s="53" t="s">
        <v>28</v>
      </c>
      <c r="C356" s="57">
        <v>45266</v>
      </c>
      <c r="D356" s="57">
        <v>45282</v>
      </c>
      <c r="E356" s="52" t="s">
        <v>88</v>
      </c>
      <c r="F356" s="52" t="s">
        <v>116</v>
      </c>
      <c r="G356" s="52">
        <v>1000412104</v>
      </c>
      <c r="H356" s="58"/>
      <c r="I356" s="58"/>
      <c r="J356" s="52" t="s">
        <v>415</v>
      </c>
      <c r="K356" s="53" t="s">
        <v>79</v>
      </c>
      <c r="L356" s="59"/>
      <c r="M356" s="59"/>
      <c r="N356" s="54" t="s">
        <v>83</v>
      </c>
      <c r="O356" s="54"/>
      <c r="P356" s="54" t="s">
        <v>80</v>
      </c>
      <c r="Q356" s="59" t="s">
        <v>416</v>
      </c>
      <c r="R356" s="59"/>
    </row>
    <row r="357" spans="1:18" ht="43.5" x14ac:dyDescent="0.35">
      <c r="A357" s="40">
        <f t="shared" si="5"/>
        <v>356</v>
      </c>
      <c r="B357" s="53" t="s">
        <v>28</v>
      </c>
      <c r="C357" s="57">
        <v>45272</v>
      </c>
      <c r="D357" s="57">
        <v>45279</v>
      </c>
      <c r="E357" s="52" t="s">
        <v>52</v>
      </c>
      <c r="F357" s="52" t="s">
        <v>53</v>
      </c>
      <c r="G357" s="52" t="s">
        <v>417</v>
      </c>
      <c r="H357" s="58"/>
      <c r="I357" s="58"/>
      <c r="J357" s="52" t="s">
        <v>418</v>
      </c>
      <c r="K357" s="54" t="s">
        <v>85</v>
      </c>
      <c r="L357" s="54"/>
      <c r="M357" s="54"/>
      <c r="N357" s="54" t="s">
        <v>83</v>
      </c>
      <c r="O357" s="54"/>
      <c r="P357" s="54" t="s">
        <v>80</v>
      </c>
      <c r="Q357" s="59" t="s">
        <v>419</v>
      </c>
      <c r="R357" s="59"/>
    </row>
    <row r="358" spans="1:18" ht="72.5" x14ac:dyDescent="0.35">
      <c r="A358" s="40">
        <f t="shared" si="5"/>
        <v>357</v>
      </c>
      <c r="B358" s="53" t="s">
        <v>28</v>
      </c>
      <c r="C358" s="57">
        <v>45274</v>
      </c>
      <c r="D358" s="57">
        <v>45279</v>
      </c>
      <c r="E358" s="52" t="s">
        <v>49</v>
      </c>
      <c r="F358" s="52" t="s">
        <v>134</v>
      </c>
      <c r="G358" s="52" t="s">
        <v>420</v>
      </c>
      <c r="H358" s="58"/>
      <c r="I358" s="58"/>
      <c r="J358" s="52" t="s">
        <v>421</v>
      </c>
      <c r="K358" s="54" t="s">
        <v>81</v>
      </c>
      <c r="L358" s="54"/>
      <c r="M358" s="54"/>
      <c r="N358" s="54" t="s">
        <v>83</v>
      </c>
      <c r="O358" s="54"/>
      <c r="P358" s="54" t="s">
        <v>80</v>
      </c>
      <c r="Q358" s="59"/>
      <c r="R358" s="59"/>
    </row>
    <row r="359" spans="1:18" ht="87" x14ac:dyDescent="0.35">
      <c r="A359" s="40">
        <f t="shared" si="5"/>
        <v>358</v>
      </c>
      <c r="B359" s="53" t="s">
        <v>28</v>
      </c>
      <c r="C359" s="57">
        <v>45274</v>
      </c>
      <c r="D359" s="57">
        <v>45279</v>
      </c>
      <c r="E359" s="52" t="s">
        <v>49</v>
      </c>
      <c r="F359" s="52" t="s">
        <v>78</v>
      </c>
      <c r="G359" s="52" t="s">
        <v>422</v>
      </c>
      <c r="H359" s="58"/>
      <c r="I359" s="58"/>
      <c r="J359" s="52" t="s">
        <v>423</v>
      </c>
      <c r="K359" s="54" t="s">
        <v>81</v>
      </c>
      <c r="L359" s="54"/>
      <c r="M359" s="54"/>
      <c r="N359" s="54" t="s">
        <v>83</v>
      </c>
      <c r="O359" s="54"/>
      <c r="P359" s="54" t="s">
        <v>80</v>
      </c>
      <c r="Q359" s="59" t="s">
        <v>424</v>
      </c>
      <c r="R359" s="59"/>
    </row>
    <row r="360" spans="1:18" ht="43.5" x14ac:dyDescent="0.35">
      <c r="A360" s="40">
        <f t="shared" si="5"/>
        <v>359</v>
      </c>
      <c r="B360" s="53" t="s">
        <v>28</v>
      </c>
      <c r="C360" s="57">
        <v>45262</v>
      </c>
      <c r="D360" s="57">
        <v>45276</v>
      </c>
      <c r="E360" s="52" t="s">
        <v>49</v>
      </c>
      <c r="F360" s="52" t="s">
        <v>134</v>
      </c>
      <c r="G360" s="52" t="s">
        <v>425</v>
      </c>
      <c r="H360" s="58"/>
      <c r="I360" s="58"/>
      <c r="J360" s="52" t="s">
        <v>426</v>
      </c>
      <c r="K360" s="54" t="s">
        <v>81</v>
      </c>
      <c r="L360" s="54"/>
      <c r="M360" s="54"/>
      <c r="N360" s="54" t="s">
        <v>83</v>
      </c>
      <c r="O360" s="54"/>
      <c r="P360" s="54" t="s">
        <v>80</v>
      </c>
      <c r="Q360" s="59" t="s">
        <v>427</v>
      </c>
      <c r="R360" s="59"/>
    </row>
    <row r="361" spans="1:18" ht="43.5" x14ac:dyDescent="0.35">
      <c r="A361" s="40">
        <f t="shared" si="5"/>
        <v>360</v>
      </c>
      <c r="B361" s="53" t="s">
        <v>28</v>
      </c>
      <c r="C361" s="57">
        <v>45266</v>
      </c>
      <c r="D361" s="57">
        <v>45276</v>
      </c>
      <c r="E361" s="52" t="s">
        <v>63</v>
      </c>
      <c r="F361" s="52" t="s">
        <v>107</v>
      </c>
      <c r="G361" s="52" t="s">
        <v>428</v>
      </c>
      <c r="H361" s="58"/>
      <c r="I361" s="58"/>
      <c r="J361" s="52" t="s">
        <v>429</v>
      </c>
      <c r="K361" s="54" t="s">
        <v>82</v>
      </c>
      <c r="L361" s="54"/>
      <c r="M361" s="54"/>
      <c r="N361" s="54" t="s">
        <v>83</v>
      </c>
      <c r="O361" s="54"/>
      <c r="P361" s="54" t="s">
        <v>80</v>
      </c>
      <c r="Q361" s="59"/>
      <c r="R361" s="59"/>
    </row>
    <row r="362" spans="1:18" ht="72.5" x14ac:dyDescent="0.35">
      <c r="A362" s="40">
        <f t="shared" si="5"/>
        <v>361</v>
      </c>
      <c r="B362" s="53" t="s">
        <v>31</v>
      </c>
      <c r="C362" s="57">
        <v>45266</v>
      </c>
      <c r="D362" s="57">
        <v>45276</v>
      </c>
      <c r="E362" s="52" t="s">
        <v>63</v>
      </c>
      <c r="F362" s="52" t="s">
        <v>372</v>
      </c>
      <c r="G362" s="52" t="s">
        <v>430</v>
      </c>
      <c r="H362" s="58">
        <v>14736753.9</v>
      </c>
      <c r="I362" s="58">
        <v>13612764.228813559</v>
      </c>
      <c r="J362" s="52" t="s">
        <v>431</v>
      </c>
      <c r="K362" s="54" t="s">
        <v>82</v>
      </c>
      <c r="L362" s="54"/>
      <c r="M362" s="54"/>
      <c r="N362" s="54" t="s">
        <v>83</v>
      </c>
      <c r="O362" s="54"/>
      <c r="P362" s="54" t="s">
        <v>80</v>
      </c>
      <c r="Q362" s="59"/>
      <c r="R362" s="59"/>
    </row>
    <row r="363" spans="1:18" ht="116" x14ac:dyDescent="0.35">
      <c r="A363" s="40">
        <f t="shared" si="5"/>
        <v>362</v>
      </c>
      <c r="B363" s="53" t="s">
        <v>28</v>
      </c>
      <c r="C363" s="57">
        <v>45251</v>
      </c>
      <c r="D363" s="57">
        <v>45275</v>
      </c>
      <c r="E363" s="52" t="s">
        <v>49</v>
      </c>
      <c r="F363" s="52" t="s">
        <v>102</v>
      </c>
      <c r="G363" s="52" t="s">
        <v>432</v>
      </c>
      <c r="H363" s="58"/>
      <c r="I363" s="58"/>
      <c r="J363" s="52" t="s">
        <v>433</v>
      </c>
      <c r="K363" s="54" t="s">
        <v>85</v>
      </c>
      <c r="L363" s="54"/>
      <c r="M363" s="54"/>
      <c r="N363" s="54" t="s">
        <v>83</v>
      </c>
      <c r="O363" s="54"/>
      <c r="P363" s="54" t="s">
        <v>80</v>
      </c>
      <c r="Q363" s="59" t="s">
        <v>434</v>
      </c>
      <c r="R363" s="59"/>
    </row>
    <row r="364" spans="1:18" ht="116" x14ac:dyDescent="0.35">
      <c r="A364" s="40">
        <f t="shared" si="5"/>
        <v>363</v>
      </c>
      <c r="B364" s="53" t="s">
        <v>28</v>
      </c>
      <c r="C364" s="57">
        <v>45271</v>
      </c>
      <c r="D364" s="57">
        <v>45275</v>
      </c>
      <c r="E364" s="52" t="s">
        <v>148</v>
      </c>
      <c r="F364" s="52" t="s">
        <v>66</v>
      </c>
      <c r="G364" s="52" t="s">
        <v>435</v>
      </c>
      <c r="H364" s="58"/>
      <c r="I364" s="58"/>
      <c r="J364" s="52" t="s">
        <v>436</v>
      </c>
      <c r="K364" s="54" t="s">
        <v>84</v>
      </c>
      <c r="L364" s="54"/>
      <c r="M364" s="54"/>
      <c r="N364" s="54" t="s">
        <v>83</v>
      </c>
      <c r="O364" s="54"/>
      <c r="P364" s="54" t="s">
        <v>80</v>
      </c>
      <c r="Q364" s="59"/>
      <c r="R364" s="59"/>
    </row>
    <row r="365" spans="1:18" ht="87" x14ac:dyDescent="0.35">
      <c r="A365" s="40">
        <f t="shared" si="5"/>
        <v>364</v>
      </c>
      <c r="B365" s="53" t="s">
        <v>28</v>
      </c>
      <c r="C365" s="57">
        <v>45255</v>
      </c>
      <c r="D365" s="57">
        <v>45268</v>
      </c>
      <c r="E365" s="52" t="s">
        <v>437</v>
      </c>
      <c r="F365" s="52" t="s">
        <v>110</v>
      </c>
      <c r="G365" s="52" t="s">
        <v>438</v>
      </c>
      <c r="H365" s="58"/>
      <c r="I365" s="58"/>
      <c r="J365" s="52" t="s">
        <v>439</v>
      </c>
      <c r="K365" s="54" t="s">
        <v>82</v>
      </c>
      <c r="L365" s="54"/>
      <c r="M365" s="54"/>
      <c r="N365" s="54" t="s">
        <v>83</v>
      </c>
      <c r="O365" s="54"/>
      <c r="P365" s="54" t="s">
        <v>80</v>
      </c>
      <c r="Q365" s="59" t="s">
        <v>440</v>
      </c>
      <c r="R365" s="59"/>
    </row>
    <row r="366" spans="1:18" ht="58" x14ac:dyDescent="0.35">
      <c r="A366" s="40">
        <f t="shared" si="5"/>
        <v>365</v>
      </c>
      <c r="B366" s="53" t="s">
        <v>28</v>
      </c>
      <c r="C366" s="57">
        <v>45268</v>
      </c>
      <c r="D366" s="57">
        <v>45271</v>
      </c>
      <c r="E366" s="52" t="s">
        <v>441</v>
      </c>
      <c r="F366" s="52" t="s">
        <v>442</v>
      </c>
      <c r="G366" s="52" t="s">
        <v>443</v>
      </c>
      <c r="H366" s="58"/>
      <c r="I366" s="58"/>
      <c r="J366" s="52" t="s">
        <v>444</v>
      </c>
      <c r="K366" s="54" t="s">
        <v>79</v>
      </c>
      <c r="L366" s="54"/>
      <c r="M366" s="54"/>
      <c r="N366" s="54" t="s">
        <v>83</v>
      </c>
      <c r="O366" s="54"/>
      <c r="P366" s="54" t="s">
        <v>80</v>
      </c>
      <c r="Q366" s="59"/>
      <c r="R366" s="59"/>
    </row>
    <row r="367" spans="1:18" ht="116" x14ac:dyDescent="0.35">
      <c r="A367" s="40">
        <f t="shared" si="5"/>
        <v>366</v>
      </c>
      <c r="B367" s="53" t="s">
        <v>28</v>
      </c>
      <c r="C367" s="57">
        <v>45251</v>
      </c>
      <c r="D367" s="57">
        <v>45267</v>
      </c>
      <c r="E367" s="52" t="s">
        <v>49</v>
      </c>
      <c r="F367" s="52" t="s">
        <v>119</v>
      </c>
      <c r="G367" s="52" t="s">
        <v>445</v>
      </c>
      <c r="H367" s="58"/>
      <c r="I367" s="58"/>
      <c r="J367" s="52" t="s">
        <v>446</v>
      </c>
      <c r="K367" s="54" t="s">
        <v>81</v>
      </c>
      <c r="L367" s="54"/>
      <c r="M367" s="54"/>
      <c r="N367" s="54" t="s">
        <v>83</v>
      </c>
      <c r="O367" s="54"/>
      <c r="P367" s="54" t="s">
        <v>80</v>
      </c>
      <c r="Q367" s="59" t="s">
        <v>447</v>
      </c>
      <c r="R367" s="59"/>
    </row>
    <row r="368" spans="1:18" ht="43.5" x14ac:dyDescent="0.35">
      <c r="A368" s="40">
        <f t="shared" si="5"/>
        <v>367</v>
      </c>
      <c r="B368" s="53" t="s">
        <v>27</v>
      </c>
      <c r="C368" s="57">
        <v>45254</v>
      </c>
      <c r="D368" s="57">
        <v>45266</v>
      </c>
      <c r="E368" s="52" t="s">
        <v>52</v>
      </c>
      <c r="F368" s="52" t="s">
        <v>43</v>
      </c>
      <c r="G368" s="52" t="s">
        <v>448</v>
      </c>
      <c r="H368" s="58"/>
      <c r="I368" s="58">
        <v>12528000</v>
      </c>
      <c r="J368" s="52" t="s">
        <v>449</v>
      </c>
      <c r="K368" s="54" t="s">
        <v>81</v>
      </c>
      <c r="L368" s="54"/>
      <c r="M368" s="54"/>
      <c r="N368" s="54" t="s">
        <v>83</v>
      </c>
      <c r="O368" s="54"/>
      <c r="P368" s="54" t="s">
        <v>80</v>
      </c>
      <c r="Q368" s="59"/>
      <c r="R368" s="59"/>
    </row>
    <row r="369" spans="1:18" ht="87" x14ac:dyDescent="0.35">
      <c r="A369" s="40">
        <f t="shared" si="5"/>
        <v>368</v>
      </c>
      <c r="B369" s="53" t="s">
        <v>27</v>
      </c>
      <c r="C369" s="57">
        <v>45264</v>
      </c>
      <c r="D369" s="57">
        <v>45268</v>
      </c>
      <c r="E369" s="52" t="s">
        <v>450</v>
      </c>
      <c r="F369" s="52" t="s">
        <v>265</v>
      </c>
      <c r="G369" s="52" t="s">
        <v>451</v>
      </c>
      <c r="H369" s="58"/>
      <c r="I369" s="58">
        <v>16289941.307999998</v>
      </c>
      <c r="J369" s="52" t="s">
        <v>452</v>
      </c>
      <c r="K369" s="54" t="s">
        <v>82</v>
      </c>
      <c r="L369" s="54"/>
      <c r="M369" s="54"/>
      <c r="N369" s="54" t="s">
        <v>83</v>
      </c>
      <c r="O369" s="54"/>
      <c r="P369" s="54" t="s">
        <v>80</v>
      </c>
      <c r="Q369" s="59" t="s">
        <v>377</v>
      </c>
      <c r="R369" s="59"/>
    </row>
    <row r="370" spans="1:18" ht="43.5" x14ac:dyDescent="0.35">
      <c r="A370" s="40">
        <f t="shared" si="5"/>
        <v>369</v>
      </c>
      <c r="B370" s="53" t="s">
        <v>28</v>
      </c>
      <c r="C370" s="57">
        <v>45253</v>
      </c>
      <c r="D370" s="57">
        <v>45260</v>
      </c>
      <c r="E370" s="52" t="s">
        <v>453</v>
      </c>
      <c r="F370" s="52" t="s">
        <v>454</v>
      </c>
      <c r="G370" s="52" t="s">
        <v>455</v>
      </c>
      <c r="H370" s="58"/>
      <c r="I370" s="58"/>
      <c r="J370" s="52" t="s">
        <v>456</v>
      </c>
      <c r="K370" s="54" t="s">
        <v>79</v>
      </c>
      <c r="L370" s="54"/>
      <c r="M370" s="54"/>
      <c r="N370" s="54" t="s">
        <v>83</v>
      </c>
      <c r="O370" s="54"/>
      <c r="P370" s="54" t="s">
        <v>80</v>
      </c>
      <c r="Q370" s="59"/>
      <c r="R370" s="59"/>
    </row>
    <row r="371" spans="1:18" ht="72.5" x14ac:dyDescent="0.35">
      <c r="A371" s="40">
        <f t="shared" si="5"/>
        <v>370</v>
      </c>
      <c r="B371" s="53" t="s">
        <v>28</v>
      </c>
      <c r="C371" s="57">
        <v>45253</v>
      </c>
      <c r="D371" s="57">
        <v>45262</v>
      </c>
      <c r="E371" s="52" t="s">
        <v>328</v>
      </c>
      <c r="F371" s="52" t="s">
        <v>135</v>
      </c>
      <c r="G371" s="52" t="s">
        <v>457</v>
      </c>
      <c r="H371" s="58"/>
      <c r="I371" s="58"/>
      <c r="J371" s="52" t="s">
        <v>458</v>
      </c>
      <c r="K371" s="54" t="s">
        <v>79</v>
      </c>
      <c r="L371" s="54"/>
      <c r="M371" s="54"/>
      <c r="N371" s="54" t="s">
        <v>83</v>
      </c>
      <c r="O371" s="54"/>
      <c r="P371" s="54" t="s">
        <v>80</v>
      </c>
      <c r="Q371" s="59"/>
      <c r="R371" s="59"/>
    </row>
    <row r="372" spans="1:18" ht="101.5" x14ac:dyDescent="0.35">
      <c r="A372" s="40">
        <f t="shared" si="5"/>
        <v>371</v>
      </c>
      <c r="B372" s="53" t="s">
        <v>29</v>
      </c>
      <c r="C372" s="57">
        <v>45237</v>
      </c>
      <c r="D372" s="57">
        <v>45264</v>
      </c>
      <c r="E372" s="52" t="s">
        <v>88</v>
      </c>
      <c r="F372" s="52" t="s">
        <v>459</v>
      </c>
      <c r="G372" s="52" t="s">
        <v>460</v>
      </c>
      <c r="H372" s="58">
        <v>142051474.94</v>
      </c>
      <c r="I372" s="58">
        <v>153168437.70459515</v>
      </c>
      <c r="J372" s="52" t="s">
        <v>461</v>
      </c>
      <c r="K372" s="54" t="s">
        <v>85</v>
      </c>
      <c r="L372" s="54"/>
      <c r="M372" s="54"/>
      <c r="N372" s="54" t="s">
        <v>83</v>
      </c>
      <c r="O372" s="54"/>
      <c r="P372" s="54" t="s">
        <v>80</v>
      </c>
      <c r="Q372" s="59" t="s">
        <v>462</v>
      </c>
      <c r="R372" s="59"/>
    </row>
    <row r="373" spans="1:18" ht="29" x14ac:dyDescent="0.35">
      <c r="A373" s="40">
        <f t="shared" si="5"/>
        <v>372</v>
      </c>
      <c r="B373" s="53" t="s">
        <v>27</v>
      </c>
      <c r="C373" s="57">
        <v>45258</v>
      </c>
      <c r="D373" s="57">
        <v>45264</v>
      </c>
      <c r="E373" s="52" t="s">
        <v>463</v>
      </c>
      <c r="F373" s="52" t="s">
        <v>60</v>
      </c>
      <c r="G373" s="52" t="s">
        <v>464</v>
      </c>
      <c r="H373" s="58"/>
      <c r="I373" s="58">
        <v>1875721</v>
      </c>
      <c r="J373" s="52" t="s">
        <v>465</v>
      </c>
      <c r="K373" s="54" t="s">
        <v>81</v>
      </c>
      <c r="L373" s="54"/>
      <c r="M373" s="54"/>
      <c r="N373" s="54" t="s">
        <v>83</v>
      </c>
      <c r="O373" s="54"/>
      <c r="P373" s="54" t="s">
        <v>80</v>
      </c>
      <c r="Q373" s="59"/>
      <c r="R373" s="59"/>
    </row>
    <row r="374" spans="1:18" ht="116" x14ac:dyDescent="0.35">
      <c r="A374" s="40">
        <f t="shared" si="5"/>
        <v>373</v>
      </c>
      <c r="B374" s="53" t="s">
        <v>28</v>
      </c>
      <c r="C374" s="57">
        <v>45247</v>
      </c>
      <c r="D374" s="57">
        <v>45257</v>
      </c>
      <c r="E374" s="52" t="s">
        <v>49</v>
      </c>
      <c r="F374" s="52" t="s">
        <v>87</v>
      </c>
      <c r="G374" s="52" t="s">
        <v>466</v>
      </c>
      <c r="H374" s="58"/>
      <c r="I374" s="58"/>
      <c r="J374" s="52" t="s">
        <v>467</v>
      </c>
      <c r="K374" s="54" t="s">
        <v>81</v>
      </c>
      <c r="L374" s="54"/>
      <c r="M374" s="54"/>
      <c r="N374" s="54" t="s">
        <v>83</v>
      </c>
      <c r="O374" s="54"/>
      <c r="P374" s="54" t="s">
        <v>80</v>
      </c>
      <c r="Q374" s="59"/>
      <c r="R374" s="59"/>
    </row>
    <row r="375" spans="1:18" ht="72.5" x14ac:dyDescent="0.35">
      <c r="A375" s="40">
        <f t="shared" si="5"/>
        <v>374</v>
      </c>
      <c r="B375" s="53" t="s">
        <v>33</v>
      </c>
      <c r="C375" s="57">
        <v>45237</v>
      </c>
      <c r="D375" s="57">
        <v>45254</v>
      </c>
      <c r="E375" s="52" t="s">
        <v>140</v>
      </c>
      <c r="F375" s="52" t="s">
        <v>141</v>
      </c>
      <c r="G375" s="52">
        <v>9160000974</v>
      </c>
      <c r="H375" s="58"/>
      <c r="I375" s="58"/>
      <c r="J375" s="52" t="s">
        <v>468</v>
      </c>
      <c r="K375" s="54" t="s">
        <v>79</v>
      </c>
      <c r="L375" s="54"/>
      <c r="M375" s="54"/>
      <c r="N375" s="54" t="s">
        <v>83</v>
      </c>
      <c r="O375" s="54"/>
      <c r="P375" s="54" t="s">
        <v>80</v>
      </c>
      <c r="Q375" s="59"/>
      <c r="R375" s="59"/>
    </row>
    <row r="376" spans="1:18" ht="116" x14ac:dyDescent="0.35">
      <c r="A376" s="40">
        <f t="shared" si="5"/>
        <v>375</v>
      </c>
      <c r="B376" s="53" t="s">
        <v>28</v>
      </c>
      <c r="C376" s="57">
        <v>45232</v>
      </c>
      <c r="D376" s="57">
        <v>45255</v>
      </c>
      <c r="E376" s="52" t="s">
        <v>49</v>
      </c>
      <c r="F376" s="52" t="s">
        <v>119</v>
      </c>
      <c r="G376" s="52" t="s">
        <v>469</v>
      </c>
      <c r="H376" s="58"/>
      <c r="I376" s="58"/>
      <c r="J376" s="52" t="s">
        <v>470</v>
      </c>
      <c r="K376" s="54" t="s">
        <v>81</v>
      </c>
      <c r="L376" s="54"/>
      <c r="M376" s="54"/>
      <c r="N376" s="54" t="s">
        <v>83</v>
      </c>
      <c r="O376" s="54"/>
      <c r="P376" s="54" t="s">
        <v>80</v>
      </c>
      <c r="Q376" s="59" t="s">
        <v>471</v>
      </c>
      <c r="R376" s="59"/>
    </row>
    <row r="377" spans="1:18" ht="72.5" x14ac:dyDescent="0.35">
      <c r="A377" s="40">
        <f t="shared" si="5"/>
        <v>376</v>
      </c>
      <c r="B377" s="53" t="s">
        <v>28</v>
      </c>
      <c r="C377" s="57">
        <v>45236</v>
      </c>
      <c r="D377" s="57">
        <v>45254</v>
      </c>
      <c r="E377" s="52" t="s">
        <v>71</v>
      </c>
      <c r="F377" s="52" t="s">
        <v>66</v>
      </c>
      <c r="G377" s="52" t="s">
        <v>472</v>
      </c>
      <c r="H377" s="58"/>
      <c r="I377" s="58"/>
      <c r="J377" s="52" t="s">
        <v>473</v>
      </c>
      <c r="K377" s="54" t="s">
        <v>84</v>
      </c>
      <c r="L377" s="54"/>
      <c r="M377" s="54"/>
      <c r="N377" s="54" t="s">
        <v>83</v>
      </c>
      <c r="O377" s="54"/>
      <c r="P377" s="54" t="s">
        <v>80</v>
      </c>
      <c r="Q377" s="59"/>
      <c r="R377" s="59"/>
    </row>
    <row r="378" spans="1:18" ht="43.5" x14ac:dyDescent="0.35">
      <c r="A378" s="40">
        <f t="shared" si="5"/>
        <v>377</v>
      </c>
      <c r="B378" s="59" t="s">
        <v>28</v>
      </c>
      <c r="C378" s="57">
        <v>45232</v>
      </c>
      <c r="D378" s="57">
        <v>45250</v>
      </c>
      <c r="E378" s="52" t="s">
        <v>49</v>
      </c>
      <c r="F378" s="52" t="s">
        <v>104</v>
      </c>
      <c r="G378" s="54" t="s">
        <v>474</v>
      </c>
      <c r="H378" s="58"/>
      <c r="I378" s="58"/>
      <c r="J378" s="52" t="s">
        <v>475</v>
      </c>
      <c r="K378" s="52" t="s">
        <v>85</v>
      </c>
      <c r="L378" s="54"/>
      <c r="M378" s="54"/>
      <c r="N378" s="54" t="s">
        <v>83</v>
      </c>
      <c r="O378" s="54"/>
      <c r="P378" s="54" t="s">
        <v>80</v>
      </c>
      <c r="Q378" s="52" t="s">
        <v>476</v>
      </c>
      <c r="R378" s="54"/>
    </row>
    <row r="379" spans="1:18" ht="101.5" x14ac:dyDescent="0.35">
      <c r="A379" s="40">
        <f t="shared" si="5"/>
        <v>378</v>
      </c>
      <c r="B379" s="53" t="s">
        <v>28</v>
      </c>
      <c r="C379" s="57">
        <v>45233</v>
      </c>
      <c r="D379" s="57">
        <v>45253</v>
      </c>
      <c r="E379" s="52" t="s">
        <v>49</v>
      </c>
      <c r="F379" s="52" t="s">
        <v>119</v>
      </c>
      <c r="G379" s="52" t="s">
        <v>477</v>
      </c>
      <c r="H379" s="58"/>
      <c r="I379" s="58"/>
      <c r="J379" s="52" t="s">
        <v>478</v>
      </c>
      <c r="K379" s="54" t="s">
        <v>81</v>
      </c>
      <c r="L379" s="54"/>
      <c r="M379" s="54"/>
      <c r="N379" s="54" t="s">
        <v>83</v>
      </c>
      <c r="O379" s="54"/>
      <c r="P379" s="54" t="s">
        <v>80</v>
      </c>
      <c r="Q379" s="59" t="s">
        <v>479</v>
      </c>
      <c r="R379" s="59"/>
    </row>
    <row r="380" spans="1:18" ht="43.5" x14ac:dyDescent="0.35">
      <c r="A380" s="40">
        <f t="shared" si="5"/>
        <v>379</v>
      </c>
      <c r="B380" s="53" t="s">
        <v>31</v>
      </c>
      <c r="C380" s="57">
        <v>45239</v>
      </c>
      <c r="D380" s="57">
        <v>45251</v>
      </c>
      <c r="E380" s="52" t="s">
        <v>52</v>
      </c>
      <c r="F380" s="52" t="s">
        <v>43</v>
      </c>
      <c r="G380" s="52" t="s">
        <v>480</v>
      </c>
      <c r="H380" s="58"/>
      <c r="I380" s="58">
        <v>7255497.5999999996</v>
      </c>
      <c r="J380" s="52" t="s">
        <v>481</v>
      </c>
      <c r="K380" s="54" t="s">
        <v>81</v>
      </c>
      <c r="L380" s="54"/>
      <c r="M380" s="54"/>
      <c r="N380" s="54" t="s">
        <v>83</v>
      </c>
      <c r="O380" s="54"/>
      <c r="P380" s="54" t="s">
        <v>80</v>
      </c>
      <c r="Q380" s="59"/>
      <c r="R380" s="59"/>
    </row>
    <row r="381" spans="1:18" ht="159.5" x14ac:dyDescent="0.35">
      <c r="A381" s="40">
        <f t="shared" si="5"/>
        <v>380</v>
      </c>
      <c r="B381" s="59" t="s">
        <v>28</v>
      </c>
      <c r="C381" s="57">
        <v>45220</v>
      </c>
      <c r="D381" s="57">
        <v>45252</v>
      </c>
      <c r="E381" s="52" t="s">
        <v>482</v>
      </c>
      <c r="F381" s="52" t="s">
        <v>93</v>
      </c>
      <c r="G381" s="52" t="s">
        <v>483</v>
      </c>
      <c r="H381" s="58"/>
      <c r="I381" s="58"/>
      <c r="J381" s="52" t="s">
        <v>484</v>
      </c>
      <c r="K381" s="54" t="s">
        <v>82</v>
      </c>
      <c r="L381" s="54"/>
      <c r="M381" s="54"/>
      <c r="N381" s="54" t="s">
        <v>83</v>
      </c>
      <c r="O381" s="54"/>
      <c r="P381" s="54" t="s">
        <v>80</v>
      </c>
      <c r="Q381" s="59" t="s">
        <v>485</v>
      </c>
      <c r="R381" s="59"/>
    </row>
    <row r="382" spans="1:18" ht="72.5" x14ac:dyDescent="0.35">
      <c r="A382" s="40">
        <f t="shared" si="5"/>
        <v>381</v>
      </c>
      <c r="B382" s="59" t="s">
        <v>28</v>
      </c>
      <c r="C382" s="57">
        <v>45219</v>
      </c>
      <c r="D382" s="57">
        <v>45239</v>
      </c>
      <c r="E382" s="52" t="s">
        <v>49</v>
      </c>
      <c r="F382" s="52" t="s">
        <v>129</v>
      </c>
      <c r="G382" s="52" t="s">
        <v>486</v>
      </c>
      <c r="H382" s="58"/>
      <c r="I382" s="58"/>
      <c r="J382" s="52" t="s">
        <v>487</v>
      </c>
      <c r="K382" s="54" t="s">
        <v>81</v>
      </c>
      <c r="L382" s="54"/>
      <c r="M382" s="54"/>
      <c r="N382" s="54" t="s">
        <v>83</v>
      </c>
      <c r="O382" s="60"/>
      <c r="P382" s="54" t="s">
        <v>80</v>
      </c>
      <c r="Q382" s="59" t="s">
        <v>488</v>
      </c>
      <c r="R382" s="59"/>
    </row>
    <row r="383" spans="1:18" ht="72.5" x14ac:dyDescent="0.35">
      <c r="A383" s="40">
        <f t="shared" si="5"/>
        <v>382</v>
      </c>
      <c r="B383" s="59" t="s">
        <v>28</v>
      </c>
      <c r="C383" s="57">
        <v>45222</v>
      </c>
      <c r="D383" s="57">
        <v>45241</v>
      </c>
      <c r="E383" s="52" t="s">
        <v>49</v>
      </c>
      <c r="F383" s="52" t="s">
        <v>134</v>
      </c>
      <c r="G383" s="52" t="s">
        <v>489</v>
      </c>
      <c r="H383" s="58"/>
      <c r="I383" s="58"/>
      <c r="J383" s="52" t="s">
        <v>490</v>
      </c>
      <c r="K383" s="54" t="s">
        <v>81</v>
      </c>
      <c r="L383" s="54"/>
      <c r="M383" s="54"/>
      <c r="N383" s="54" t="s">
        <v>83</v>
      </c>
      <c r="O383" s="54"/>
      <c r="P383" s="54" t="s">
        <v>80</v>
      </c>
      <c r="Q383" s="59" t="s">
        <v>491</v>
      </c>
      <c r="R383" s="59"/>
    </row>
    <row r="384" spans="1:18" ht="72.5" x14ac:dyDescent="0.35">
      <c r="A384" s="40">
        <f t="shared" si="5"/>
        <v>383</v>
      </c>
      <c r="B384" s="59" t="s">
        <v>28</v>
      </c>
      <c r="C384" s="57">
        <v>45225</v>
      </c>
      <c r="D384" s="57">
        <v>45246</v>
      </c>
      <c r="E384" s="52" t="s">
        <v>49</v>
      </c>
      <c r="F384" s="52" t="s">
        <v>126</v>
      </c>
      <c r="G384" s="52" t="s">
        <v>492</v>
      </c>
      <c r="H384" s="58"/>
      <c r="I384" s="58"/>
      <c r="J384" s="52" t="s">
        <v>493</v>
      </c>
      <c r="K384" s="54" t="s">
        <v>79</v>
      </c>
      <c r="L384" s="54"/>
      <c r="M384" s="54"/>
      <c r="N384" s="54" t="s">
        <v>83</v>
      </c>
      <c r="O384" s="54"/>
      <c r="P384" s="54" t="s">
        <v>80</v>
      </c>
      <c r="Q384" s="59" t="s">
        <v>494</v>
      </c>
      <c r="R384" s="59"/>
    </row>
    <row r="385" spans="1:18" ht="58" x14ac:dyDescent="0.35">
      <c r="A385" s="40">
        <f t="shared" si="5"/>
        <v>384</v>
      </c>
      <c r="B385" s="59" t="s">
        <v>28</v>
      </c>
      <c r="C385" s="57">
        <v>45229</v>
      </c>
      <c r="D385" s="57">
        <v>45246</v>
      </c>
      <c r="E385" s="52" t="s">
        <v>495</v>
      </c>
      <c r="F385" s="52" t="s">
        <v>265</v>
      </c>
      <c r="G385" s="52" t="s">
        <v>496</v>
      </c>
      <c r="H385" s="58"/>
      <c r="I385" s="58"/>
      <c r="J385" s="52" t="s">
        <v>497</v>
      </c>
      <c r="K385" s="54" t="s">
        <v>81</v>
      </c>
      <c r="L385" s="54"/>
      <c r="M385" s="54"/>
      <c r="N385" s="54" t="s">
        <v>83</v>
      </c>
      <c r="O385" s="54"/>
      <c r="P385" s="54" t="s">
        <v>80</v>
      </c>
      <c r="Q385" s="59" t="s">
        <v>240</v>
      </c>
      <c r="R385" s="59"/>
    </row>
    <row r="386" spans="1:18" ht="29" x14ac:dyDescent="0.35">
      <c r="A386" s="40">
        <f t="shared" ref="A386:A449" si="6">ROW()-1</f>
        <v>385</v>
      </c>
      <c r="B386" s="59" t="s">
        <v>28</v>
      </c>
      <c r="C386" s="57">
        <v>45231</v>
      </c>
      <c r="D386" s="57">
        <v>45246</v>
      </c>
      <c r="E386" s="52" t="s">
        <v>328</v>
      </c>
      <c r="F386" s="52" t="s">
        <v>135</v>
      </c>
      <c r="G386" s="52" t="s">
        <v>498</v>
      </c>
      <c r="H386" s="58"/>
      <c r="I386" s="58"/>
      <c r="J386" s="52" t="s">
        <v>499</v>
      </c>
      <c r="K386" s="54" t="s">
        <v>79</v>
      </c>
      <c r="L386" s="54"/>
      <c r="M386" s="54"/>
      <c r="N386" s="54" t="s">
        <v>83</v>
      </c>
      <c r="O386" s="54"/>
      <c r="P386" s="54" t="s">
        <v>80</v>
      </c>
      <c r="Q386" s="59"/>
      <c r="R386" s="59"/>
    </row>
    <row r="387" spans="1:18" ht="72.5" x14ac:dyDescent="0.35">
      <c r="A387" s="40">
        <f t="shared" si="6"/>
        <v>386</v>
      </c>
      <c r="B387" s="59" t="s">
        <v>28</v>
      </c>
      <c r="C387" s="57">
        <v>45232</v>
      </c>
      <c r="D387" s="57">
        <v>45246</v>
      </c>
      <c r="E387" s="52" t="s">
        <v>63</v>
      </c>
      <c r="F387" s="52" t="s">
        <v>56</v>
      </c>
      <c r="G387" s="52" t="s">
        <v>500</v>
      </c>
      <c r="H387" s="58"/>
      <c r="I387" s="58"/>
      <c r="J387" s="52" t="s">
        <v>501</v>
      </c>
      <c r="K387" s="54" t="s">
        <v>79</v>
      </c>
      <c r="L387" s="54"/>
      <c r="M387" s="54"/>
      <c r="N387" s="54" t="s">
        <v>83</v>
      </c>
      <c r="O387" s="54"/>
      <c r="P387" s="54" t="s">
        <v>80</v>
      </c>
      <c r="Q387" s="52"/>
      <c r="R387" s="59"/>
    </row>
    <row r="388" spans="1:18" ht="116" x14ac:dyDescent="0.35">
      <c r="A388" s="40">
        <f t="shared" si="6"/>
        <v>387</v>
      </c>
      <c r="B388" s="59" t="s">
        <v>28</v>
      </c>
      <c r="C388" s="57">
        <v>45229</v>
      </c>
      <c r="D388" s="57">
        <v>45234</v>
      </c>
      <c r="E388" s="52" t="s">
        <v>63</v>
      </c>
      <c r="F388" s="52" t="s">
        <v>89</v>
      </c>
      <c r="G388" s="52" t="s">
        <v>502</v>
      </c>
      <c r="H388" s="58"/>
      <c r="I388" s="58"/>
      <c r="J388" s="52" t="s">
        <v>503</v>
      </c>
      <c r="K388" s="54" t="s">
        <v>82</v>
      </c>
      <c r="L388" s="54"/>
      <c r="M388" s="54"/>
      <c r="N388" s="54" t="s">
        <v>83</v>
      </c>
      <c r="O388" s="54"/>
      <c r="P388" s="54" t="s">
        <v>80</v>
      </c>
      <c r="Q388" s="59"/>
      <c r="R388" s="59"/>
    </row>
    <row r="389" spans="1:18" ht="87" x14ac:dyDescent="0.35">
      <c r="A389" s="40">
        <f t="shared" si="6"/>
        <v>388</v>
      </c>
      <c r="B389" s="59" t="s">
        <v>28</v>
      </c>
      <c r="C389" s="57">
        <v>45237</v>
      </c>
      <c r="D389" s="57">
        <v>45238</v>
      </c>
      <c r="E389" s="52" t="s">
        <v>63</v>
      </c>
      <c r="F389" s="52" t="s">
        <v>89</v>
      </c>
      <c r="G389" s="52" t="s">
        <v>504</v>
      </c>
      <c r="H389" s="58"/>
      <c r="I389" s="58"/>
      <c r="J389" s="52" t="s">
        <v>505</v>
      </c>
      <c r="K389" s="54" t="s">
        <v>82</v>
      </c>
      <c r="L389" s="54"/>
      <c r="M389" s="54"/>
      <c r="N389" s="54" t="s">
        <v>83</v>
      </c>
      <c r="O389" s="54"/>
      <c r="P389" s="54" t="s">
        <v>80</v>
      </c>
      <c r="Q389" s="59" t="s">
        <v>506</v>
      </c>
      <c r="R389" s="59"/>
    </row>
    <row r="390" spans="1:18" ht="101.5" x14ac:dyDescent="0.35">
      <c r="A390" s="40">
        <f t="shared" si="6"/>
        <v>389</v>
      </c>
      <c r="B390" s="59" t="s">
        <v>28</v>
      </c>
      <c r="C390" s="57">
        <v>45232</v>
      </c>
      <c r="D390" s="57">
        <v>45246</v>
      </c>
      <c r="E390" s="52" t="s">
        <v>49</v>
      </c>
      <c r="F390" s="52" t="s">
        <v>87</v>
      </c>
      <c r="G390" s="52" t="s">
        <v>507</v>
      </c>
      <c r="H390" s="58"/>
      <c r="I390" s="58"/>
      <c r="J390" s="52" t="s">
        <v>508</v>
      </c>
      <c r="K390" s="54" t="s">
        <v>81</v>
      </c>
      <c r="L390" s="54"/>
      <c r="M390" s="54"/>
      <c r="N390" s="54" t="s">
        <v>83</v>
      </c>
      <c r="O390" s="54"/>
      <c r="P390" s="54" t="s">
        <v>80</v>
      </c>
      <c r="Q390" s="59" t="s">
        <v>240</v>
      </c>
      <c r="R390" s="59"/>
    </row>
    <row r="391" spans="1:18" ht="58" x14ac:dyDescent="0.35">
      <c r="A391" s="40">
        <f t="shared" si="6"/>
        <v>390</v>
      </c>
      <c r="B391" s="59" t="s">
        <v>28</v>
      </c>
      <c r="C391" s="57">
        <v>45216</v>
      </c>
      <c r="D391" s="57">
        <v>45237</v>
      </c>
      <c r="E391" s="52" t="s">
        <v>49</v>
      </c>
      <c r="F391" s="52" t="s">
        <v>77</v>
      </c>
      <c r="G391" s="52" t="s">
        <v>509</v>
      </c>
      <c r="H391" s="58"/>
      <c r="I391" s="58"/>
      <c r="J391" s="52" t="s">
        <v>510</v>
      </c>
      <c r="K391" s="54" t="s">
        <v>85</v>
      </c>
      <c r="L391" s="54"/>
      <c r="M391" s="54"/>
      <c r="N391" s="54" t="s">
        <v>83</v>
      </c>
      <c r="O391" s="54"/>
      <c r="P391" s="54" t="s">
        <v>80</v>
      </c>
      <c r="Q391" s="59" t="s">
        <v>511</v>
      </c>
      <c r="R391" s="59"/>
    </row>
    <row r="392" spans="1:18" ht="130.5" x14ac:dyDescent="0.35">
      <c r="A392" s="40">
        <f t="shared" si="6"/>
        <v>391</v>
      </c>
      <c r="B392" s="59" t="s">
        <v>27</v>
      </c>
      <c r="C392" s="57">
        <v>45218</v>
      </c>
      <c r="D392" s="57">
        <v>45238</v>
      </c>
      <c r="E392" s="52" t="s">
        <v>88</v>
      </c>
      <c r="F392" s="52" t="s">
        <v>43</v>
      </c>
      <c r="G392" s="52" t="s">
        <v>512</v>
      </c>
      <c r="H392" s="58"/>
      <c r="I392" s="58">
        <v>103831463.73728813</v>
      </c>
      <c r="J392" s="52" t="s">
        <v>513</v>
      </c>
      <c r="K392" s="54" t="s">
        <v>81</v>
      </c>
      <c r="L392" s="54"/>
      <c r="M392" s="54"/>
      <c r="N392" s="54" t="s">
        <v>83</v>
      </c>
      <c r="O392" s="54"/>
      <c r="P392" s="54" t="s">
        <v>80</v>
      </c>
      <c r="Q392" s="59" t="s">
        <v>514</v>
      </c>
      <c r="R392" s="59"/>
    </row>
    <row r="393" spans="1:18" ht="130.5" x14ac:dyDescent="0.35">
      <c r="A393" s="40">
        <f t="shared" si="6"/>
        <v>392</v>
      </c>
      <c r="B393" s="59" t="s">
        <v>28</v>
      </c>
      <c r="C393" s="57">
        <v>45225</v>
      </c>
      <c r="D393" s="57">
        <v>45237</v>
      </c>
      <c r="E393" s="52" t="s">
        <v>96</v>
      </c>
      <c r="F393" s="52" t="s">
        <v>45</v>
      </c>
      <c r="G393" s="52" t="s">
        <v>515</v>
      </c>
      <c r="H393" s="58"/>
      <c r="I393" s="58"/>
      <c r="J393" s="52" t="s">
        <v>516</v>
      </c>
      <c r="K393" s="54" t="s">
        <v>81</v>
      </c>
      <c r="L393" s="54"/>
      <c r="M393" s="54"/>
      <c r="N393" s="54" t="s">
        <v>83</v>
      </c>
      <c r="O393" s="54"/>
      <c r="P393" s="54" t="s">
        <v>80</v>
      </c>
      <c r="Q393" s="59" t="s">
        <v>240</v>
      </c>
      <c r="R393" s="59"/>
    </row>
    <row r="394" spans="1:18" ht="87" x14ac:dyDescent="0.35">
      <c r="A394" s="40">
        <f t="shared" si="6"/>
        <v>393</v>
      </c>
      <c r="B394" s="59" t="s">
        <v>28</v>
      </c>
      <c r="C394" s="57">
        <v>45202</v>
      </c>
      <c r="D394" s="57">
        <v>45237</v>
      </c>
      <c r="E394" s="52" t="s">
        <v>517</v>
      </c>
      <c r="F394" s="52" t="s">
        <v>68</v>
      </c>
      <c r="G394" s="52" t="s">
        <v>518</v>
      </c>
      <c r="H394" s="58"/>
      <c r="I394" s="58"/>
      <c r="J394" s="52" t="s">
        <v>519</v>
      </c>
      <c r="K394" s="54" t="s">
        <v>79</v>
      </c>
      <c r="L394" s="54"/>
      <c r="M394" s="54"/>
      <c r="N394" s="54" t="s">
        <v>83</v>
      </c>
      <c r="O394" s="54"/>
      <c r="P394" s="54" t="s">
        <v>80</v>
      </c>
      <c r="Q394" s="59" t="s">
        <v>240</v>
      </c>
      <c r="R394" s="59"/>
    </row>
    <row r="395" spans="1:18" ht="409.5" x14ac:dyDescent="0.35">
      <c r="A395" s="40">
        <f t="shared" si="6"/>
        <v>394</v>
      </c>
      <c r="B395" s="59" t="s">
        <v>31</v>
      </c>
      <c r="C395" s="57">
        <v>45225</v>
      </c>
      <c r="D395" s="57">
        <v>45236</v>
      </c>
      <c r="E395" s="52" t="s">
        <v>52</v>
      </c>
      <c r="F395" s="52" t="s">
        <v>520</v>
      </c>
      <c r="G395" s="52" t="s">
        <v>521</v>
      </c>
      <c r="H395" s="58">
        <v>2721103.64</v>
      </c>
      <c r="I395" s="58">
        <v>2951342.2881355933</v>
      </c>
      <c r="J395" s="52" t="s">
        <v>522</v>
      </c>
      <c r="K395" s="54" t="s">
        <v>81</v>
      </c>
      <c r="L395" s="54"/>
      <c r="M395" s="54"/>
      <c r="N395" s="54" t="s">
        <v>83</v>
      </c>
      <c r="O395" s="54"/>
      <c r="P395" s="54" t="s">
        <v>80</v>
      </c>
      <c r="Q395" s="59" t="s">
        <v>523</v>
      </c>
      <c r="R395" s="59"/>
    </row>
    <row r="396" spans="1:18" ht="145" x14ac:dyDescent="0.35">
      <c r="A396" s="40">
        <f t="shared" si="6"/>
        <v>395</v>
      </c>
      <c r="B396" s="59" t="s">
        <v>28</v>
      </c>
      <c r="C396" s="57">
        <v>45215</v>
      </c>
      <c r="D396" s="57">
        <v>45232</v>
      </c>
      <c r="E396" s="52" t="s">
        <v>49</v>
      </c>
      <c r="F396" s="52" t="s">
        <v>524</v>
      </c>
      <c r="G396" s="52" t="s">
        <v>525</v>
      </c>
      <c r="H396" s="58"/>
      <c r="I396" s="58"/>
      <c r="J396" s="52" t="s">
        <v>526</v>
      </c>
      <c r="K396" s="54" t="s">
        <v>79</v>
      </c>
      <c r="L396" s="54"/>
      <c r="M396" s="54"/>
      <c r="N396" s="54" t="s">
        <v>83</v>
      </c>
      <c r="O396" s="54"/>
      <c r="P396" s="54" t="s">
        <v>80</v>
      </c>
      <c r="Q396" s="59" t="s">
        <v>527</v>
      </c>
      <c r="R396" s="59"/>
    </row>
    <row r="397" spans="1:18" ht="72.5" x14ac:dyDescent="0.35">
      <c r="A397" s="40">
        <f t="shared" si="6"/>
        <v>396</v>
      </c>
      <c r="B397" s="59" t="s">
        <v>28</v>
      </c>
      <c r="C397" s="57">
        <v>45216</v>
      </c>
      <c r="D397" s="57">
        <v>45231</v>
      </c>
      <c r="E397" s="52" t="s">
        <v>49</v>
      </c>
      <c r="F397" s="52" t="s">
        <v>57</v>
      </c>
      <c r="G397" s="52" t="s">
        <v>528</v>
      </c>
      <c r="H397" s="58"/>
      <c r="I397" s="58"/>
      <c r="J397" s="52" t="s">
        <v>529</v>
      </c>
      <c r="K397" s="54" t="s">
        <v>81</v>
      </c>
      <c r="L397" s="54"/>
      <c r="M397" s="54"/>
      <c r="N397" s="54" t="s">
        <v>83</v>
      </c>
      <c r="O397" s="54"/>
      <c r="P397" s="54" t="s">
        <v>80</v>
      </c>
      <c r="Q397" s="59"/>
      <c r="R397" s="59"/>
    </row>
    <row r="398" spans="1:18" ht="130.5" x14ac:dyDescent="0.35">
      <c r="A398" s="40">
        <f t="shared" si="6"/>
        <v>397</v>
      </c>
      <c r="B398" s="59" t="s">
        <v>28</v>
      </c>
      <c r="C398" s="57">
        <v>45217</v>
      </c>
      <c r="D398" s="57">
        <v>45231</v>
      </c>
      <c r="E398" s="52" t="s">
        <v>49</v>
      </c>
      <c r="F398" s="52" t="s">
        <v>136</v>
      </c>
      <c r="G398" s="52" t="s">
        <v>530</v>
      </c>
      <c r="H398" s="58"/>
      <c r="I398" s="58"/>
      <c r="J398" s="52" t="s">
        <v>531</v>
      </c>
      <c r="K398" s="54" t="s">
        <v>81</v>
      </c>
      <c r="L398" s="54"/>
      <c r="M398" s="54"/>
      <c r="N398" s="54" t="s">
        <v>83</v>
      </c>
      <c r="O398" s="54"/>
      <c r="P398" s="54" t="s">
        <v>80</v>
      </c>
      <c r="Q398" s="59"/>
      <c r="R398" s="59"/>
    </row>
    <row r="399" spans="1:18" ht="87" x14ac:dyDescent="0.35">
      <c r="A399" s="40">
        <f t="shared" si="6"/>
        <v>398</v>
      </c>
      <c r="B399" s="59" t="s">
        <v>28</v>
      </c>
      <c r="C399" s="57">
        <v>45225</v>
      </c>
      <c r="D399" s="57">
        <v>45230</v>
      </c>
      <c r="E399" s="52" t="s">
        <v>63</v>
      </c>
      <c r="F399" s="52" t="s">
        <v>532</v>
      </c>
      <c r="G399" s="52" t="s">
        <v>533</v>
      </c>
      <c r="H399" s="58"/>
      <c r="I399" s="58"/>
      <c r="J399" s="52" t="s">
        <v>534</v>
      </c>
      <c r="K399" s="54" t="s">
        <v>79</v>
      </c>
      <c r="L399" s="54"/>
      <c r="M399" s="54"/>
      <c r="N399" s="54" t="s">
        <v>83</v>
      </c>
      <c r="O399" s="54"/>
      <c r="P399" s="54" t="s">
        <v>80</v>
      </c>
      <c r="Q399" s="59"/>
      <c r="R399" s="59"/>
    </row>
    <row r="400" spans="1:18" ht="391.5" x14ac:dyDescent="0.35">
      <c r="A400" s="40">
        <f t="shared" si="6"/>
        <v>399</v>
      </c>
      <c r="B400" s="59" t="s">
        <v>31</v>
      </c>
      <c r="C400" s="57">
        <v>45226</v>
      </c>
      <c r="D400" s="57">
        <v>45232</v>
      </c>
      <c r="E400" s="52" t="s">
        <v>52</v>
      </c>
      <c r="F400" s="52" t="s">
        <v>53</v>
      </c>
      <c r="G400" s="52" t="s">
        <v>535</v>
      </c>
      <c r="H400" s="58">
        <v>684000</v>
      </c>
      <c r="I400" s="58">
        <v>758070</v>
      </c>
      <c r="J400" s="52" t="s">
        <v>536</v>
      </c>
      <c r="K400" s="54" t="s">
        <v>85</v>
      </c>
      <c r="L400" s="54"/>
      <c r="M400" s="54"/>
      <c r="N400" s="54" t="s">
        <v>83</v>
      </c>
      <c r="O400" s="54"/>
      <c r="P400" s="54" t="s">
        <v>80</v>
      </c>
      <c r="Q400" s="59" t="s">
        <v>537</v>
      </c>
      <c r="R400" s="59"/>
    </row>
    <row r="401" spans="1:18" ht="29" x14ac:dyDescent="0.35">
      <c r="A401" s="40">
        <f t="shared" si="6"/>
        <v>400</v>
      </c>
      <c r="B401" s="59" t="s">
        <v>29</v>
      </c>
      <c r="C401" s="57">
        <v>45226</v>
      </c>
      <c r="D401" s="57">
        <v>45234</v>
      </c>
      <c r="E401" s="52" t="s">
        <v>52</v>
      </c>
      <c r="F401" s="52" t="s">
        <v>43</v>
      </c>
      <c r="G401" s="52" t="s">
        <v>538</v>
      </c>
      <c r="H401" s="58"/>
      <c r="I401" s="58">
        <v>3455052</v>
      </c>
      <c r="J401" s="52" t="s">
        <v>539</v>
      </c>
      <c r="K401" s="54" t="s">
        <v>81</v>
      </c>
      <c r="L401" s="54"/>
      <c r="M401" s="54"/>
      <c r="N401" s="54" t="s">
        <v>83</v>
      </c>
      <c r="O401" s="54"/>
      <c r="P401" s="54" t="s">
        <v>80</v>
      </c>
      <c r="Q401" s="59" t="s">
        <v>494</v>
      </c>
      <c r="R401" s="59"/>
    </row>
    <row r="402" spans="1:18" ht="409.5" x14ac:dyDescent="0.35">
      <c r="A402" s="40">
        <f t="shared" si="6"/>
        <v>401</v>
      </c>
      <c r="B402" s="59" t="s">
        <v>31</v>
      </c>
      <c r="C402" s="57">
        <v>45203</v>
      </c>
      <c r="D402" s="57">
        <v>45230</v>
      </c>
      <c r="E402" s="52" t="s">
        <v>540</v>
      </c>
      <c r="F402" s="52" t="s">
        <v>66</v>
      </c>
      <c r="G402" s="52" t="s">
        <v>541</v>
      </c>
      <c r="H402" s="58">
        <v>91800951.170000002</v>
      </c>
      <c r="I402" s="58">
        <v>93420746.372881353</v>
      </c>
      <c r="J402" s="52" t="s">
        <v>542</v>
      </c>
      <c r="K402" s="54" t="s">
        <v>84</v>
      </c>
      <c r="L402" s="54"/>
      <c r="M402" s="54"/>
      <c r="N402" s="54" t="s">
        <v>83</v>
      </c>
      <c r="O402" s="54"/>
      <c r="P402" s="54" t="s">
        <v>80</v>
      </c>
      <c r="Q402" s="59" t="s">
        <v>1276</v>
      </c>
      <c r="R402" s="59"/>
    </row>
    <row r="403" spans="1:18" ht="43.5" x14ac:dyDescent="0.35">
      <c r="A403" s="40">
        <f t="shared" si="6"/>
        <v>402</v>
      </c>
      <c r="B403" s="59" t="s">
        <v>27</v>
      </c>
      <c r="C403" s="57">
        <v>45226</v>
      </c>
      <c r="D403" s="57">
        <v>45230</v>
      </c>
      <c r="E403" s="52" t="s">
        <v>52</v>
      </c>
      <c r="F403" s="52" t="s">
        <v>53</v>
      </c>
      <c r="G403" s="52" t="s">
        <v>544</v>
      </c>
      <c r="H403" s="58"/>
      <c r="I403" s="58">
        <v>9905661.118644068</v>
      </c>
      <c r="J403" s="52" t="s">
        <v>545</v>
      </c>
      <c r="K403" s="54" t="s">
        <v>85</v>
      </c>
      <c r="L403" s="54"/>
      <c r="M403" s="54"/>
      <c r="N403" s="54" t="s">
        <v>83</v>
      </c>
      <c r="O403" s="54"/>
      <c r="P403" s="54" t="s">
        <v>80</v>
      </c>
      <c r="Q403" s="59"/>
      <c r="R403" s="59"/>
    </row>
    <row r="404" spans="1:18" ht="72.5" x14ac:dyDescent="0.35">
      <c r="A404" s="40">
        <f t="shared" si="6"/>
        <v>403</v>
      </c>
      <c r="B404" s="59" t="s">
        <v>28</v>
      </c>
      <c r="C404" s="57">
        <v>45217</v>
      </c>
      <c r="D404" s="57">
        <v>45229</v>
      </c>
      <c r="E404" s="52" t="s">
        <v>49</v>
      </c>
      <c r="F404" s="52" t="s">
        <v>129</v>
      </c>
      <c r="G404" s="52" t="s">
        <v>546</v>
      </c>
      <c r="H404" s="58"/>
      <c r="I404" s="58"/>
      <c r="J404" s="52" t="s">
        <v>487</v>
      </c>
      <c r="K404" s="54" t="s">
        <v>81</v>
      </c>
      <c r="L404" s="54"/>
      <c r="M404" s="54"/>
      <c r="N404" s="54" t="s">
        <v>83</v>
      </c>
      <c r="O404" s="54"/>
      <c r="P404" s="54" t="s">
        <v>80</v>
      </c>
      <c r="Q404" s="59"/>
      <c r="R404" s="59"/>
    </row>
    <row r="405" spans="1:18" ht="58" x14ac:dyDescent="0.35">
      <c r="A405" s="40">
        <f t="shared" si="6"/>
        <v>404</v>
      </c>
      <c r="B405" s="59" t="s">
        <v>28</v>
      </c>
      <c r="C405" s="57">
        <v>45216</v>
      </c>
      <c r="D405" s="57">
        <v>45224</v>
      </c>
      <c r="E405" s="52" t="s">
        <v>49</v>
      </c>
      <c r="F405" s="52" t="s">
        <v>265</v>
      </c>
      <c r="G405" s="52" t="s">
        <v>547</v>
      </c>
      <c r="H405" s="58"/>
      <c r="I405" s="66"/>
      <c r="J405" s="52" t="s">
        <v>548</v>
      </c>
      <c r="K405" s="52" t="s">
        <v>82</v>
      </c>
      <c r="L405" s="54"/>
      <c r="M405" s="54"/>
      <c r="N405" s="54" t="s">
        <v>83</v>
      </c>
      <c r="O405" s="54"/>
      <c r="P405" s="54" t="s">
        <v>80</v>
      </c>
      <c r="Q405" s="54"/>
      <c r="R405" s="54"/>
    </row>
    <row r="406" spans="1:18" ht="43.5" x14ac:dyDescent="0.35">
      <c r="A406" s="40">
        <f t="shared" si="6"/>
        <v>405</v>
      </c>
      <c r="B406" s="59" t="s">
        <v>29</v>
      </c>
      <c r="C406" s="57">
        <v>45216</v>
      </c>
      <c r="D406" s="57">
        <v>45227</v>
      </c>
      <c r="E406" s="52" t="s">
        <v>52</v>
      </c>
      <c r="F406" s="52" t="s">
        <v>43</v>
      </c>
      <c r="G406" s="52" t="s">
        <v>549</v>
      </c>
      <c r="H406" s="58"/>
      <c r="I406" s="66">
        <v>17940000</v>
      </c>
      <c r="J406" s="52" t="s">
        <v>550</v>
      </c>
      <c r="K406" s="52" t="s">
        <v>81</v>
      </c>
      <c r="L406" s="54"/>
      <c r="M406" s="54"/>
      <c r="N406" s="54" t="s">
        <v>83</v>
      </c>
      <c r="O406" s="54"/>
      <c r="P406" s="54" t="s">
        <v>80</v>
      </c>
      <c r="Q406" s="54"/>
      <c r="R406" s="54"/>
    </row>
    <row r="407" spans="1:18" ht="29" x14ac:dyDescent="0.35">
      <c r="A407" s="40">
        <f t="shared" si="6"/>
        <v>406</v>
      </c>
      <c r="B407" s="59" t="s">
        <v>27</v>
      </c>
      <c r="C407" s="57">
        <v>45219</v>
      </c>
      <c r="D407" s="57">
        <v>45226</v>
      </c>
      <c r="E407" s="52" t="s">
        <v>52</v>
      </c>
      <c r="F407" s="52" t="s">
        <v>43</v>
      </c>
      <c r="G407" s="52" t="s">
        <v>551</v>
      </c>
      <c r="H407" s="58"/>
      <c r="I407" s="68">
        <v>14000000</v>
      </c>
      <c r="J407" s="52" t="s">
        <v>552</v>
      </c>
      <c r="K407" s="52" t="s">
        <v>81</v>
      </c>
      <c r="L407" s="54"/>
      <c r="M407" s="54"/>
      <c r="N407" s="54" t="s">
        <v>83</v>
      </c>
      <c r="O407" s="54"/>
      <c r="P407" s="54" t="s">
        <v>80</v>
      </c>
      <c r="Q407" s="52"/>
      <c r="R407" s="54"/>
    </row>
    <row r="408" spans="1:18" ht="72.5" x14ac:dyDescent="0.35">
      <c r="A408" s="40">
        <f t="shared" si="6"/>
        <v>407</v>
      </c>
      <c r="B408" s="59" t="s">
        <v>28</v>
      </c>
      <c r="C408" s="57">
        <v>45212</v>
      </c>
      <c r="D408" s="57">
        <v>45222</v>
      </c>
      <c r="E408" s="52" t="s">
        <v>553</v>
      </c>
      <c r="F408" s="52" t="s">
        <v>90</v>
      </c>
      <c r="G408" s="52" t="s">
        <v>554</v>
      </c>
      <c r="H408" s="58"/>
      <c r="I408" s="66"/>
      <c r="J408" s="52" t="s">
        <v>555</v>
      </c>
      <c r="K408" s="52" t="s">
        <v>81</v>
      </c>
      <c r="L408" s="54"/>
      <c r="M408" s="59"/>
      <c r="N408" s="54" t="s">
        <v>83</v>
      </c>
      <c r="O408" s="54"/>
      <c r="P408" s="54" t="s">
        <v>80</v>
      </c>
      <c r="Q408" s="54"/>
      <c r="R408" s="54"/>
    </row>
    <row r="409" spans="1:18" ht="58" x14ac:dyDescent="0.35">
      <c r="A409" s="40">
        <f t="shared" si="6"/>
        <v>408</v>
      </c>
      <c r="B409" s="59" t="s">
        <v>28</v>
      </c>
      <c r="C409" s="57">
        <v>45204</v>
      </c>
      <c r="D409" s="57">
        <v>45224</v>
      </c>
      <c r="E409" s="52" t="s">
        <v>49</v>
      </c>
      <c r="F409" s="52" t="s">
        <v>94</v>
      </c>
      <c r="G409" s="52" t="s">
        <v>556</v>
      </c>
      <c r="H409" s="58"/>
      <c r="I409" s="66"/>
      <c r="J409" s="52" t="s">
        <v>557</v>
      </c>
      <c r="K409" s="52" t="s">
        <v>79</v>
      </c>
      <c r="L409" s="54"/>
      <c r="M409" s="59"/>
      <c r="N409" s="54" t="s">
        <v>83</v>
      </c>
      <c r="O409" s="54"/>
      <c r="P409" s="54" t="s">
        <v>80</v>
      </c>
      <c r="Q409" s="52" t="s">
        <v>558</v>
      </c>
      <c r="R409" s="54"/>
    </row>
    <row r="410" spans="1:18" ht="58" x14ac:dyDescent="0.35">
      <c r="A410" s="40">
        <f t="shared" si="6"/>
        <v>409</v>
      </c>
      <c r="B410" s="59" t="s">
        <v>28</v>
      </c>
      <c r="C410" s="57">
        <v>45216</v>
      </c>
      <c r="D410" s="57">
        <v>45224</v>
      </c>
      <c r="E410" s="52" t="s">
        <v>49</v>
      </c>
      <c r="F410" s="52" t="s">
        <v>70</v>
      </c>
      <c r="G410" s="52" t="s">
        <v>559</v>
      </c>
      <c r="H410" s="58"/>
      <c r="I410" s="58"/>
      <c r="J410" s="52" t="s">
        <v>560</v>
      </c>
      <c r="K410" s="54" t="s">
        <v>85</v>
      </c>
      <c r="L410" s="54"/>
      <c r="M410" s="54"/>
      <c r="N410" s="54" t="s">
        <v>83</v>
      </c>
      <c r="O410" s="54"/>
      <c r="P410" s="54" t="s">
        <v>80</v>
      </c>
      <c r="Q410" s="59" t="s">
        <v>561</v>
      </c>
      <c r="R410" s="59"/>
    </row>
    <row r="411" spans="1:18" ht="145" x14ac:dyDescent="0.35">
      <c r="A411" s="40">
        <f t="shared" si="6"/>
        <v>410</v>
      </c>
      <c r="B411" s="59" t="s">
        <v>31</v>
      </c>
      <c r="C411" s="57">
        <v>45208</v>
      </c>
      <c r="D411" s="57">
        <v>45222</v>
      </c>
      <c r="E411" s="52" t="s">
        <v>63</v>
      </c>
      <c r="F411" s="52" t="s">
        <v>145</v>
      </c>
      <c r="G411" s="52" t="s">
        <v>562</v>
      </c>
      <c r="H411" s="58">
        <v>2839758.5508474577</v>
      </c>
      <c r="I411" s="58">
        <v>5011487.5423728814</v>
      </c>
      <c r="J411" s="52" t="s">
        <v>563</v>
      </c>
      <c r="K411" s="54" t="s">
        <v>79</v>
      </c>
      <c r="L411" s="54"/>
      <c r="M411" s="54"/>
      <c r="N411" s="54" t="s">
        <v>83</v>
      </c>
      <c r="O411" s="54"/>
      <c r="P411" s="54" t="s">
        <v>80</v>
      </c>
      <c r="Q411" s="59" t="s">
        <v>564</v>
      </c>
      <c r="R411" s="59"/>
    </row>
    <row r="412" spans="1:18" ht="72.5" x14ac:dyDescent="0.35">
      <c r="A412" s="40">
        <f t="shared" si="6"/>
        <v>411</v>
      </c>
      <c r="B412" s="59" t="s">
        <v>28</v>
      </c>
      <c r="C412" s="57">
        <v>45215</v>
      </c>
      <c r="D412" s="57">
        <v>45225</v>
      </c>
      <c r="E412" s="52" t="s">
        <v>115</v>
      </c>
      <c r="F412" s="52" t="s">
        <v>56</v>
      </c>
      <c r="G412" s="52" t="s">
        <v>565</v>
      </c>
      <c r="H412" s="58"/>
      <c r="I412" s="58"/>
      <c r="J412" s="52" t="s">
        <v>566</v>
      </c>
      <c r="K412" s="54" t="s">
        <v>79</v>
      </c>
      <c r="L412" s="54"/>
      <c r="M412" s="54"/>
      <c r="N412" s="54" t="s">
        <v>83</v>
      </c>
      <c r="O412" s="54"/>
      <c r="P412" s="54" t="s">
        <v>80</v>
      </c>
      <c r="Q412" s="59" t="s">
        <v>240</v>
      </c>
      <c r="R412" s="59"/>
    </row>
    <row r="413" spans="1:18" ht="43.5" x14ac:dyDescent="0.35">
      <c r="A413" s="40">
        <f t="shared" si="6"/>
        <v>412</v>
      </c>
      <c r="B413" s="59" t="s">
        <v>28</v>
      </c>
      <c r="C413" s="57">
        <v>45174</v>
      </c>
      <c r="D413" s="57">
        <v>45218</v>
      </c>
      <c r="E413" s="52" t="s">
        <v>567</v>
      </c>
      <c r="F413" s="52" t="s">
        <v>48</v>
      </c>
      <c r="G413" s="52" t="s">
        <v>568</v>
      </c>
      <c r="H413" s="58"/>
      <c r="I413" s="58"/>
      <c r="J413" s="52" t="s">
        <v>569</v>
      </c>
      <c r="K413" s="54" t="s">
        <v>81</v>
      </c>
      <c r="L413" s="54"/>
      <c r="M413" s="54"/>
      <c r="N413" s="54" t="s">
        <v>83</v>
      </c>
      <c r="O413" s="54"/>
      <c r="P413" s="54" t="s">
        <v>80</v>
      </c>
      <c r="Q413" s="59" t="s">
        <v>570</v>
      </c>
      <c r="R413" s="59"/>
    </row>
    <row r="414" spans="1:18" ht="58" x14ac:dyDescent="0.35">
      <c r="A414" s="40">
        <f t="shared" si="6"/>
        <v>413</v>
      </c>
      <c r="B414" s="59" t="s">
        <v>28</v>
      </c>
      <c r="C414" s="57">
        <v>45216</v>
      </c>
      <c r="D414" s="57">
        <v>45218</v>
      </c>
      <c r="E414" s="52" t="s">
        <v>49</v>
      </c>
      <c r="F414" s="52" t="s">
        <v>571</v>
      </c>
      <c r="G414" s="52" t="s">
        <v>572</v>
      </c>
      <c r="H414" s="58"/>
      <c r="I414" s="58"/>
      <c r="J414" s="52" t="s">
        <v>573</v>
      </c>
      <c r="K414" s="54" t="s">
        <v>85</v>
      </c>
      <c r="L414" s="54"/>
      <c r="M414" s="54"/>
      <c r="N414" s="54" t="s">
        <v>83</v>
      </c>
      <c r="O414" s="54"/>
      <c r="P414" s="54" t="s">
        <v>80</v>
      </c>
      <c r="Q414" s="59"/>
      <c r="R414" s="59"/>
    </row>
    <row r="415" spans="1:18" ht="409.5" x14ac:dyDescent="0.35">
      <c r="A415" s="40">
        <f t="shared" si="6"/>
        <v>414</v>
      </c>
      <c r="B415" s="59" t="s">
        <v>31</v>
      </c>
      <c r="C415" s="57">
        <v>45203</v>
      </c>
      <c r="D415" s="57">
        <v>45218</v>
      </c>
      <c r="E415" s="52" t="s">
        <v>52</v>
      </c>
      <c r="F415" s="52" t="s">
        <v>53</v>
      </c>
      <c r="G415" s="52" t="s">
        <v>574</v>
      </c>
      <c r="H415" s="58">
        <v>15027000</v>
      </c>
      <c r="I415" s="58">
        <v>15660202.956168992</v>
      </c>
      <c r="J415" s="52" t="s">
        <v>575</v>
      </c>
      <c r="K415" s="54" t="s">
        <v>85</v>
      </c>
      <c r="L415" s="54"/>
      <c r="M415" s="54"/>
      <c r="N415" s="54" t="s">
        <v>83</v>
      </c>
      <c r="O415" s="54"/>
      <c r="P415" s="54" t="s">
        <v>80</v>
      </c>
      <c r="Q415" s="59" t="s">
        <v>576</v>
      </c>
      <c r="R415" s="59"/>
    </row>
    <row r="416" spans="1:18" ht="130.5" x14ac:dyDescent="0.35">
      <c r="A416" s="40">
        <f t="shared" si="6"/>
        <v>415</v>
      </c>
      <c r="B416" s="59" t="s">
        <v>27</v>
      </c>
      <c r="C416" s="57">
        <v>45211</v>
      </c>
      <c r="D416" s="57">
        <v>45217</v>
      </c>
      <c r="E416" s="52" t="s">
        <v>328</v>
      </c>
      <c r="F416" s="52" t="s">
        <v>89</v>
      </c>
      <c r="G416" s="52" t="s">
        <v>577</v>
      </c>
      <c r="H416" s="58"/>
      <c r="I416" s="58">
        <v>1810507.05</v>
      </c>
      <c r="J416" s="52" t="s">
        <v>578</v>
      </c>
      <c r="K416" s="54" t="s">
        <v>79</v>
      </c>
      <c r="L416" s="54"/>
      <c r="M416" s="54"/>
      <c r="N416" s="54" t="s">
        <v>83</v>
      </c>
      <c r="O416" s="54"/>
      <c r="P416" s="54" t="s">
        <v>80</v>
      </c>
      <c r="Q416" s="59"/>
      <c r="R416" s="59"/>
    </row>
    <row r="417" spans="1:18" ht="58" x14ac:dyDescent="0.35">
      <c r="A417" s="40">
        <f t="shared" si="6"/>
        <v>416</v>
      </c>
      <c r="B417" s="59" t="s">
        <v>28</v>
      </c>
      <c r="C417" s="57">
        <v>45197</v>
      </c>
      <c r="D417" s="57">
        <v>45216</v>
      </c>
      <c r="E417" s="52" t="s">
        <v>63</v>
      </c>
      <c r="F417" s="52" t="s">
        <v>579</v>
      </c>
      <c r="G417" s="52" t="s">
        <v>580</v>
      </c>
      <c r="H417" s="58"/>
      <c r="I417" s="58"/>
      <c r="J417" s="52" t="s">
        <v>581</v>
      </c>
      <c r="K417" s="54" t="s">
        <v>79</v>
      </c>
      <c r="L417" s="54"/>
      <c r="M417" s="54"/>
      <c r="N417" s="54" t="s">
        <v>83</v>
      </c>
      <c r="O417" s="54"/>
      <c r="P417" s="54" t="s">
        <v>80</v>
      </c>
      <c r="Q417" s="59" t="s">
        <v>406</v>
      </c>
      <c r="R417" s="59"/>
    </row>
    <row r="418" spans="1:18" ht="58" x14ac:dyDescent="0.35">
      <c r="A418" s="40">
        <f t="shared" si="6"/>
        <v>417</v>
      </c>
      <c r="B418" s="59" t="s">
        <v>28</v>
      </c>
      <c r="C418" s="57">
        <v>45192</v>
      </c>
      <c r="D418" s="57">
        <v>45215</v>
      </c>
      <c r="E418" s="52" t="s">
        <v>49</v>
      </c>
      <c r="F418" s="52" t="s">
        <v>582</v>
      </c>
      <c r="G418" s="52" t="s">
        <v>583</v>
      </c>
      <c r="H418" s="58"/>
      <c r="I418" s="58"/>
      <c r="J418" s="52" t="s">
        <v>584</v>
      </c>
      <c r="K418" s="54" t="s">
        <v>82</v>
      </c>
      <c r="L418" s="54"/>
      <c r="M418" s="54"/>
      <c r="N418" s="54" t="s">
        <v>83</v>
      </c>
      <c r="O418" s="54"/>
      <c r="P418" s="54" t="s">
        <v>80</v>
      </c>
      <c r="Q418" s="59" t="s">
        <v>585</v>
      </c>
      <c r="R418" s="59"/>
    </row>
    <row r="419" spans="1:18" ht="58" x14ac:dyDescent="0.35">
      <c r="A419" s="40">
        <f t="shared" si="6"/>
        <v>418</v>
      </c>
      <c r="B419" s="59" t="s">
        <v>28</v>
      </c>
      <c r="C419" s="57">
        <v>45210</v>
      </c>
      <c r="D419" s="57">
        <v>45215</v>
      </c>
      <c r="E419" s="52" t="s">
        <v>63</v>
      </c>
      <c r="F419" s="52" t="s">
        <v>64</v>
      </c>
      <c r="G419" s="52" t="s">
        <v>586</v>
      </c>
      <c r="H419" s="58"/>
      <c r="I419" s="58"/>
      <c r="J419" s="52" t="s">
        <v>587</v>
      </c>
      <c r="K419" s="52" t="s">
        <v>84</v>
      </c>
      <c r="L419" s="54"/>
      <c r="M419" s="54"/>
      <c r="N419" s="54" t="s">
        <v>83</v>
      </c>
      <c r="O419" s="54"/>
      <c r="P419" s="54" t="s">
        <v>80</v>
      </c>
      <c r="Q419" s="54"/>
      <c r="R419" s="54"/>
    </row>
    <row r="420" spans="1:18" ht="29" x14ac:dyDescent="0.35">
      <c r="A420" s="40">
        <f t="shared" si="6"/>
        <v>419</v>
      </c>
      <c r="B420" s="59" t="s">
        <v>28</v>
      </c>
      <c r="C420" s="57">
        <v>45197</v>
      </c>
      <c r="D420" s="57">
        <v>45212</v>
      </c>
      <c r="E420" s="52" t="s">
        <v>52</v>
      </c>
      <c r="F420" s="52" t="s">
        <v>43</v>
      </c>
      <c r="G420" s="52" t="s">
        <v>588</v>
      </c>
      <c r="H420" s="58"/>
      <c r="I420" s="58"/>
      <c r="J420" s="52" t="s">
        <v>589</v>
      </c>
      <c r="K420" s="54" t="s">
        <v>81</v>
      </c>
      <c r="L420" s="54"/>
      <c r="M420" s="54"/>
      <c r="N420" s="54" t="s">
        <v>83</v>
      </c>
      <c r="O420" s="54"/>
      <c r="P420" s="54" t="s">
        <v>80</v>
      </c>
      <c r="Q420" s="59"/>
      <c r="R420" s="59"/>
    </row>
    <row r="421" spans="1:18" ht="116" x14ac:dyDescent="0.35">
      <c r="A421" s="40">
        <f t="shared" si="6"/>
        <v>420</v>
      </c>
      <c r="B421" s="59" t="s">
        <v>28</v>
      </c>
      <c r="C421" s="57">
        <v>45191</v>
      </c>
      <c r="D421" s="57">
        <v>45213</v>
      </c>
      <c r="E421" s="52" t="s">
        <v>124</v>
      </c>
      <c r="F421" s="52" t="s">
        <v>44</v>
      </c>
      <c r="G421" s="52" t="s">
        <v>590</v>
      </c>
      <c r="H421" s="58"/>
      <c r="I421" s="58"/>
      <c r="J421" s="52" t="s">
        <v>591</v>
      </c>
      <c r="K421" s="54" t="s">
        <v>85</v>
      </c>
      <c r="L421" s="54"/>
      <c r="M421" s="54"/>
      <c r="N421" s="54" t="s">
        <v>83</v>
      </c>
      <c r="O421" s="54"/>
      <c r="P421" s="54" t="s">
        <v>80</v>
      </c>
      <c r="Q421" s="59" t="s">
        <v>592</v>
      </c>
      <c r="R421" s="59"/>
    </row>
    <row r="422" spans="1:18" ht="87" x14ac:dyDescent="0.35">
      <c r="A422" s="40">
        <f t="shared" si="6"/>
        <v>421</v>
      </c>
      <c r="B422" s="59" t="s">
        <v>29</v>
      </c>
      <c r="C422" s="57">
        <v>45190</v>
      </c>
      <c r="D422" s="57">
        <v>45212</v>
      </c>
      <c r="E422" s="52" t="s">
        <v>52</v>
      </c>
      <c r="F422" s="52" t="s">
        <v>43</v>
      </c>
      <c r="G422" s="52" t="s">
        <v>593</v>
      </c>
      <c r="H422" s="58">
        <v>248295600</v>
      </c>
      <c r="I422" s="58">
        <v>248295600</v>
      </c>
      <c r="J422" s="52" t="s">
        <v>594</v>
      </c>
      <c r="K422" s="54" t="s">
        <v>81</v>
      </c>
      <c r="L422" s="54"/>
      <c r="M422" s="54"/>
      <c r="N422" s="54" t="s">
        <v>83</v>
      </c>
      <c r="O422" s="54"/>
      <c r="P422" s="54" t="s">
        <v>80</v>
      </c>
      <c r="Q422" s="59"/>
      <c r="R422" s="59"/>
    </row>
    <row r="423" spans="1:18" ht="101.5" x14ac:dyDescent="0.35">
      <c r="A423" s="40">
        <f t="shared" si="6"/>
        <v>422</v>
      </c>
      <c r="B423" s="59" t="s">
        <v>28</v>
      </c>
      <c r="C423" s="57">
        <v>45204</v>
      </c>
      <c r="D423" s="57">
        <v>45209</v>
      </c>
      <c r="E423" s="52" t="s">
        <v>63</v>
      </c>
      <c r="F423" s="52" t="s">
        <v>65</v>
      </c>
      <c r="G423" s="52" t="s">
        <v>595</v>
      </c>
      <c r="H423" s="58"/>
      <c r="I423" s="58"/>
      <c r="J423" s="52" t="s">
        <v>596</v>
      </c>
      <c r="K423" s="54" t="s">
        <v>82</v>
      </c>
      <c r="L423" s="54"/>
      <c r="M423" s="54"/>
      <c r="N423" s="54" t="s">
        <v>83</v>
      </c>
      <c r="O423" s="54"/>
      <c r="P423" s="54" t="s">
        <v>80</v>
      </c>
      <c r="Q423" s="59" t="s">
        <v>543</v>
      </c>
      <c r="R423" s="59"/>
    </row>
    <row r="424" spans="1:18" ht="101.5" x14ac:dyDescent="0.35">
      <c r="A424" s="40">
        <f t="shared" si="6"/>
        <v>423</v>
      </c>
      <c r="B424" s="59" t="s">
        <v>31</v>
      </c>
      <c r="C424" s="57">
        <v>45182</v>
      </c>
      <c r="D424" s="57">
        <v>45212</v>
      </c>
      <c r="E424" s="52" t="s">
        <v>597</v>
      </c>
      <c r="F424" s="52" t="s">
        <v>125</v>
      </c>
      <c r="G424" s="52" t="s">
        <v>598</v>
      </c>
      <c r="H424" s="58"/>
      <c r="I424" s="58">
        <v>150613633.27966103</v>
      </c>
      <c r="J424" s="52" t="s">
        <v>599</v>
      </c>
      <c r="K424" s="52" t="s">
        <v>79</v>
      </c>
      <c r="L424" s="54"/>
      <c r="M424" s="54"/>
      <c r="N424" s="54" t="s">
        <v>83</v>
      </c>
      <c r="O424" s="54"/>
      <c r="P424" s="54" t="s">
        <v>80</v>
      </c>
      <c r="Q424" s="59" t="s">
        <v>600</v>
      </c>
      <c r="R424" s="59"/>
    </row>
    <row r="425" spans="1:18" ht="275.5" x14ac:dyDescent="0.35">
      <c r="A425" s="40">
        <f t="shared" si="6"/>
        <v>424</v>
      </c>
      <c r="B425" s="59" t="s">
        <v>31</v>
      </c>
      <c r="C425" s="57">
        <v>45197</v>
      </c>
      <c r="D425" s="57">
        <v>45210</v>
      </c>
      <c r="E425" s="52" t="s">
        <v>63</v>
      </c>
      <c r="F425" s="52" t="s">
        <v>372</v>
      </c>
      <c r="G425" s="52" t="s">
        <v>601</v>
      </c>
      <c r="H425" s="58">
        <v>4746441.3</v>
      </c>
      <c r="I425" s="58">
        <v>5914924</v>
      </c>
      <c r="J425" s="52" t="s">
        <v>602</v>
      </c>
      <c r="K425" s="54" t="s">
        <v>82</v>
      </c>
      <c r="L425" s="54"/>
      <c r="M425" s="54"/>
      <c r="N425" s="54" t="s">
        <v>83</v>
      </c>
      <c r="O425" s="54"/>
      <c r="P425" s="54" t="s">
        <v>80</v>
      </c>
      <c r="Q425" s="59" t="s">
        <v>1275</v>
      </c>
      <c r="R425" s="59"/>
    </row>
    <row r="426" spans="1:18" ht="58" x14ac:dyDescent="0.35">
      <c r="A426" s="40">
        <f t="shared" si="6"/>
        <v>425</v>
      </c>
      <c r="B426" s="59" t="s">
        <v>28</v>
      </c>
      <c r="C426" s="57">
        <v>45202</v>
      </c>
      <c r="D426" s="57">
        <v>45211</v>
      </c>
      <c r="E426" s="52" t="s">
        <v>88</v>
      </c>
      <c r="F426" s="52" t="s">
        <v>116</v>
      </c>
      <c r="G426" s="52" t="s">
        <v>603</v>
      </c>
      <c r="H426" s="58"/>
      <c r="I426" s="58"/>
      <c r="J426" s="52" t="s">
        <v>604</v>
      </c>
      <c r="K426" s="54" t="s">
        <v>79</v>
      </c>
      <c r="L426" s="54"/>
      <c r="M426" s="54"/>
      <c r="N426" s="54" t="s">
        <v>83</v>
      </c>
      <c r="O426" s="54"/>
      <c r="P426" s="54" t="s">
        <v>80</v>
      </c>
      <c r="Q426" s="59" t="s">
        <v>605</v>
      </c>
      <c r="R426" s="59"/>
    </row>
    <row r="427" spans="1:18" ht="72.5" x14ac:dyDescent="0.35">
      <c r="A427" s="40">
        <f t="shared" si="6"/>
        <v>426</v>
      </c>
      <c r="B427" s="59" t="s">
        <v>28</v>
      </c>
      <c r="C427" s="57">
        <v>45202</v>
      </c>
      <c r="D427" s="57">
        <v>45210</v>
      </c>
      <c r="E427" s="52" t="s">
        <v>61</v>
      </c>
      <c r="F427" s="52" t="s">
        <v>101</v>
      </c>
      <c r="G427" s="52" t="s">
        <v>606</v>
      </c>
      <c r="H427" s="58"/>
      <c r="I427" s="58"/>
      <c r="J427" s="52" t="s">
        <v>607</v>
      </c>
      <c r="K427" s="54" t="s">
        <v>85</v>
      </c>
      <c r="L427" s="54"/>
      <c r="M427" s="54"/>
      <c r="N427" s="54" t="s">
        <v>83</v>
      </c>
      <c r="O427" s="54"/>
      <c r="P427" s="54" t="s">
        <v>80</v>
      </c>
      <c r="Q427" s="59" t="s">
        <v>240</v>
      </c>
      <c r="R427" s="59"/>
    </row>
    <row r="428" spans="1:18" ht="130.5" x14ac:dyDescent="0.35">
      <c r="A428" s="40">
        <f t="shared" si="6"/>
        <v>427</v>
      </c>
      <c r="B428" s="59" t="s">
        <v>28</v>
      </c>
      <c r="C428" s="57">
        <v>45202</v>
      </c>
      <c r="D428" s="57">
        <v>45211</v>
      </c>
      <c r="E428" s="52" t="s">
        <v>61</v>
      </c>
      <c r="F428" s="52" t="s">
        <v>101</v>
      </c>
      <c r="G428" s="52" t="s">
        <v>608</v>
      </c>
      <c r="H428" s="58"/>
      <c r="I428" s="58"/>
      <c r="J428" s="52" t="s">
        <v>609</v>
      </c>
      <c r="K428" s="54" t="s">
        <v>85</v>
      </c>
      <c r="L428" s="54"/>
      <c r="M428" s="54"/>
      <c r="N428" s="54" t="s">
        <v>83</v>
      </c>
      <c r="O428" s="54"/>
      <c r="P428" s="54" t="s">
        <v>80</v>
      </c>
      <c r="Q428" s="59" t="s">
        <v>240</v>
      </c>
      <c r="R428" s="59"/>
    </row>
    <row r="429" spans="1:18" ht="87" x14ac:dyDescent="0.35">
      <c r="A429" s="40">
        <f t="shared" si="6"/>
        <v>428</v>
      </c>
      <c r="B429" s="59" t="s">
        <v>28</v>
      </c>
      <c r="C429" s="57">
        <v>45204</v>
      </c>
      <c r="D429" s="57">
        <v>45210</v>
      </c>
      <c r="E429" s="52" t="s">
        <v>61</v>
      </c>
      <c r="F429" s="52" t="s">
        <v>101</v>
      </c>
      <c r="G429" s="52" t="s">
        <v>610</v>
      </c>
      <c r="H429" s="58"/>
      <c r="I429" s="58"/>
      <c r="J429" s="52" t="s">
        <v>611</v>
      </c>
      <c r="K429" s="54" t="s">
        <v>85</v>
      </c>
      <c r="L429" s="54"/>
      <c r="M429" s="54"/>
      <c r="N429" s="54" t="s">
        <v>83</v>
      </c>
      <c r="O429" s="54"/>
      <c r="P429" s="54" t="s">
        <v>80</v>
      </c>
      <c r="Q429" s="59" t="s">
        <v>612</v>
      </c>
      <c r="R429" s="59"/>
    </row>
    <row r="430" spans="1:18" ht="58" x14ac:dyDescent="0.35">
      <c r="A430" s="40">
        <f t="shared" si="6"/>
        <v>429</v>
      </c>
      <c r="B430" s="59" t="s">
        <v>28</v>
      </c>
      <c r="C430" s="57">
        <v>45208</v>
      </c>
      <c r="D430" s="57">
        <v>45208</v>
      </c>
      <c r="E430" s="52" t="s">
        <v>63</v>
      </c>
      <c r="F430" s="52" t="s">
        <v>613</v>
      </c>
      <c r="G430" s="52" t="s">
        <v>614</v>
      </c>
      <c r="H430" s="58"/>
      <c r="I430" s="58"/>
      <c r="J430" s="52" t="s">
        <v>615</v>
      </c>
      <c r="K430" s="54" t="s">
        <v>79</v>
      </c>
      <c r="L430" s="54"/>
      <c r="M430" s="54"/>
      <c r="N430" s="54" t="s">
        <v>83</v>
      </c>
      <c r="O430" s="54"/>
      <c r="P430" s="54" t="s">
        <v>80</v>
      </c>
      <c r="Q430" s="59"/>
      <c r="R430" s="59"/>
    </row>
    <row r="431" spans="1:18" ht="87" x14ac:dyDescent="0.35">
      <c r="A431" s="40">
        <f t="shared" si="6"/>
        <v>430</v>
      </c>
      <c r="B431" s="59" t="s">
        <v>27</v>
      </c>
      <c r="C431" s="57">
        <v>45196</v>
      </c>
      <c r="D431" s="57">
        <v>45206</v>
      </c>
      <c r="E431" s="52" t="s">
        <v>616</v>
      </c>
      <c r="F431" s="52" t="s">
        <v>111</v>
      </c>
      <c r="G431" s="52" t="s">
        <v>617</v>
      </c>
      <c r="H431" s="58"/>
      <c r="I431" s="58">
        <v>660000</v>
      </c>
      <c r="J431" s="52" t="s">
        <v>618</v>
      </c>
      <c r="K431" s="54" t="s">
        <v>79</v>
      </c>
      <c r="L431" s="54"/>
      <c r="M431" s="54"/>
      <c r="N431" s="54" t="s">
        <v>83</v>
      </c>
      <c r="O431" s="54"/>
      <c r="P431" s="54" t="s">
        <v>80</v>
      </c>
      <c r="Q431" s="59" t="s">
        <v>585</v>
      </c>
      <c r="R431" s="59"/>
    </row>
    <row r="432" spans="1:18" ht="72.5" x14ac:dyDescent="0.35">
      <c r="A432" s="40">
        <f t="shared" si="6"/>
        <v>431</v>
      </c>
      <c r="B432" s="59" t="s">
        <v>27</v>
      </c>
      <c r="C432" s="57">
        <v>45195</v>
      </c>
      <c r="D432" s="57">
        <v>45206</v>
      </c>
      <c r="E432" s="52" t="s">
        <v>108</v>
      </c>
      <c r="F432" s="52" t="s">
        <v>55</v>
      </c>
      <c r="G432" s="52" t="s">
        <v>619</v>
      </c>
      <c r="H432" s="58"/>
      <c r="I432" s="58">
        <v>16352000</v>
      </c>
      <c r="J432" s="52" t="s">
        <v>620</v>
      </c>
      <c r="K432" s="54" t="s">
        <v>79</v>
      </c>
      <c r="L432" s="54"/>
      <c r="M432" s="54"/>
      <c r="N432" s="54" t="s">
        <v>83</v>
      </c>
      <c r="O432" s="54"/>
      <c r="P432" s="54" t="s">
        <v>80</v>
      </c>
      <c r="Q432" s="59" t="s">
        <v>621</v>
      </c>
      <c r="R432" s="59"/>
    </row>
    <row r="433" spans="1:18" ht="72.5" x14ac:dyDescent="0.35">
      <c r="A433" s="40">
        <f t="shared" si="6"/>
        <v>432</v>
      </c>
      <c r="B433" s="59" t="s">
        <v>28</v>
      </c>
      <c r="C433" s="57">
        <v>45202</v>
      </c>
      <c r="D433" s="57">
        <v>45208</v>
      </c>
      <c r="E433" s="52" t="s">
        <v>88</v>
      </c>
      <c r="F433" s="52" t="s">
        <v>95</v>
      </c>
      <c r="G433" s="52" t="s">
        <v>622</v>
      </c>
      <c r="H433" s="58"/>
      <c r="I433" s="58"/>
      <c r="J433" s="52" t="s">
        <v>623</v>
      </c>
      <c r="K433" s="54" t="s">
        <v>85</v>
      </c>
      <c r="L433" s="54"/>
      <c r="M433" s="54"/>
      <c r="N433" s="54" t="s">
        <v>83</v>
      </c>
      <c r="O433" s="54"/>
      <c r="P433" s="54" t="s">
        <v>80</v>
      </c>
      <c r="Q433" s="59" t="s">
        <v>624</v>
      </c>
      <c r="R433" s="59"/>
    </row>
    <row r="434" spans="1:18" ht="58" x14ac:dyDescent="0.35">
      <c r="A434" s="40">
        <f t="shared" si="6"/>
        <v>433</v>
      </c>
      <c r="B434" s="59" t="s">
        <v>28</v>
      </c>
      <c r="C434" s="57">
        <v>45175</v>
      </c>
      <c r="D434" s="57">
        <v>45199</v>
      </c>
      <c r="E434" s="52" t="s">
        <v>49</v>
      </c>
      <c r="F434" s="52" t="s">
        <v>87</v>
      </c>
      <c r="G434" s="52" t="s">
        <v>625</v>
      </c>
      <c r="H434" s="58"/>
      <c r="I434" s="58"/>
      <c r="J434" s="52" t="s">
        <v>626</v>
      </c>
      <c r="K434" s="54" t="s">
        <v>81</v>
      </c>
      <c r="L434" s="54"/>
      <c r="M434" s="54"/>
      <c r="N434" s="54" t="s">
        <v>83</v>
      </c>
      <c r="O434" s="54"/>
      <c r="P434" s="54" t="s">
        <v>80</v>
      </c>
      <c r="Q434" s="59"/>
      <c r="R434" s="59"/>
    </row>
    <row r="435" spans="1:18" ht="58" x14ac:dyDescent="0.35">
      <c r="A435" s="40">
        <f t="shared" si="6"/>
        <v>434</v>
      </c>
      <c r="B435" s="59" t="s">
        <v>28</v>
      </c>
      <c r="C435" s="57">
        <v>45180</v>
      </c>
      <c r="D435" s="57">
        <v>45198</v>
      </c>
      <c r="E435" s="52" t="s">
        <v>49</v>
      </c>
      <c r="F435" s="52" t="s">
        <v>94</v>
      </c>
      <c r="G435" s="52" t="s">
        <v>627</v>
      </c>
      <c r="H435" s="58"/>
      <c r="I435" s="58"/>
      <c r="J435" s="52" t="s">
        <v>628</v>
      </c>
      <c r="K435" s="54" t="s">
        <v>79</v>
      </c>
      <c r="L435" s="54"/>
      <c r="M435" s="54"/>
      <c r="N435" s="54" t="s">
        <v>83</v>
      </c>
      <c r="O435" s="54"/>
      <c r="P435" s="54" t="s">
        <v>80</v>
      </c>
      <c r="Q435" s="59" t="s">
        <v>600</v>
      </c>
      <c r="R435" s="59"/>
    </row>
    <row r="436" spans="1:18" ht="101.5" x14ac:dyDescent="0.35">
      <c r="A436" s="40">
        <f t="shared" si="6"/>
        <v>435</v>
      </c>
      <c r="B436" s="59" t="s">
        <v>29</v>
      </c>
      <c r="C436" s="57">
        <v>45192</v>
      </c>
      <c r="D436" s="57">
        <v>45202</v>
      </c>
      <c r="E436" s="52" t="s">
        <v>450</v>
      </c>
      <c r="F436" s="52" t="s">
        <v>629</v>
      </c>
      <c r="G436" s="52" t="s">
        <v>630</v>
      </c>
      <c r="H436" s="58">
        <v>2940842.5847457629</v>
      </c>
      <c r="I436" s="58">
        <v>2940842.5847457629</v>
      </c>
      <c r="J436" s="52" t="s">
        <v>631</v>
      </c>
      <c r="K436" s="54" t="s">
        <v>82</v>
      </c>
      <c r="L436" s="54"/>
      <c r="M436" s="54"/>
      <c r="N436" s="54" t="s">
        <v>83</v>
      </c>
      <c r="O436" s="54"/>
      <c r="P436" s="54" t="s">
        <v>80</v>
      </c>
      <c r="Q436" s="59"/>
      <c r="R436" s="59"/>
    </row>
    <row r="437" spans="1:18" ht="101.5" x14ac:dyDescent="0.35">
      <c r="A437" s="40">
        <f t="shared" si="6"/>
        <v>436</v>
      </c>
      <c r="B437" s="59" t="s">
        <v>29</v>
      </c>
      <c r="C437" s="57">
        <v>45192</v>
      </c>
      <c r="D437" s="57">
        <v>45204</v>
      </c>
      <c r="E437" s="52" t="s">
        <v>450</v>
      </c>
      <c r="F437" s="52" t="s">
        <v>629</v>
      </c>
      <c r="G437" s="52" t="s">
        <v>632</v>
      </c>
      <c r="H437" s="58">
        <v>12616405.09</v>
      </c>
      <c r="I437" s="58">
        <v>12616405.09</v>
      </c>
      <c r="J437" s="52" t="s">
        <v>633</v>
      </c>
      <c r="K437" s="54" t="s">
        <v>82</v>
      </c>
      <c r="L437" s="54"/>
      <c r="M437" s="54"/>
      <c r="N437" s="54" t="s">
        <v>83</v>
      </c>
      <c r="O437" s="54"/>
      <c r="P437" s="54" t="s">
        <v>80</v>
      </c>
      <c r="Q437" s="52"/>
      <c r="R437" s="59"/>
    </row>
    <row r="438" spans="1:18" ht="72.5" x14ac:dyDescent="0.35">
      <c r="A438" s="40">
        <f t="shared" si="6"/>
        <v>437</v>
      </c>
      <c r="B438" s="59" t="s">
        <v>28</v>
      </c>
      <c r="C438" s="57">
        <v>45183</v>
      </c>
      <c r="D438" s="57">
        <v>45196</v>
      </c>
      <c r="E438" s="52" t="s">
        <v>63</v>
      </c>
      <c r="F438" s="52" t="s">
        <v>56</v>
      </c>
      <c r="G438" s="52" t="s">
        <v>634</v>
      </c>
      <c r="H438" s="58"/>
      <c r="I438" s="58"/>
      <c r="J438" s="52" t="s">
        <v>635</v>
      </c>
      <c r="K438" s="54" t="s">
        <v>79</v>
      </c>
      <c r="L438" s="54"/>
      <c r="M438" s="54"/>
      <c r="N438" s="54" t="s">
        <v>83</v>
      </c>
      <c r="O438" s="54"/>
      <c r="P438" s="54" t="s">
        <v>80</v>
      </c>
      <c r="Q438" s="59"/>
      <c r="R438" s="59"/>
    </row>
    <row r="439" spans="1:18" ht="58" x14ac:dyDescent="0.35">
      <c r="A439" s="40">
        <f t="shared" si="6"/>
        <v>438</v>
      </c>
      <c r="B439" s="59" t="s">
        <v>28</v>
      </c>
      <c r="C439" s="57">
        <v>45171</v>
      </c>
      <c r="D439" s="57">
        <v>45194</v>
      </c>
      <c r="E439" s="52" t="s">
        <v>553</v>
      </c>
      <c r="F439" s="52" t="s">
        <v>90</v>
      </c>
      <c r="G439" s="52" t="s">
        <v>636</v>
      </c>
      <c r="H439" s="58"/>
      <c r="I439" s="58"/>
      <c r="J439" s="52" t="s">
        <v>637</v>
      </c>
      <c r="K439" s="54" t="s">
        <v>81</v>
      </c>
      <c r="L439" s="54"/>
      <c r="M439" s="54"/>
      <c r="N439" s="54" t="s">
        <v>83</v>
      </c>
      <c r="O439" s="54"/>
      <c r="P439" s="54" t="s">
        <v>80</v>
      </c>
      <c r="Q439" s="59" t="s">
        <v>638</v>
      </c>
      <c r="R439" s="59"/>
    </row>
    <row r="440" spans="1:18" ht="29" x14ac:dyDescent="0.35">
      <c r="A440" s="40">
        <f t="shared" si="6"/>
        <v>439</v>
      </c>
      <c r="B440" s="59" t="s">
        <v>28</v>
      </c>
      <c r="C440" s="57">
        <v>45190</v>
      </c>
      <c r="D440" s="57">
        <v>45194</v>
      </c>
      <c r="E440" s="52" t="s">
        <v>52</v>
      </c>
      <c r="F440" s="52" t="s">
        <v>43</v>
      </c>
      <c r="G440" s="52" t="s">
        <v>639</v>
      </c>
      <c r="H440" s="58"/>
      <c r="I440" s="58"/>
      <c r="J440" s="52" t="s">
        <v>552</v>
      </c>
      <c r="K440" s="54" t="s">
        <v>81</v>
      </c>
      <c r="L440" s="54"/>
      <c r="M440" s="54"/>
      <c r="N440" s="54" t="s">
        <v>83</v>
      </c>
      <c r="O440" s="54"/>
      <c r="P440" s="54" t="s">
        <v>80</v>
      </c>
      <c r="Q440" s="59"/>
      <c r="R440" s="59"/>
    </row>
    <row r="441" spans="1:18" ht="72.5" x14ac:dyDescent="0.35">
      <c r="A441" s="40">
        <f t="shared" si="6"/>
        <v>440</v>
      </c>
      <c r="B441" s="59" t="s">
        <v>28</v>
      </c>
      <c r="C441" s="57">
        <v>45169</v>
      </c>
      <c r="D441" s="57">
        <v>45189</v>
      </c>
      <c r="E441" s="52" t="s">
        <v>640</v>
      </c>
      <c r="F441" s="52" t="s">
        <v>265</v>
      </c>
      <c r="G441" s="52" t="s">
        <v>641</v>
      </c>
      <c r="H441" s="58"/>
      <c r="I441" s="58"/>
      <c r="J441" s="52" t="s">
        <v>642</v>
      </c>
      <c r="K441" s="54" t="s">
        <v>82</v>
      </c>
      <c r="L441" s="54"/>
      <c r="M441" s="54"/>
      <c r="N441" s="54"/>
      <c r="O441" s="54"/>
      <c r="P441" s="54"/>
      <c r="Q441" s="59" t="s">
        <v>643</v>
      </c>
      <c r="R441" s="59"/>
    </row>
    <row r="442" spans="1:18" ht="290" x14ac:dyDescent="0.35">
      <c r="A442" s="40">
        <f t="shared" si="6"/>
        <v>441</v>
      </c>
      <c r="B442" s="59" t="s">
        <v>31</v>
      </c>
      <c r="C442" s="57">
        <v>45169</v>
      </c>
      <c r="D442" s="57">
        <v>45188</v>
      </c>
      <c r="E442" s="52" t="s">
        <v>49</v>
      </c>
      <c r="F442" s="52" t="s">
        <v>134</v>
      </c>
      <c r="G442" s="52" t="s">
        <v>644</v>
      </c>
      <c r="H442" s="58">
        <v>61732002.542372882</v>
      </c>
      <c r="I442" s="58">
        <v>61732002.542372882</v>
      </c>
      <c r="J442" s="52" t="s">
        <v>645</v>
      </c>
      <c r="K442" s="54" t="s">
        <v>81</v>
      </c>
      <c r="L442" s="54"/>
      <c r="M442" s="54"/>
      <c r="N442" s="54"/>
      <c r="O442" s="54"/>
      <c r="P442" s="54"/>
      <c r="Q442" s="52" t="s">
        <v>646</v>
      </c>
      <c r="R442" s="59"/>
    </row>
    <row r="443" spans="1:18" ht="29" x14ac:dyDescent="0.35">
      <c r="A443" s="40">
        <f t="shared" si="6"/>
        <v>442</v>
      </c>
      <c r="B443" s="59" t="s">
        <v>28</v>
      </c>
      <c r="C443" s="57">
        <v>45184</v>
      </c>
      <c r="D443" s="57">
        <v>45188</v>
      </c>
      <c r="E443" s="52" t="s">
        <v>52</v>
      </c>
      <c r="F443" s="52" t="s">
        <v>43</v>
      </c>
      <c r="G443" s="52" t="s">
        <v>647</v>
      </c>
      <c r="H443" s="58"/>
      <c r="I443" s="58"/>
      <c r="J443" s="52" t="s">
        <v>648</v>
      </c>
      <c r="K443" s="54" t="s">
        <v>85</v>
      </c>
      <c r="L443" s="54"/>
      <c r="M443" s="54"/>
      <c r="N443" s="54" t="s">
        <v>83</v>
      </c>
      <c r="O443" s="54"/>
      <c r="P443" s="54" t="s">
        <v>80</v>
      </c>
      <c r="Q443" s="59" t="s">
        <v>649</v>
      </c>
      <c r="R443" s="59"/>
    </row>
    <row r="444" spans="1:18" ht="409.5" x14ac:dyDescent="0.35">
      <c r="A444" s="40">
        <f t="shared" si="6"/>
        <v>443</v>
      </c>
      <c r="B444" s="59" t="s">
        <v>33</v>
      </c>
      <c r="C444" s="57">
        <v>45167</v>
      </c>
      <c r="D444" s="57">
        <v>45189</v>
      </c>
      <c r="E444" s="52" t="s">
        <v>257</v>
      </c>
      <c r="F444" s="52" t="s">
        <v>650</v>
      </c>
      <c r="G444" s="52" t="s">
        <v>651</v>
      </c>
      <c r="H444" s="58">
        <v>18979202.539999999</v>
      </c>
      <c r="I444" s="58">
        <v>18979202.960000001</v>
      </c>
      <c r="J444" s="52" t="s">
        <v>652</v>
      </c>
      <c r="K444" s="54" t="s">
        <v>81</v>
      </c>
      <c r="L444" s="54"/>
      <c r="M444" s="54"/>
      <c r="N444" s="54"/>
      <c r="O444" s="54"/>
      <c r="P444" s="54"/>
      <c r="Q444" s="59" t="s">
        <v>653</v>
      </c>
      <c r="R444" s="59"/>
    </row>
    <row r="445" spans="1:18" ht="290" x14ac:dyDescent="0.35">
      <c r="A445" s="40">
        <f t="shared" si="6"/>
        <v>444</v>
      </c>
      <c r="B445" s="59" t="s">
        <v>31</v>
      </c>
      <c r="C445" s="57">
        <v>45169</v>
      </c>
      <c r="D445" s="57">
        <v>45189</v>
      </c>
      <c r="E445" s="52" t="s">
        <v>49</v>
      </c>
      <c r="F445" s="52" t="s">
        <v>134</v>
      </c>
      <c r="G445" s="52" t="s">
        <v>654</v>
      </c>
      <c r="H445" s="58">
        <v>46056611.016949154</v>
      </c>
      <c r="I445" s="58">
        <v>46056611.016949154</v>
      </c>
      <c r="J445" s="52" t="s">
        <v>655</v>
      </c>
      <c r="K445" s="54" t="s">
        <v>81</v>
      </c>
      <c r="L445" s="54"/>
      <c r="M445" s="54"/>
      <c r="N445" s="54"/>
      <c r="O445" s="54"/>
      <c r="P445" s="54"/>
      <c r="Q445" s="59" t="s">
        <v>656</v>
      </c>
      <c r="R445" s="59"/>
    </row>
    <row r="446" spans="1:18" ht="72.5" x14ac:dyDescent="0.35">
      <c r="A446" s="40">
        <f t="shared" si="6"/>
        <v>445</v>
      </c>
      <c r="B446" s="59" t="s">
        <v>28</v>
      </c>
      <c r="C446" s="57">
        <v>45169</v>
      </c>
      <c r="D446" s="57">
        <v>45184</v>
      </c>
      <c r="E446" s="52" t="s">
        <v>124</v>
      </c>
      <c r="F446" s="52" t="s">
        <v>265</v>
      </c>
      <c r="G446" s="52" t="s">
        <v>657</v>
      </c>
      <c r="H446" s="58"/>
      <c r="I446" s="58"/>
      <c r="J446" s="52" t="s">
        <v>658</v>
      </c>
      <c r="K446" s="54" t="s">
        <v>82</v>
      </c>
      <c r="L446" s="54"/>
      <c r="M446" s="54"/>
      <c r="N446" s="54"/>
      <c r="O446" s="54"/>
      <c r="P446" s="54"/>
      <c r="Q446" s="59" t="s">
        <v>659</v>
      </c>
      <c r="R446" s="59"/>
    </row>
    <row r="447" spans="1:18" ht="101.5" x14ac:dyDescent="0.35">
      <c r="A447" s="40">
        <f t="shared" si="6"/>
        <v>446</v>
      </c>
      <c r="B447" s="59" t="s">
        <v>28</v>
      </c>
      <c r="C447" s="57">
        <v>45174</v>
      </c>
      <c r="D447" s="57">
        <v>45184</v>
      </c>
      <c r="E447" s="52" t="s">
        <v>49</v>
      </c>
      <c r="F447" s="52" t="s">
        <v>95</v>
      </c>
      <c r="G447" s="52" t="s">
        <v>660</v>
      </c>
      <c r="H447" s="58"/>
      <c r="I447" s="58"/>
      <c r="J447" s="52" t="s">
        <v>661</v>
      </c>
      <c r="K447" s="54" t="s">
        <v>85</v>
      </c>
      <c r="L447" s="54"/>
      <c r="M447" s="54"/>
      <c r="N447" s="54" t="s">
        <v>83</v>
      </c>
      <c r="O447" s="54"/>
      <c r="P447" s="54" t="s">
        <v>80</v>
      </c>
      <c r="Q447" s="59"/>
      <c r="R447" s="59"/>
    </row>
    <row r="448" spans="1:18" ht="43.5" x14ac:dyDescent="0.35">
      <c r="A448" s="40">
        <f t="shared" si="6"/>
        <v>447</v>
      </c>
      <c r="B448" s="59" t="s">
        <v>28</v>
      </c>
      <c r="C448" s="57">
        <v>45183</v>
      </c>
      <c r="D448" s="57">
        <v>45186</v>
      </c>
      <c r="E448" s="52" t="s">
        <v>88</v>
      </c>
      <c r="F448" s="52" t="s">
        <v>43</v>
      </c>
      <c r="G448" s="52">
        <v>1000409489</v>
      </c>
      <c r="H448" s="58"/>
      <c r="I448" s="58"/>
      <c r="J448" s="52" t="s">
        <v>662</v>
      </c>
      <c r="K448" s="54" t="s">
        <v>81</v>
      </c>
      <c r="L448" s="54"/>
      <c r="M448" s="54"/>
      <c r="N448" s="54" t="s">
        <v>83</v>
      </c>
      <c r="O448" s="54"/>
      <c r="P448" s="54" t="s">
        <v>80</v>
      </c>
      <c r="Q448" s="59"/>
      <c r="R448" s="59"/>
    </row>
    <row r="449" spans="1:18" ht="43.5" x14ac:dyDescent="0.35">
      <c r="A449" s="40">
        <f t="shared" si="6"/>
        <v>448</v>
      </c>
      <c r="B449" s="59" t="s">
        <v>28</v>
      </c>
      <c r="C449" s="57">
        <v>45163</v>
      </c>
      <c r="D449" s="57">
        <v>45183</v>
      </c>
      <c r="E449" s="52" t="s">
        <v>49</v>
      </c>
      <c r="F449" s="52" t="s">
        <v>571</v>
      </c>
      <c r="G449" s="52" t="s">
        <v>663</v>
      </c>
      <c r="H449" s="58"/>
      <c r="I449" s="58"/>
      <c r="J449" s="52" t="s">
        <v>664</v>
      </c>
      <c r="K449" s="54" t="s">
        <v>85</v>
      </c>
      <c r="L449" s="54"/>
      <c r="M449" s="54"/>
      <c r="N449" s="54"/>
      <c r="O449" s="54"/>
      <c r="P449" s="54"/>
      <c r="Q449" s="59" t="s">
        <v>665</v>
      </c>
      <c r="R449" s="59"/>
    </row>
    <row r="450" spans="1:18" ht="43.5" x14ac:dyDescent="0.35">
      <c r="A450" s="40">
        <f t="shared" ref="A450:A513" si="7">ROW()-1</f>
        <v>449</v>
      </c>
      <c r="B450" s="59" t="s">
        <v>28</v>
      </c>
      <c r="C450" s="57">
        <v>45166</v>
      </c>
      <c r="D450" s="57">
        <v>45183</v>
      </c>
      <c r="E450" s="52" t="s">
        <v>49</v>
      </c>
      <c r="F450" s="52" t="s">
        <v>666</v>
      </c>
      <c r="G450" s="52" t="s">
        <v>667</v>
      </c>
      <c r="H450" s="58"/>
      <c r="I450" s="58"/>
      <c r="J450" s="52" t="s">
        <v>668</v>
      </c>
      <c r="K450" s="54" t="s">
        <v>84</v>
      </c>
      <c r="L450" s="54"/>
      <c r="M450" s="54"/>
      <c r="N450" s="54"/>
      <c r="O450" s="54"/>
      <c r="P450" s="54"/>
      <c r="Q450" s="59" t="s">
        <v>659</v>
      </c>
      <c r="R450" s="59"/>
    </row>
    <row r="451" spans="1:18" ht="58" x14ac:dyDescent="0.35">
      <c r="A451" s="40">
        <f t="shared" si="7"/>
        <v>450</v>
      </c>
      <c r="B451" s="59" t="s">
        <v>28</v>
      </c>
      <c r="C451" s="57">
        <v>45174</v>
      </c>
      <c r="D451" s="57">
        <v>45187</v>
      </c>
      <c r="E451" s="52" t="s">
        <v>88</v>
      </c>
      <c r="F451" s="52" t="s">
        <v>43</v>
      </c>
      <c r="G451" s="52" t="s">
        <v>669</v>
      </c>
      <c r="H451" s="58"/>
      <c r="I451" s="58"/>
      <c r="J451" s="52" t="s">
        <v>670</v>
      </c>
      <c r="K451" s="54" t="s">
        <v>81</v>
      </c>
      <c r="L451" s="54"/>
      <c r="M451" s="54"/>
      <c r="N451" s="54" t="s">
        <v>83</v>
      </c>
      <c r="O451" s="54"/>
      <c r="P451" s="54" t="s">
        <v>80</v>
      </c>
      <c r="Q451" s="59" t="s">
        <v>671</v>
      </c>
      <c r="R451" s="59"/>
    </row>
    <row r="452" spans="1:18" ht="29" x14ac:dyDescent="0.35">
      <c r="A452" s="40">
        <f t="shared" si="7"/>
        <v>451</v>
      </c>
      <c r="B452" s="59" t="s">
        <v>27</v>
      </c>
      <c r="C452" s="57">
        <v>45174</v>
      </c>
      <c r="D452" s="57">
        <v>45184</v>
      </c>
      <c r="E452" s="52" t="s">
        <v>672</v>
      </c>
      <c r="F452" s="52" t="s">
        <v>276</v>
      </c>
      <c r="G452" s="52" t="s">
        <v>673</v>
      </c>
      <c r="H452" s="58"/>
      <c r="I452" s="58"/>
      <c r="J452" s="52" t="s">
        <v>674</v>
      </c>
      <c r="K452" s="54" t="s">
        <v>85</v>
      </c>
      <c r="L452" s="54"/>
      <c r="M452" s="54"/>
      <c r="N452" s="54" t="s">
        <v>83</v>
      </c>
      <c r="O452" s="54"/>
      <c r="P452" s="54" t="s">
        <v>80</v>
      </c>
      <c r="Q452" s="59"/>
      <c r="R452" s="59"/>
    </row>
    <row r="453" spans="1:18" ht="87" x14ac:dyDescent="0.35">
      <c r="A453" s="40">
        <f t="shared" si="7"/>
        <v>452</v>
      </c>
      <c r="B453" s="59" t="s">
        <v>28</v>
      </c>
      <c r="C453" s="57">
        <v>45163</v>
      </c>
      <c r="D453" s="57">
        <v>45182</v>
      </c>
      <c r="E453" s="52" t="s">
        <v>49</v>
      </c>
      <c r="F453" s="52" t="s">
        <v>50</v>
      </c>
      <c r="G453" s="52" t="s">
        <v>675</v>
      </c>
      <c r="H453" s="58"/>
      <c r="I453" s="58"/>
      <c r="J453" s="52" t="s">
        <v>676</v>
      </c>
      <c r="K453" s="54" t="s">
        <v>79</v>
      </c>
      <c r="L453" s="54"/>
      <c r="M453" s="54"/>
      <c r="N453" s="54"/>
      <c r="O453" s="54"/>
      <c r="P453" s="54"/>
      <c r="Q453" s="59" t="s">
        <v>677</v>
      </c>
      <c r="R453" s="59"/>
    </row>
    <row r="454" spans="1:18" ht="72.5" x14ac:dyDescent="0.35">
      <c r="A454" s="40">
        <f t="shared" si="7"/>
        <v>453</v>
      </c>
      <c r="B454" s="59" t="s">
        <v>28</v>
      </c>
      <c r="C454" s="57">
        <v>45169</v>
      </c>
      <c r="D454" s="57">
        <v>45181</v>
      </c>
      <c r="E454" s="52" t="s">
        <v>63</v>
      </c>
      <c r="F454" s="52" t="s">
        <v>65</v>
      </c>
      <c r="G454" s="52" t="s">
        <v>678</v>
      </c>
      <c r="H454" s="58"/>
      <c r="I454" s="58"/>
      <c r="J454" s="52" t="s">
        <v>679</v>
      </c>
      <c r="K454" s="54" t="s">
        <v>82</v>
      </c>
      <c r="L454" s="54"/>
      <c r="M454" s="54"/>
      <c r="N454" s="54"/>
      <c r="O454" s="54"/>
      <c r="P454" s="54"/>
      <c r="Q454" s="59"/>
      <c r="R454" s="59"/>
    </row>
    <row r="455" spans="1:18" ht="87" x14ac:dyDescent="0.35">
      <c r="A455" s="40">
        <f t="shared" si="7"/>
        <v>454</v>
      </c>
      <c r="B455" s="59" t="s">
        <v>28</v>
      </c>
      <c r="C455" s="57">
        <v>45175</v>
      </c>
      <c r="D455" s="57">
        <v>45182</v>
      </c>
      <c r="E455" s="52" t="s">
        <v>52</v>
      </c>
      <c r="F455" s="52" t="s">
        <v>53</v>
      </c>
      <c r="G455" s="52" t="s">
        <v>680</v>
      </c>
      <c r="H455" s="58"/>
      <c r="I455" s="58"/>
      <c r="J455" s="52" t="s">
        <v>648</v>
      </c>
      <c r="K455" s="54" t="s">
        <v>85</v>
      </c>
      <c r="L455" s="54"/>
      <c r="M455" s="54"/>
      <c r="N455" s="54" t="s">
        <v>83</v>
      </c>
      <c r="O455" s="54"/>
      <c r="P455" s="54" t="s">
        <v>80</v>
      </c>
      <c r="Q455" s="59" t="s">
        <v>681</v>
      </c>
      <c r="R455" s="59"/>
    </row>
    <row r="456" spans="1:18" ht="130.5" x14ac:dyDescent="0.35">
      <c r="A456" s="40">
        <f t="shared" si="7"/>
        <v>455</v>
      </c>
      <c r="B456" s="59" t="s">
        <v>28</v>
      </c>
      <c r="C456" s="57">
        <v>45160</v>
      </c>
      <c r="D456" s="57">
        <v>45180</v>
      </c>
      <c r="E456" s="52" t="s">
        <v>49</v>
      </c>
      <c r="F456" s="52" t="s">
        <v>100</v>
      </c>
      <c r="G456" s="52" t="s">
        <v>682</v>
      </c>
      <c r="H456" s="58"/>
      <c r="I456" s="58"/>
      <c r="J456" s="52" t="s">
        <v>683</v>
      </c>
      <c r="K456" s="54" t="s">
        <v>81</v>
      </c>
      <c r="L456" s="54"/>
      <c r="M456" s="54"/>
      <c r="N456" s="54" t="s">
        <v>83</v>
      </c>
      <c r="O456" s="54"/>
      <c r="P456" s="54" t="s">
        <v>80</v>
      </c>
      <c r="Q456" s="59"/>
      <c r="R456" s="59"/>
    </row>
    <row r="457" spans="1:18" ht="87" x14ac:dyDescent="0.35">
      <c r="A457" s="40">
        <f t="shared" si="7"/>
        <v>456</v>
      </c>
      <c r="B457" s="59" t="s">
        <v>28</v>
      </c>
      <c r="C457" s="57">
        <v>45146</v>
      </c>
      <c r="D457" s="57">
        <v>45174</v>
      </c>
      <c r="E457" s="52" t="s">
        <v>597</v>
      </c>
      <c r="F457" s="52" t="s">
        <v>97</v>
      </c>
      <c r="G457" s="52" t="s">
        <v>684</v>
      </c>
      <c r="H457" s="58"/>
      <c r="I457" s="58"/>
      <c r="J457" s="52" t="s">
        <v>685</v>
      </c>
      <c r="K457" s="54" t="s">
        <v>79</v>
      </c>
      <c r="L457" s="54"/>
      <c r="M457" s="54"/>
      <c r="N457" s="54" t="s">
        <v>83</v>
      </c>
      <c r="O457" s="54"/>
      <c r="P457" s="54" t="s">
        <v>80</v>
      </c>
      <c r="Q457" s="59" t="s">
        <v>240</v>
      </c>
      <c r="R457" s="59"/>
    </row>
    <row r="458" spans="1:18" ht="116" x14ac:dyDescent="0.35">
      <c r="A458" s="40">
        <f t="shared" si="7"/>
        <v>457</v>
      </c>
      <c r="B458" s="59" t="s">
        <v>28</v>
      </c>
      <c r="C458" s="57">
        <v>45154</v>
      </c>
      <c r="D458" s="57">
        <v>45173</v>
      </c>
      <c r="E458" s="52" t="s">
        <v>63</v>
      </c>
      <c r="F458" s="52" t="s">
        <v>54</v>
      </c>
      <c r="G458" s="52" t="s">
        <v>686</v>
      </c>
      <c r="H458" s="58"/>
      <c r="I458" s="58"/>
      <c r="J458" s="52" t="s">
        <v>687</v>
      </c>
      <c r="K458" s="54" t="s">
        <v>79</v>
      </c>
      <c r="L458" s="54"/>
      <c r="M458" s="54"/>
      <c r="N458" s="54" t="s">
        <v>83</v>
      </c>
      <c r="O458" s="54"/>
      <c r="P458" s="54" t="s">
        <v>80</v>
      </c>
      <c r="Q458" s="59" t="s">
        <v>240</v>
      </c>
      <c r="R458" s="59"/>
    </row>
    <row r="459" spans="1:18" ht="101.5" x14ac:dyDescent="0.35">
      <c r="A459" s="40">
        <f t="shared" si="7"/>
        <v>458</v>
      </c>
      <c r="B459" s="59" t="s">
        <v>28</v>
      </c>
      <c r="C459" s="57">
        <v>45159</v>
      </c>
      <c r="D459" s="57">
        <v>45171</v>
      </c>
      <c r="E459" s="52" t="s">
        <v>49</v>
      </c>
      <c r="F459" s="52" t="s">
        <v>134</v>
      </c>
      <c r="G459" s="52" t="s">
        <v>688</v>
      </c>
      <c r="H459" s="58"/>
      <c r="I459" s="58"/>
      <c r="J459" s="52" t="s">
        <v>689</v>
      </c>
      <c r="K459" s="54" t="s">
        <v>81</v>
      </c>
      <c r="L459" s="54"/>
      <c r="M459" s="54"/>
      <c r="N459" s="54" t="s">
        <v>83</v>
      </c>
      <c r="O459" s="54"/>
      <c r="P459" s="54" t="s">
        <v>80</v>
      </c>
      <c r="Q459" s="59"/>
      <c r="R459" s="59"/>
    </row>
    <row r="460" spans="1:18" ht="188.5" x14ac:dyDescent="0.35">
      <c r="A460" s="40">
        <f t="shared" si="7"/>
        <v>459</v>
      </c>
      <c r="B460" s="59" t="s">
        <v>27</v>
      </c>
      <c r="C460" s="57">
        <v>45163</v>
      </c>
      <c r="D460" s="57">
        <v>45167</v>
      </c>
      <c r="E460" s="52" t="s">
        <v>450</v>
      </c>
      <c r="F460" s="52" t="s">
        <v>629</v>
      </c>
      <c r="G460" s="52" t="s">
        <v>690</v>
      </c>
      <c r="H460" s="58"/>
      <c r="I460" s="58">
        <v>20211455.66</v>
      </c>
      <c r="J460" s="52" t="s">
        <v>691</v>
      </c>
      <c r="K460" s="54" t="s">
        <v>82</v>
      </c>
      <c r="L460" s="54"/>
      <c r="M460" s="54"/>
      <c r="N460" s="54"/>
      <c r="O460" s="54"/>
      <c r="P460" s="54"/>
      <c r="Q460" s="59"/>
      <c r="R460" s="59"/>
    </row>
    <row r="461" spans="1:18" ht="130.5" x14ac:dyDescent="0.35">
      <c r="A461" s="40">
        <f t="shared" si="7"/>
        <v>460</v>
      </c>
      <c r="B461" s="59" t="s">
        <v>27</v>
      </c>
      <c r="C461" s="57">
        <v>45163</v>
      </c>
      <c r="D461" s="57">
        <v>45170</v>
      </c>
      <c r="E461" s="52" t="s">
        <v>692</v>
      </c>
      <c r="F461" s="52" t="s">
        <v>120</v>
      </c>
      <c r="G461" s="52" t="s">
        <v>693</v>
      </c>
      <c r="H461" s="58"/>
      <c r="I461" s="58">
        <v>3800000</v>
      </c>
      <c r="J461" s="52" t="s">
        <v>694</v>
      </c>
      <c r="K461" s="54" t="s">
        <v>81</v>
      </c>
      <c r="L461" s="54"/>
      <c r="M461" s="54"/>
      <c r="N461" s="54"/>
      <c r="O461" s="54"/>
      <c r="P461" s="54"/>
      <c r="Q461" s="59" t="s">
        <v>695</v>
      </c>
      <c r="R461" s="59"/>
    </row>
    <row r="462" spans="1:18" ht="58" x14ac:dyDescent="0.35">
      <c r="A462" s="40">
        <f t="shared" si="7"/>
        <v>461</v>
      </c>
      <c r="B462" s="59" t="s">
        <v>28</v>
      </c>
      <c r="C462" s="57">
        <v>45152</v>
      </c>
      <c r="D462" s="57">
        <v>45170</v>
      </c>
      <c r="E462" s="52" t="s">
        <v>49</v>
      </c>
      <c r="F462" s="52" t="s">
        <v>696</v>
      </c>
      <c r="G462" s="52" t="s">
        <v>697</v>
      </c>
      <c r="H462" s="58"/>
      <c r="I462" s="58"/>
      <c r="J462" s="52" t="s">
        <v>698</v>
      </c>
      <c r="K462" s="54" t="s">
        <v>81</v>
      </c>
      <c r="L462" s="54"/>
      <c r="M462" s="54"/>
      <c r="N462" s="54" t="s">
        <v>83</v>
      </c>
      <c r="O462" s="54"/>
      <c r="P462" s="54" t="s">
        <v>80</v>
      </c>
      <c r="Q462" s="52" t="s">
        <v>699</v>
      </c>
      <c r="R462" s="59"/>
    </row>
    <row r="463" spans="1:18" ht="58" x14ac:dyDescent="0.35">
      <c r="A463" s="40">
        <f t="shared" si="7"/>
        <v>462</v>
      </c>
      <c r="B463" s="59" t="s">
        <v>28</v>
      </c>
      <c r="C463" s="57">
        <v>45143</v>
      </c>
      <c r="D463" s="57">
        <v>45168</v>
      </c>
      <c r="E463" s="52" t="s">
        <v>151</v>
      </c>
      <c r="F463" s="52" t="s">
        <v>130</v>
      </c>
      <c r="G463" s="52" t="s">
        <v>700</v>
      </c>
      <c r="H463" s="58"/>
      <c r="I463" s="58"/>
      <c r="J463" s="52" t="s">
        <v>701</v>
      </c>
      <c r="K463" s="54" t="s">
        <v>82</v>
      </c>
      <c r="L463" s="54"/>
      <c r="M463" s="54"/>
      <c r="N463" s="54" t="s">
        <v>83</v>
      </c>
      <c r="O463" s="54"/>
      <c r="P463" s="54" t="s">
        <v>80</v>
      </c>
      <c r="Q463" s="59" t="s">
        <v>702</v>
      </c>
      <c r="R463" s="59"/>
    </row>
    <row r="464" spans="1:18" ht="87" x14ac:dyDescent="0.35">
      <c r="A464" s="40">
        <f t="shared" si="7"/>
        <v>463</v>
      </c>
      <c r="B464" s="59" t="s">
        <v>28</v>
      </c>
      <c r="C464" s="57">
        <v>45140</v>
      </c>
      <c r="D464" s="57">
        <v>45166</v>
      </c>
      <c r="E464" s="52" t="s">
        <v>61</v>
      </c>
      <c r="F464" s="52" t="s">
        <v>101</v>
      </c>
      <c r="G464" s="52" t="s">
        <v>703</v>
      </c>
      <c r="H464" s="58"/>
      <c r="I464" s="58"/>
      <c r="J464" s="52" t="s">
        <v>704</v>
      </c>
      <c r="K464" s="52" t="s">
        <v>85</v>
      </c>
      <c r="L464" s="54"/>
      <c r="M464" s="59"/>
      <c r="N464" s="54" t="s">
        <v>83</v>
      </c>
      <c r="O464" s="54"/>
      <c r="P464" s="54" t="s">
        <v>80</v>
      </c>
      <c r="Q464" s="54" t="s">
        <v>240</v>
      </c>
      <c r="R464" s="54"/>
    </row>
    <row r="465" spans="1:18" ht="188.5" x14ac:dyDescent="0.35">
      <c r="A465" s="40">
        <f t="shared" si="7"/>
        <v>464</v>
      </c>
      <c r="B465" s="59" t="s">
        <v>29</v>
      </c>
      <c r="C465" s="57">
        <v>45156</v>
      </c>
      <c r="D465" s="57">
        <v>45167</v>
      </c>
      <c r="E465" s="52" t="s">
        <v>52</v>
      </c>
      <c r="F465" s="52" t="s">
        <v>53</v>
      </c>
      <c r="G465" s="52" t="s">
        <v>705</v>
      </c>
      <c r="H465" s="58">
        <v>17233833.620000001</v>
      </c>
      <c r="I465" s="58">
        <v>17233833.620000001</v>
      </c>
      <c r="J465" s="52" t="s">
        <v>706</v>
      </c>
      <c r="K465" s="54" t="s">
        <v>85</v>
      </c>
      <c r="L465" s="54"/>
      <c r="M465" s="54"/>
      <c r="N465" s="54" t="s">
        <v>83</v>
      </c>
      <c r="O465" s="54"/>
      <c r="P465" s="54" t="s">
        <v>80</v>
      </c>
      <c r="Q465" s="59" t="s">
        <v>707</v>
      </c>
      <c r="R465" s="59"/>
    </row>
    <row r="466" spans="1:18" ht="43.5" x14ac:dyDescent="0.35">
      <c r="A466" s="40">
        <f t="shared" si="7"/>
        <v>465</v>
      </c>
      <c r="B466" s="53" t="s">
        <v>27</v>
      </c>
      <c r="C466" s="57">
        <v>45160</v>
      </c>
      <c r="D466" s="57">
        <v>45166</v>
      </c>
      <c r="E466" s="52" t="s">
        <v>72</v>
      </c>
      <c r="F466" s="52" t="s">
        <v>708</v>
      </c>
      <c r="G466" s="52" t="s">
        <v>709</v>
      </c>
      <c r="H466" s="58"/>
      <c r="I466" s="58">
        <v>734640</v>
      </c>
      <c r="J466" s="52" t="s">
        <v>710</v>
      </c>
      <c r="K466" s="54" t="s">
        <v>79</v>
      </c>
      <c r="L466" s="54"/>
      <c r="M466" s="54"/>
      <c r="N466" s="54" t="s">
        <v>83</v>
      </c>
      <c r="O466" s="54"/>
      <c r="P466" s="54" t="s">
        <v>80</v>
      </c>
      <c r="Q466" s="59"/>
      <c r="R466" s="59"/>
    </row>
    <row r="467" spans="1:18" ht="43.5" x14ac:dyDescent="0.35">
      <c r="A467" s="40">
        <f t="shared" si="7"/>
        <v>466</v>
      </c>
      <c r="B467" s="59" t="s">
        <v>28</v>
      </c>
      <c r="C467" s="57">
        <v>45154</v>
      </c>
      <c r="D467" s="57">
        <v>45162</v>
      </c>
      <c r="E467" s="52" t="s">
        <v>63</v>
      </c>
      <c r="F467" s="52" t="s">
        <v>110</v>
      </c>
      <c r="G467" s="52" t="s">
        <v>711</v>
      </c>
      <c r="H467" s="58"/>
      <c r="I467" s="58"/>
      <c r="J467" s="52" t="s">
        <v>712</v>
      </c>
      <c r="K467" s="52" t="s">
        <v>82</v>
      </c>
      <c r="L467" s="54"/>
      <c r="M467" s="59"/>
      <c r="N467" s="54" t="s">
        <v>83</v>
      </c>
      <c r="O467" s="54"/>
      <c r="P467" s="54" t="s">
        <v>80</v>
      </c>
      <c r="Q467" s="54"/>
      <c r="R467" s="54"/>
    </row>
    <row r="468" spans="1:18" ht="101.5" x14ac:dyDescent="0.35">
      <c r="A468" s="40">
        <f t="shared" si="7"/>
        <v>467</v>
      </c>
      <c r="B468" s="59" t="s">
        <v>28</v>
      </c>
      <c r="C468" s="57">
        <v>45159</v>
      </c>
      <c r="D468" s="57">
        <v>45162</v>
      </c>
      <c r="E468" s="52" t="s">
        <v>96</v>
      </c>
      <c r="F468" s="52" t="s">
        <v>45</v>
      </c>
      <c r="G468" s="52" t="s">
        <v>713</v>
      </c>
      <c r="H468" s="58"/>
      <c r="I468" s="58"/>
      <c r="J468" s="52" t="s">
        <v>714</v>
      </c>
      <c r="K468" s="54" t="s">
        <v>81</v>
      </c>
      <c r="L468" s="54"/>
      <c r="M468" s="54"/>
      <c r="N468" s="54" t="s">
        <v>83</v>
      </c>
      <c r="O468" s="54"/>
      <c r="P468" s="54" t="s">
        <v>80</v>
      </c>
      <c r="Q468" s="59"/>
      <c r="R468" s="59"/>
    </row>
    <row r="469" spans="1:18" ht="406" x14ac:dyDescent="0.35">
      <c r="A469" s="40">
        <f t="shared" si="7"/>
        <v>468</v>
      </c>
      <c r="B469" s="59" t="s">
        <v>31</v>
      </c>
      <c r="C469" s="57">
        <v>45136</v>
      </c>
      <c r="D469" s="57">
        <v>45161</v>
      </c>
      <c r="E469" s="52" t="s">
        <v>49</v>
      </c>
      <c r="F469" s="52" t="s">
        <v>265</v>
      </c>
      <c r="G469" s="52" t="s">
        <v>715</v>
      </c>
      <c r="H469" s="58">
        <v>20784489.859999999</v>
      </c>
      <c r="I469" s="58">
        <v>26283183.899999999</v>
      </c>
      <c r="J469" s="52" t="s">
        <v>716</v>
      </c>
      <c r="K469" s="54" t="s">
        <v>82</v>
      </c>
      <c r="L469" s="54"/>
      <c r="M469" s="54"/>
      <c r="N469" s="54" t="s">
        <v>83</v>
      </c>
      <c r="O469" s="54"/>
      <c r="P469" s="54" t="s">
        <v>80</v>
      </c>
      <c r="Q469" s="59" t="s">
        <v>717</v>
      </c>
      <c r="R469" s="59"/>
    </row>
    <row r="470" spans="1:18" ht="290" x14ac:dyDescent="0.35">
      <c r="A470" s="40">
        <f t="shared" si="7"/>
        <v>469</v>
      </c>
      <c r="B470" s="59" t="s">
        <v>31</v>
      </c>
      <c r="C470" s="57">
        <v>45148</v>
      </c>
      <c r="D470" s="57">
        <v>45166</v>
      </c>
      <c r="E470" s="52" t="s">
        <v>63</v>
      </c>
      <c r="F470" s="52" t="s">
        <v>56</v>
      </c>
      <c r="G470" s="52" t="s">
        <v>718</v>
      </c>
      <c r="H470" s="58">
        <v>23303638.050000001</v>
      </c>
      <c r="I470" s="58">
        <v>27317890.079999998</v>
      </c>
      <c r="J470" s="52" t="s">
        <v>719</v>
      </c>
      <c r="K470" s="54" t="s">
        <v>79</v>
      </c>
      <c r="L470" s="54"/>
      <c r="M470" s="54"/>
      <c r="N470" s="54" t="s">
        <v>83</v>
      </c>
      <c r="O470" s="54"/>
      <c r="P470" s="54" t="s">
        <v>80</v>
      </c>
      <c r="Q470" s="59" t="s">
        <v>720</v>
      </c>
      <c r="R470" s="59"/>
    </row>
    <row r="471" spans="1:18" ht="72.5" x14ac:dyDescent="0.35">
      <c r="A471" s="40">
        <f t="shared" si="7"/>
        <v>470</v>
      </c>
      <c r="B471" s="59" t="s">
        <v>28</v>
      </c>
      <c r="C471" s="57">
        <v>45155</v>
      </c>
      <c r="D471" s="57">
        <v>45160</v>
      </c>
      <c r="E471" s="52" t="s">
        <v>63</v>
      </c>
      <c r="F471" s="52" t="s">
        <v>89</v>
      </c>
      <c r="G471" s="52" t="s">
        <v>721</v>
      </c>
      <c r="H471" s="58"/>
      <c r="I471" s="58"/>
      <c r="J471" s="52" t="s">
        <v>722</v>
      </c>
      <c r="K471" s="54" t="s">
        <v>82</v>
      </c>
      <c r="L471" s="54"/>
      <c r="M471" s="54"/>
      <c r="N471" s="54" t="s">
        <v>83</v>
      </c>
      <c r="O471" s="54"/>
      <c r="P471" s="54" t="s">
        <v>80</v>
      </c>
      <c r="Q471" s="59" t="s">
        <v>723</v>
      </c>
      <c r="R471" s="59"/>
    </row>
    <row r="472" spans="1:18" ht="333.5" x14ac:dyDescent="0.35">
      <c r="A472" s="40">
        <f t="shared" si="7"/>
        <v>471</v>
      </c>
      <c r="B472" s="59" t="s">
        <v>31</v>
      </c>
      <c r="C472" s="57">
        <v>45138</v>
      </c>
      <c r="D472" s="57">
        <v>45159</v>
      </c>
      <c r="E472" s="52" t="s">
        <v>69</v>
      </c>
      <c r="F472" s="52" t="s">
        <v>70</v>
      </c>
      <c r="G472" s="54" t="s">
        <v>724</v>
      </c>
      <c r="H472" s="58">
        <v>20406130</v>
      </c>
      <c r="I472" s="58">
        <v>21816253.177966103</v>
      </c>
      <c r="J472" s="52" t="s">
        <v>725</v>
      </c>
      <c r="K472" s="52" t="s">
        <v>81</v>
      </c>
      <c r="L472" s="54"/>
      <c r="M472" s="59"/>
      <c r="N472" s="54" t="s">
        <v>83</v>
      </c>
      <c r="O472" s="54"/>
      <c r="P472" s="54" t="s">
        <v>80</v>
      </c>
      <c r="Q472" s="52" t="s">
        <v>726</v>
      </c>
      <c r="R472" s="54"/>
    </row>
    <row r="473" spans="1:18" ht="43.5" x14ac:dyDescent="0.35">
      <c r="A473" s="40">
        <f t="shared" si="7"/>
        <v>472</v>
      </c>
      <c r="B473" s="59" t="s">
        <v>28</v>
      </c>
      <c r="C473" s="57">
        <v>45148</v>
      </c>
      <c r="D473" s="57">
        <v>45159</v>
      </c>
      <c r="E473" s="52" t="s">
        <v>63</v>
      </c>
      <c r="F473" s="52" t="s">
        <v>60</v>
      </c>
      <c r="G473" s="52" t="s">
        <v>727</v>
      </c>
      <c r="H473" s="58"/>
      <c r="I473" s="58"/>
      <c r="J473" s="52" t="s">
        <v>728</v>
      </c>
      <c r="K473" s="54" t="s">
        <v>81</v>
      </c>
      <c r="L473" s="54"/>
      <c r="M473" s="54"/>
      <c r="N473" s="54" t="s">
        <v>83</v>
      </c>
      <c r="O473" s="54"/>
      <c r="P473" s="54" t="s">
        <v>80</v>
      </c>
      <c r="Q473" s="59"/>
      <c r="R473" s="59"/>
    </row>
    <row r="474" spans="1:18" ht="87" x14ac:dyDescent="0.35">
      <c r="A474" s="40">
        <f t="shared" si="7"/>
        <v>473</v>
      </c>
      <c r="B474" s="59" t="s">
        <v>28</v>
      </c>
      <c r="C474" s="57">
        <v>45154</v>
      </c>
      <c r="D474" s="57">
        <v>45159</v>
      </c>
      <c r="E474" s="52" t="s">
        <v>63</v>
      </c>
      <c r="F474" s="52" t="s">
        <v>89</v>
      </c>
      <c r="G474" s="52" t="s">
        <v>729</v>
      </c>
      <c r="H474" s="58"/>
      <c r="I474" s="58"/>
      <c r="J474" s="52" t="s">
        <v>730</v>
      </c>
      <c r="K474" s="54" t="s">
        <v>82</v>
      </c>
      <c r="L474" s="54"/>
      <c r="M474" s="54"/>
      <c r="N474" s="54" t="s">
        <v>83</v>
      </c>
      <c r="O474" s="54"/>
      <c r="P474" s="54" t="s">
        <v>80</v>
      </c>
      <c r="Q474" s="59" t="s">
        <v>723</v>
      </c>
      <c r="R474" s="59"/>
    </row>
    <row r="475" spans="1:18" ht="87" x14ac:dyDescent="0.35">
      <c r="A475" s="40">
        <f t="shared" si="7"/>
        <v>474</v>
      </c>
      <c r="B475" s="59" t="s">
        <v>28</v>
      </c>
      <c r="C475" s="57">
        <v>45147</v>
      </c>
      <c r="D475" s="57">
        <v>45157</v>
      </c>
      <c r="E475" s="52" t="s">
        <v>63</v>
      </c>
      <c r="F475" s="52" t="s">
        <v>65</v>
      </c>
      <c r="G475" s="52" t="s">
        <v>731</v>
      </c>
      <c r="H475" s="58"/>
      <c r="I475" s="58"/>
      <c r="J475" s="52" t="s">
        <v>732</v>
      </c>
      <c r="K475" s="54" t="s">
        <v>82</v>
      </c>
      <c r="L475" s="54"/>
      <c r="M475" s="54"/>
      <c r="N475" s="54" t="s">
        <v>83</v>
      </c>
      <c r="O475" s="54"/>
      <c r="P475" s="54" t="s">
        <v>80</v>
      </c>
      <c r="Q475" s="59"/>
      <c r="R475" s="59"/>
    </row>
    <row r="476" spans="1:18" ht="43.5" x14ac:dyDescent="0.35">
      <c r="A476" s="40">
        <f t="shared" si="7"/>
        <v>475</v>
      </c>
      <c r="B476" s="59" t="s">
        <v>28</v>
      </c>
      <c r="C476" s="57">
        <v>45148</v>
      </c>
      <c r="D476" s="57">
        <v>45157</v>
      </c>
      <c r="E476" s="52" t="s">
        <v>733</v>
      </c>
      <c r="F476" s="52" t="s">
        <v>130</v>
      </c>
      <c r="G476" s="52" t="s">
        <v>734</v>
      </c>
      <c r="H476" s="58"/>
      <c r="I476" s="58"/>
      <c r="J476" s="52" t="s">
        <v>735</v>
      </c>
      <c r="K476" s="54" t="s">
        <v>82</v>
      </c>
      <c r="L476" s="54"/>
      <c r="M476" s="54"/>
      <c r="N476" s="54" t="s">
        <v>83</v>
      </c>
      <c r="O476" s="54"/>
      <c r="P476" s="54" t="s">
        <v>80</v>
      </c>
      <c r="Q476" s="59" t="s">
        <v>736</v>
      </c>
      <c r="R476" s="59"/>
    </row>
    <row r="477" spans="1:18" ht="116" x14ac:dyDescent="0.35">
      <c r="A477" s="40">
        <f t="shared" si="7"/>
        <v>476</v>
      </c>
      <c r="B477" s="59" t="s">
        <v>29</v>
      </c>
      <c r="C477" s="57">
        <v>45148</v>
      </c>
      <c r="D477" s="57">
        <v>45157</v>
      </c>
      <c r="E477" s="52" t="s">
        <v>88</v>
      </c>
      <c r="F477" s="52" t="s">
        <v>43</v>
      </c>
      <c r="G477" s="52">
        <v>1000408065</v>
      </c>
      <c r="H477" s="58">
        <v>18208600</v>
      </c>
      <c r="I477" s="58">
        <v>18208600</v>
      </c>
      <c r="J477" s="52" t="s">
        <v>737</v>
      </c>
      <c r="K477" s="54" t="s">
        <v>81</v>
      </c>
      <c r="L477" s="54"/>
      <c r="M477" s="54"/>
      <c r="N477" s="54" t="s">
        <v>83</v>
      </c>
      <c r="O477" s="54"/>
      <c r="P477" s="54" t="s">
        <v>80</v>
      </c>
      <c r="Q477" s="59" t="s">
        <v>738</v>
      </c>
      <c r="R477" s="59"/>
    </row>
    <row r="478" spans="1:18" ht="72.5" x14ac:dyDescent="0.35">
      <c r="A478" s="40">
        <f t="shared" si="7"/>
        <v>477</v>
      </c>
      <c r="B478" s="59" t="s">
        <v>27</v>
      </c>
      <c r="C478" s="57">
        <v>45135</v>
      </c>
      <c r="D478" s="57">
        <v>45155</v>
      </c>
      <c r="E478" s="52" t="s">
        <v>49</v>
      </c>
      <c r="F478" s="52" t="s">
        <v>134</v>
      </c>
      <c r="G478" s="52" t="s">
        <v>739</v>
      </c>
      <c r="H478" s="58"/>
      <c r="I478" s="58">
        <v>7743862.7118644072</v>
      </c>
      <c r="J478" s="52" t="s">
        <v>740</v>
      </c>
      <c r="K478" s="52" t="s">
        <v>81</v>
      </c>
      <c r="L478" s="54"/>
      <c r="M478" s="59"/>
      <c r="N478" s="54" t="s">
        <v>83</v>
      </c>
      <c r="O478" s="54"/>
      <c r="P478" s="54" t="s">
        <v>80</v>
      </c>
      <c r="Q478" s="54" t="s">
        <v>741</v>
      </c>
      <c r="R478" s="54"/>
    </row>
    <row r="479" spans="1:18" ht="72.5" x14ac:dyDescent="0.35">
      <c r="A479" s="40">
        <f t="shared" si="7"/>
        <v>478</v>
      </c>
      <c r="B479" s="59" t="s">
        <v>28</v>
      </c>
      <c r="C479" s="57">
        <v>45136</v>
      </c>
      <c r="D479" s="57">
        <v>45155</v>
      </c>
      <c r="E479" s="52" t="s">
        <v>49</v>
      </c>
      <c r="F479" s="52" t="s">
        <v>87</v>
      </c>
      <c r="G479" s="52" t="s">
        <v>742</v>
      </c>
      <c r="H479" s="58"/>
      <c r="I479" s="58"/>
      <c r="J479" s="52" t="s">
        <v>743</v>
      </c>
      <c r="K479" s="54" t="s">
        <v>81</v>
      </c>
      <c r="L479" s="54"/>
      <c r="M479" s="54"/>
      <c r="N479" s="54" t="s">
        <v>83</v>
      </c>
      <c r="O479" s="54"/>
      <c r="P479" s="54" t="s">
        <v>80</v>
      </c>
      <c r="Q479" s="59" t="s">
        <v>744</v>
      </c>
      <c r="R479" s="59"/>
    </row>
    <row r="480" spans="1:18" ht="409.5" x14ac:dyDescent="0.35">
      <c r="A480" s="40">
        <f t="shared" si="7"/>
        <v>479</v>
      </c>
      <c r="B480" s="59" t="s">
        <v>31</v>
      </c>
      <c r="C480" s="57">
        <v>45132</v>
      </c>
      <c r="D480" s="57">
        <v>45154</v>
      </c>
      <c r="E480" s="52" t="s">
        <v>441</v>
      </c>
      <c r="F480" s="52" t="s">
        <v>745</v>
      </c>
      <c r="G480" s="52" t="s">
        <v>746</v>
      </c>
      <c r="H480" s="58">
        <v>18118174.359999999</v>
      </c>
      <c r="I480" s="58">
        <v>23880472.008474577</v>
      </c>
      <c r="J480" s="52" t="s">
        <v>747</v>
      </c>
      <c r="K480" s="54" t="s">
        <v>79</v>
      </c>
      <c r="L480" s="54"/>
      <c r="M480" s="54"/>
      <c r="N480" s="54" t="s">
        <v>83</v>
      </c>
      <c r="O480" s="54"/>
      <c r="P480" s="54" t="s">
        <v>80</v>
      </c>
      <c r="Q480" s="59" t="s">
        <v>1274</v>
      </c>
      <c r="R480" s="59"/>
    </row>
    <row r="481" spans="1:18" ht="101.5" x14ac:dyDescent="0.35">
      <c r="A481" s="40">
        <f t="shared" si="7"/>
        <v>480</v>
      </c>
      <c r="B481" s="59" t="s">
        <v>28</v>
      </c>
      <c r="C481" s="57">
        <v>45134</v>
      </c>
      <c r="D481" s="57">
        <v>45154</v>
      </c>
      <c r="E481" s="52" t="s">
        <v>63</v>
      </c>
      <c r="F481" s="52" t="s">
        <v>89</v>
      </c>
      <c r="G481" s="52" t="s">
        <v>748</v>
      </c>
      <c r="H481" s="58"/>
      <c r="I481" s="58"/>
      <c r="J481" s="52" t="s">
        <v>749</v>
      </c>
      <c r="K481" s="54" t="s">
        <v>82</v>
      </c>
      <c r="L481" s="54"/>
      <c r="M481" s="54"/>
      <c r="N481" s="54" t="s">
        <v>83</v>
      </c>
      <c r="O481" s="54"/>
      <c r="P481" s="54" t="s">
        <v>80</v>
      </c>
      <c r="Q481" s="52" t="s">
        <v>750</v>
      </c>
      <c r="R481" s="59"/>
    </row>
    <row r="482" spans="1:18" ht="43.5" x14ac:dyDescent="0.35">
      <c r="A482" s="40">
        <f t="shared" si="7"/>
        <v>481</v>
      </c>
      <c r="B482" s="59" t="s">
        <v>28</v>
      </c>
      <c r="C482" s="57">
        <v>45139</v>
      </c>
      <c r="D482" s="57">
        <v>45154</v>
      </c>
      <c r="E482" s="52" t="s">
        <v>441</v>
      </c>
      <c r="F482" s="52" t="s">
        <v>43</v>
      </c>
      <c r="G482" s="52" t="s">
        <v>751</v>
      </c>
      <c r="H482" s="58"/>
      <c r="I482" s="58"/>
      <c r="J482" s="52" t="s">
        <v>752</v>
      </c>
      <c r="K482" s="54" t="s">
        <v>79</v>
      </c>
      <c r="L482" s="54"/>
      <c r="M482" s="54"/>
      <c r="N482" s="54" t="s">
        <v>83</v>
      </c>
      <c r="O482" s="54"/>
      <c r="P482" s="54" t="s">
        <v>80</v>
      </c>
      <c r="Q482" s="59"/>
      <c r="R482" s="59"/>
    </row>
    <row r="483" spans="1:18" ht="72.5" x14ac:dyDescent="0.35">
      <c r="A483" s="40">
        <f t="shared" si="7"/>
        <v>482</v>
      </c>
      <c r="B483" s="59" t="s">
        <v>28</v>
      </c>
      <c r="C483" s="57">
        <v>45147</v>
      </c>
      <c r="D483" s="57">
        <v>45154</v>
      </c>
      <c r="E483" s="52" t="s">
        <v>63</v>
      </c>
      <c r="F483" s="52" t="s">
        <v>110</v>
      </c>
      <c r="G483" s="52" t="s">
        <v>753</v>
      </c>
      <c r="H483" s="58"/>
      <c r="I483" s="58"/>
      <c r="J483" s="52" t="s">
        <v>754</v>
      </c>
      <c r="K483" s="54" t="s">
        <v>82</v>
      </c>
      <c r="L483" s="54"/>
      <c r="M483" s="54"/>
      <c r="N483" s="54" t="s">
        <v>83</v>
      </c>
      <c r="O483" s="54"/>
      <c r="P483" s="54" t="s">
        <v>80</v>
      </c>
      <c r="Q483" s="59" t="s">
        <v>755</v>
      </c>
      <c r="R483" s="59"/>
    </row>
    <row r="484" spans="1:18" ht="58" x14ac:dyDescent="0.35">
      <c r="A484" s="40">
        <f t="shared" si="7"/>
        <v>483</v>
      </c>
      <c r="B484" s="59" t="s">
        <v>28</v>
      </c>
      <c r="C484" s="57">
        <v>45148</v>
      </c>
      <c r="D484" s="57">
        <v>45154</v>
      </c>
      <c r="E484" s="52" t="s">
        <v>49</v>
      </c>
      <c r="F484" s="52" t="s">
        <v>134</v>
      </c>
      <c r="G484" s="52" t="s">
        <v>756</v>
      </c>
      <c r="H484" s="58"/>
      <c r="I484" s="58"/>
      <c r="J484" s="52" t="s">
        <v>757</v>
      </c>
      <c r="K484" s="54" t="s">
        <v>81</v>
      </c>
      <c r="L484" s="54"/>
      <c r="M484" s="54"/>
      <c r="N484" s="54" t="s">
        <v>83</v>
      </c>
      <c r="O484" s="54"/>
      <c r="P484" s="54" t="s">
        <v>80</v>
      </c>
      <c r="Q484" s="59"/>
      <c r="R484" s="59"/>
    </row>
    <row r="485" spans="1:18" ht="101.5" x14ac:dyDescent="0.35">
      <c r="A485" s="40">
        <f t="shared" si="7"/>
        <v>484</v>
      </c>
      <c r="B485" s="59" t="s">
        <v>28</v>
      </c>
      <c r="C485" s="57">
        <v>45139</v>
      </c>
      <c r="D485" s="57">
        <v>45152</v>
      </c>
      <c r="E485" s="52" t="s">
        <v>63</v>
      </c>
      <c r="F485" s="52" t="s">
        <v>65</v>
      </c>
      <c r="G485" s="52" t="s">
        <v>758</v>
      </c>
      <c r="H485" s="58"/>
      <c r="I485" s="58"/>
      <c r="J485" s="52" t="s">
        <v>759</v>
      </c>
      <c r="K485" s="54" t="s">
        <v>82</v>
      </c>
      <c r="L485" s="54"/>
      <c r="M485" s="54"/>
      <c r="N485" s="54" t="s">
        <v>83</v>
      </c>
      <c r="O485" s="54"/>
      <c r="P485" s="54" t="s">
        <v>80</v>
      </c>
      <c r="Q485" s="59" t="s">
        <v>760</v>
      </c>
      <c r="R485" s="59"/>
    </row>
    <row r="486" spans="1:18" ht="43.5" x14ac:dyDescent="0.35">
      <c r="A486" s="40">
        <f t="shared" si="7"/>
        <v>485</v>
      </c>
      <c r="B486" s="59" t="s">
        <v>28</v>
      </c>
      <c r="C486" s="57">
        <v>45140</v>
      </c>
      <c r="D486" s="57">
        <v>45150</v>
      </c>
      <c r="E486" s="52" t="s">
        <v>49</v>
      </c>
      <c r="F486" s="52" t="s">
        <v>696</v>
      </c>
      <c r="G486" s="52" t="s">
        <v>761</v>
      </c>
      <c r="H486" s="58"/>
      <c r="I486" s="58"/>
      <c r="J486" s="52" t="s">
        <v>762</v>
      </c>
      <c r="K486" s="52" t="s">
        <v>81</v>
      </c>
      <c r="L486" s="54"/>
      <c r="M486" s="59"/>
      <c r="N486" s="54" t="s">
        <v>83</v>
      </c>
      <c r="O486" s="54"/>
      <c r="P486" s="54" t="s">
        <v>80</v>
      </c>
      <c r="Q486" s="54" t="s">
        <v>763</v>
      </c>
      <c r="R486" s="54"/>
    </row>
    <row r="487" spans="1:18" ht="130.5" x14ac:dyDescent="0.35">
      <c r="A487" s="40">
        <f t="shared" si="7"/>
        <v>486</v>
      </c>
      <c r="B487" s="59" t="s">
        <v>31</v>
      </c>
      <c r="C487" s="57">
        <v>45138</v>
      </c>
      <c r="D487" s="57">
        <v>45149</v>
      </c>
      <c r="E487" s="52" t="s">
        <v>63</v>
      </c>
      <c r="F487" s="52" t="s">
        <v>65</v>
      </c>
      <c r="G487" s="52" t="s">
        <v>764</v>
      </c>
      <c r="H487" s="58">
        <v>8776937.2699999996</v>
      </c>
      <c r="I487" s="58">
        <v>8840607.6271186452</v>
      </c>
      <c r="J487" s="52" t="s">
        <v>759</v>
      </c>
      <c r="K487" s="54" t="s">
        <v>82</v>
      </c>
      <c r="L487" s="54"/>
      <c r="M487" s="54"/>
      <c r="N487" s="54" t="s">
        <v>83</v>
      </c>
      <c r="O487" s="54"/>
      <c r="P487" s="54" t="s">
        <v>80</v>
      </c>
      <c r="Q487" s="59" t="s">
        <v>765</v>
      </c>
      <c r="R487" s="59"/>
    </row>
    <row r="488" spans="1:18" ht="87" x14ac:dyDescent="0.35">
      <c r="A488" s="40">
        <f t="shared" si="7"/>
        <v>487</v>
      </c>
      <c r="B488" s="59" t="s">
        <v>28</v>
      </c>
      <c r="C488" s="57">
        <v>45132</v>
      </c>
      <c r="D488" s="57">
        <v>45148</v>
      </c>
      <c r="E488" s="52" t="s">
        <v>138</v>
      </c>
      <c r="F488" s="52" t="s">
        <v>94</v>
      </c>
      <c r="G488" s="52" t="s">
        <v>766</v>
      </c>
      <c r="H488" s="58"/>
      <c r="I488" s="58"/>
      <c r="J488" s="52" t="s">
        <v>767</v>
      </c>
      <c r="K488" s="54" t="s">
        <v>768</v>
      </c>
      <c r="L488" s="54"/>
      <c r="M488" s="54"/>
      <c r="N488" s="54" t="s">
        <v>83</v>
      </c>
      <c r="O488" s="54"/>
      <c r="P488" s="54" t="s">
        <v>80</v>
      </c>
      <c r="Q488" s="52" t="s">
        <v>769</v>
      </c>
      <c r="R488" s="59"/>
    </row>
    <row r="489" spans="1:18" ht="101.5" x14ac:dyDescent="0.35">
      <c r="A489" s="40">
        <f t="shared" si="7"/>
        <v>488</v>
      </c>
      <c r="B489" s="59" t="s">
        <v>29</v>
      </c>
      <c r="C489" s="57">
        <v>45133</v>
      </c>
      <c r="D489" s="57">
        <v>45148</v>
      </c>
      <c r="E489" s="52" t="s">
        <v>770</v>
      </c>
      <c r="F489" s="52" t="s">
        <v>111</v>
      </c>
      <c r="G489" s="52" t="s">
        <v>771</v>
      </c>
      <c r="H489" s="58">
        <v>28248000</v>
      </c>
      <c r="I489" s="58">
        <v>33600000</v>
      </c>
      <c r="J489" s="52" t="s">
        <v>772</v>
      </c>
      <c r="K489" s="54" t="s">
        <v>768</v>
      </c>
      <c r="L489" s="54"/>
      <c r="M489" s="54"/>
      <c r="N489" s="54" t="s">
        <v>83</v>
      </c>
      <c r="O489" s="54"/>
      <c r="P489" s="54" t="s">
        <v>80</v>
      </c>
      <c r="Q489" s="59"/>
      <c r="R489" s="59"/>
    </row>
    <row r="490" spans="1:18" ht="159.5" x14ac:dyDescent="0.35">
      <c r="A490" s="40">
        <f t="shared" si="7"/>
        <v>489</v>
      </c>
      <c r="B490" s="59" t="s">
        <v>28</v>
      </c>
      <c r="C490" s="57">
        <v>45140</v>
      </c>
      <c r="D490" s="57">
        <v>45148</v>
      </c>
      <c r="E490" s="52" t="s">
        <v>173</v>
      </c>
      <c r="F490" s="52" t="s">
        <v>104</v>
      </c>
      <c r="G490" s="52" t="s">
        <v>773</v>
      </c>
      <c r="H490" s="58"/>
      <c r="I490" s="58"/>
      <c r="J490" s="52" t="s">
        <v>774</v>
      </c>
      <c r="K490" s="54" t="s">
        <v>85</v>
      </c>
      <c r="L490" s="54"/>
      <c r="M490" s="54"/>
      <c r="N490" s="54" t="s">
        <v>83</v>
      </c>
      <c r="O490" s="54"/>
      <c r="P490" s="54" t="s">
        <v>80</v>
      </c>
      <c r="Q490" s="59" t="s">
        <v>775</v>
      </c>
      <c r="R490" s="59"/>
    </row>
    <row r="491" spans="1:18" ht="43.5" x14ac:dyDescent="0.35">
      <c r="A491" s="40">
        <f t="shared" si="7"/>
        <v>490</v>
      </c>
      <c r="B491" s="59" t="s">
        <v>28</v>
      </c>
      <c r="C491" s="57">
        <v>45133</v>
      </c>
      <c r="D491" s="57">
        <v>45147</v>
      </c>
      <c r="E491" s="52" t="s">
        <v>49</v>
      </c>
      <c r="F491" s="52" t="s">
        <v>75</v>
      </c>
      <c r="G491" s="52" t="s">
        <v>776</v>
      </c>
      <c r="H491" s="58"/>
      <c r="I491" s="58"/>
      <c r="J491" s="52" t="s">
        <v>777</v>
      </c>
      <c r="K491" s="54" t="s">
        <v>82</v>
      </c>
      <c r="L491" s="54"/>
      <c r="M491" s="54"/>
      <c r="N491" s="54" t="s">
        <v>83</v>
      </c>
      <c r="O491" s="54"/>
      <c r="P491" s="54" t="s">
        <v>80</v>
      </c>
      <c r="Q491" s="59" t="s">
        <v>778</v>
      </c>
      <c r="R491" s="59"/>
    </row>
    <row r="492" spans="1:18" ht="58" x14ac:dyDescent="0.35">
      <c r="A492" s="40">
        <f t="shared" si="7"/>
        <v>491</v>
      </c>
      <c r="B492" s="59" t="s">
        <v>28</v>
      </c>
      <c r="C492" s="57">
        <v>45135</v>
      </c>
      <c r="D492" s="57">
        <v>45147</v>
      </c>
      <c r="E492" s="52" t="s">
        <v>63</v>
      </c>
      <c r="F492" s="52" t="s">
        <v>93</v>
      </c>
      <c r="G492" s="52" t="s">
        <v>779</v>
      </c>
      <c r="H492" s="58"/>
      <c r="I492" s="58"/>
      <c r="J492" s="52" t="s">
        <v>780</v>
      </c>
      <c r="K492" s="54" t="s">
        <v>82</v>
      </c>
      <c r="L492" s="54"/>
      <c r="M492" s="54"/>
      <c r="N492" s="54" t="s">
        <v>83</v>
      </c>
      <c r="O492" s="54"/>
      <c r="P492" s="54" t="s">
        <v>80</v>
      </c>
      <c r="Q492" s="59" t="s">
        <v>781</v>
      </c>
      <c r="R492" s="59"/>
    </row>
    <row r="493" spans="1:18" ht="409.5" x14ac:dyDescent="0.35">
      <c r="A493" s="40">
        <f t="shared" si="7"/>
        <v>492</v>
      </c>
      <c r="B493" s="59" t="s">
        <v>31</v>
      </c>
      <c r="C493" s="57">
        <v>45106</v>
      </c>
      <c r="D493" s="57">
        <v>45146</v>
      </c>
      <c r="E493" s="52" t="s">
        <v>106</v>
      </c>
      <c r="F493" s="52" t="s">
        <v>68</v>
      </c>
      <c r="G493" s="52" t="s">
        <v>782</v>
      </c>
      <c r="H493" s="58">
        <v>129027000</v>
      </c>
      <c r="I493" s="58">
        <v>130921464.957</v>
      </c>
      <c r="J493" s="52" t="s">
        <v>783</v>
      </c>
      <c r="K493" s="54" t="s">
        <v>82</v>
      </c>
      <c r="L493" s="54"/>
      <c r="M493" s="54"/>
      <c r="N493" s="54" t="s">
        <v>83</v>
      </c>
      <c r="O493" s="54"/>
      <c r="P493" s="54" t="s">
        <v>80</v>
      </c>
      <c r="Q493" s="59" t="s">
        <v>784</v>
      </c>
      <c r="R493" s="59"/>
    </row>
    <row r="494" spans="1:18" ht="87" x14ac:dyDescent="0.35">
      <c r="A494" s="40">
        <f t="shared" si="7"/>
        <v>493</v>
      </c>
      <c r="B494" s="59" t="s">
        <v>27</v>
      </c>
      <c r="C494" s="57">
        <v>45121</v>
      </c>
      <c r="D494" s="57">
        <v>45146</v>
      </c>
      <c r="E494" s="52" t="s">
        <v>785</v>
      </c>
      <c r="F494" s="52" t="s">
        <v>67</v>
      </c>
      <c r="G494" s="52" t="s">
        <v>786</v>
      </c>
      <c r="H494" s="58"/>
      <c r="I494" s="58">
        <v>9200000</v>
      </c>
      <c r="J494" s="52" t="s">
        <v>787</v>
      </c>
      <c r="K494" s="54" t="s">
        <v>79</v>
      </c>
      <c r="L494" s="54"/>
      <c r="M494" s="54"/>
      <c r="N494" s="54" t="s">
        <v>83</v>
      </c>
      <c r="O494" s="54"/>
      <c r="P494" s="54" t="s">
        <v>80</v>
      </c>
      <c r="Q494" s="59" t="s">
        <v>778</v>
      </c>
      <c r="R494" s="59"/>
    </row>
    <row r="495" spans="1:18" ht="72.5" x14ac:dyDescent="0.35">
      <c r="A495" s="40">
        <f t="shared" si="7"/>
        <v>494</v>
      </c>
      <c r="B495" s="59" t="s">
        <v>27</v>
      </c>
      <c r="C495" s="57">
        <v>45126</v>
      </c>
      <c r="D495" s="57">
        <v>45146</v>
      </c>
      <c r="E495" s="52" t="s">
        <v>785</v>
      </c>
      <c r="F495" s="52" t="s">
        <v>67</v>
      </c>
      <c r="G495" s="52" t="s">
        <v>788</v>
      </c>
      <c r="H495" s="58"/>
      <c r="I495" s="58">
        <v>7484356.7999999998</v>
      </c>
      <c r="J495" s="52" t="s">
        <v>789</v>
      </c>
      <c r="K495" s="54" t="s">
        <v>79</v>
      </c>
      <c r="L495" s="54"/>
      <c r="M495" s="54"/>
      <c r="N495" s="54" t="s">
        <v>83</v>
      </c>
      <c r="O495" s="54"/>
      <c r="P495" s="54" t="s">
        <v>80</v>
      </c>
      <c r="Q495" s="59"/>
      <c r="R495" s="59"/>
    </row>
    <row r="496" spans="1:18" ht="87" x14ac:dyDescent="0.35">
      <c r="A496" s="40">
        <f t="shared" si="7"/>
        <v>495</v>
      </c>
      <c r="B496" s="59" t="s">
        <v>28</v>
      </c>
      <c r="C496" s="57">
        <v>45127</v>
      </c>
      <c r="D496" s="57">
        <v>45146</v>
      </c>
      <c r="E496" s="52" t="s">
        <v>790</v>
      </c>
      <c r="F496" s="52" t="s">
        <v>114</v>
      </c>
      <c r="G496" s="52" t="s">
        <v>791</v>
      </c>
      <c r="H496" s="58"/>
      <c r="I496" s="58"/>
      <c r="J496" s="52" t="s">
        <v>792</v>
      </c>
      <c r="K496" s="54" t="s">
        <v>81</v>
      </c>
      <c r="L496" s="54"/>
      <c r="M496" s="54"/>
      <c r="N496" s="54" t="s">
        <v>83</v>
      </c>
      <c r="O496" s="54"/>
      <c r="P496" s="54" t="s">
        <v>80</v>
      </c>
      <c r="Q496" s="59" t="s">
        <v>793</v>
      </c>
      <c r="R496" s="59"/>
    </row>
    <row r="497" spans="1:18" ht="261" x14ac:dyDescent="0.35">
      <c r="A497" s="40">
        <f t="shared" si="7"/>
        <v>496</v>
      </c>
      <c r="B497" s="59" t="s">
        <v>31</v>
      </c>
      <c r="C497" s="57">
        <v>45131</v>
      </c>
      <c r="D497" s="57">
        <v>45143</v>
      </c>
      <c r="E497" s="52" t="s">
        <v>63</v>
      </c>
      <c r="F497" s="52" t="s">
        <v>60</v>
      </c>
      <c r="G497" s="52" t="s">
        <v>794</v>
      </c>
      <c r="H497" s="58">
        <v>4710192.37</v>
      </c>
      <c r="I497" s="58">
        <v>5191346.88</v>
      </c>
      <c r="J497" s="52" t="s">
        <v>795</v>
      </c>
      <c r="K497" s="54" t="s">
        <v>81</v>
      </c>
      <c r="L497" s="54"/>
      <c r="M497" s="54"/>
      <c r="N497" s="54" t="s">
        <v>83</v>
      </c>
      <c r="O497" s="54"/>
      <c r="P497" s="54" t="s">
        <v>80</v>
      </c>
      <c r="Q497" s="59" t="s">
        <v>796</v>
      </c>
      <c r="R497" s="59"/>
    </row>
    <row r="498" spans="1:18" ht="58" x14ac:dyDescent="0.35">
      <c r="A498" s="40">
        <f t="shared" si="7"/>
        <v>497</v>
      </c>
      <c r="B498" s="59" t="s">
        <v>28</v>
      </c>
      <c r="C498" s="57">
        <v>45136</v>
      </c>
      <c r="D498" s="57">
        <v>45142</v>
      </c>
      <c r="E498" s="52" t="s">
        <v>52</v>
      </c>
      <c r="F498" s="52" t="s">
        <v>53</v>
      </c>
      <c r="G498" s="52" t="s">
        <v>797</v>
      </c>
      <c r="H498" s="58"/>
      <c r="I498" s="58"/>
      <c r="J498" s="52" t="s">
        <v>798</v>
      </c>
      <c r="K498" s="54" t="s">
        <v>85</v>
      </c>
      <c r="L498" s="54"/>
      <c r="M498" s="54"/>
      <c r="N498" s="54" t="s">
        <v>83</v>
      </c>
      <c r="O498" s="54"/>
      <c r="P498" s="54" t="s">
        <v>80</v>
      </c>
      <c r="Q498" s="59" t="s">
        <v>799</v>
      </c>
      <c r="R498" s="59"/>
    </row>
    <row r="499" spans="1:18" ht="72.5" x14ac:dyDescent="0.35">
      <c r="A499" s="40">
        <f t="shared" si="7"/>
        <v>498</v>
      </c>
      <c r="B499" s="59" t="s">
        <v>28</v>
      </c>
      <c r="C499" s="57">
        <v>45121</v>
      </c>
      <c r="D499" s="57">
        <v>45141</v>
      </c>
      <c r="E499" s="52" t="s">
        <v>61</v>
      </c>
      <c r="F499" s="52" t="s">
        <v>101</v>
      </c>
      <c r="G499" s="52" t="s">
        <v>800</v>
      </c>
      <c r="H499" s="58"/>
      <c r="I499" s="58"/>
      <c r="J499" s="52" t="s">
        <v>801</v>
      </c>
      <c r="K499" s="54" t="s">
        <v>85</v>
      </c>
      <c r="L499" s="54"/>
      <c r="M499" s="54"/>
      <c r="N499" s="54" t="s">
        <v>83</v>
      </c>
      <c r="O499" s="54"/>
      <c r="P499" s="54" t="s">
        <v>80</v>
      </c>
      <c r="Q499" s="59" t="s">
        <v>802</v>
      </c>
      <c r="R499" s="59"/>
    </row>
    <row r="500" spans="1:18" ht="72.5" x14ac:dyDescent="0.35">
      <c r="A500" s="40">
        <f t="shared" si="7"/>
        <v>499</v>
      </c>
      <c r="B500" s="59" t="s">
        <v>28</v>
      </c>
      <c r="C500" s="57">
        <v>45132</v>
      </c>
      <c r="D500" s="57">
        <v>45141</v>
      </c>
      <c r="E500" s="52" t="s">
        <v>49</v>
      </c>
      <c r="F500" s="52" t="s">
        <v>44</v>
      </c>
      <c r="G500" s="52" t="s">
        <v>803</v>
      </c>
      <c r="H500" s="58"/>
      <c r="I500" s="58"/>
      <c r="J500" s="52" t="s">
        <v>804</v>
      </c>
      <c r="K500" s="54" t="s">
        <v>85</v>
      </c>
      <c r="L500" s="54"/>
      <c r="M500" s="54"/>
      <c r="N500" s="54" t="s">
        <v>83</v>
      </c>
      <c r="O500" s="54"/>
      <c r="P500" s="54" t="s">
        <v>80</v>
      </c>
      <c r="Q500" s="59" t="s">
        <v>805</v>
      </c>
      <c r="R500" s="59"/>
    </row>
    <row r="501" spans="1:18" ht="101.5" x14ac:dyDescent="0.35">
      <c r="A501" s="40">
        <f t="shared" si="7"/>
        <v>500</v>
      </c>
      <c r="B501" s="59" t="s">
        <v>28</v>
      </c>
      <c r="C501" s="57">
        <v>45124</v>
      </c>
      <c r="D501" s="57">
        <v>45138</v>
      </c>
      <c r="E501" s="52" t="s">
        <v>121</v>
      </c>
      <c r="F501" s="52" t="s">
        <v>806</v>
      </c>
      <c r="G501" s="52" t="s">
        <v>807</v>
      </c>
      <c r="H501" s="58"/>
      <c r="I501" s="58"/>
      <c r="J501" s="52" t="s">
        <v>808</v>
      </c>
      <c r="K501" s="54" t="s">
        <v>82</v>
      </c>
      <c r="L501" s="54"/>
      <c r="M501" s="54"/>
      <c r="N501" s="54" t="s">
        <v>83</v>
      </c>
      <c r="O501" s="54"/>
      <c r="P501" s="54" t="s">
        <v>80</v>
      </c>
      <c r="Q501" s="59"/>
      <c r="R501" s="59"/>
    </row>
    <row r="502" spans="1:18" ht="72.5" x14ac:dyDescent="0.35">
      <c r="A502" s="40">
        <f t="shared" si="7"/>
        <v>501</v>
      </c>
      <c r="B502" s="59" t="s">
        <v>28</v>
      </c>
      <c r="C502" s="57">
        <v>45117</v>
      </c>
      <c r="D502" s="57">
        <v>45134</v>
      </c>
      <c r="E502" s="52" t="s">
        <v>76</v>
      </c>
      <c r="F502" s="52" t="s">
        <v>51</v>
      </c>
      <c r="G502" s="54" t="s">
        <v>809</v>
      </c>
      <c r="H502" s="58"/>
      <c r="I502" s="58"/>
      <c r="J502" s="52" t="s">
        <v>810</v>
      </c>
      <c r="K502" s="52" t="s">
        <v>82</v>
      </c>
      <c r="L502" s="54"/>
      <c r="M502" s="54"/>
      <c r="N502" s="54" t="s">
        <v>83</v>
      </c>
      <c r="O502" s="54"/>
      <c r="P502" s="54" t="s">
        <v>80</v>
      </c>
      <c r="Q502" s="59"/>
      <c r="R502" s="59"/>
    </row>
    <row r="503" spans="1:18" ht="116" x14ac:dyDescent="0.35">
      <c r="A503" s="40">
        <f t="shared" si="7"/>
        <v>502</v>
      </c>
      <c r="B503" s="59" t="s">
        <v>28</v>
      </c>
      <c r="C503" s="57">
        <v>45117</v>
      </c>
      <c r="D503" s="57">
        <v>45132</v>
      </c>
      <c r="E503" s="52" t="s">
        <v>811</v>
      </c>
      <c r="F503" s="52" t="s">
        <v>122</v>
      </c>
      <c r="G503" s="52" t="s">
        <v>812</v>
      </c>
      <c r="H503" s="58"/>
      <c r="I503" s="58"/>
      <c r="J503" s="52" t="s">
        <v>813</v>
      </c>
      <c r="K503" s="54" t="s">
        <v>82</v>
      </c>
      <c r="L503" s="54"/>
      <c r="M503" s="54"/>
      <c r="N503" s="54" t="s">
        <v>83</v>
      </c>
      <c r="O503" s="54"/>
      <c r="P503" s="54" t="s">
        <v>80</v>
      </c>
      <c r="Q503" s="59"/>
      <c r="R503" s="59"/>
    </row>
    <row r="504" spans="1:18" ht="275.5" x14ac:dyDescent="0.35">
      <c r="A504" s="40">
        <f t="shared" si="7"/>
        <v>503</v>
      </c>
      <c r="B504" s="59" t="s">
        <v>31</v>
      </c>
      <c r="C504" s="57">
        <v>45124</v>
      </c>
      <c r="D504" s="57">
        <v>45132</v>
      </c>
      <c r="E504" s="52" t="s">
        <v>63</v>
      </c>
      <c r="F504" s="52" t="s">
        <v>60</v>
      </c>
      <c r="G504" s="52" t="s">
        <v>814</v>
      </c>
      <c r="H504" s="58">
        <v>10897972.880000001</v>
      </c>
      <c r="I504" s="58">
        <v>11689118.640000001</v>
      </c>
      <c r="J504" s="52" t="s">
        <v>815</v>
      </c>
      <c r="K504" s="54" t="s">
        <v>81</v>
      </c>
      <c r="L504" s="54"/>
      <c r="M504" s="54"/>
      <c r="N504" s="54" t="s">
        <v>83</v>
      </c>
      <c r="O504" s="54"/>
      <c r="P504" s="54" t="s">
        <v>80</v>
      </c>
      <c r="Q504" s="59" t="s">
        <v>816</v>
      </c>
      <c r="R504" s="59"/>
    </row>
    <row r="505" spans="1:18" ht="87" x14ac:dyDescent="0.35">
      <c r="A505" s="40">
        <f t="shared" si="7"/>
        <v>504</v>
      </c>
      <c r="B505" s="59" t="s">
        <v>28</v>
      </c>
      <c r="C505" s="57">
        <v>45106</v>
      </c>
      <c r="D505" s="57">
        <v>45128</v>
      </c>
      <c r="E505" s="52" t="s">
        <v>105</v>
      </c>
      <c r="F505" s="52" t="s">
        <v>139</v>
      </c>
      <c r="G505" s="52" t="s">
        <v>817</v>
      </c>
      <c r="H505" s="58"/>
      <c r="I505" s="58"/>
      <c r="J505" s="52" t="s">
        <v>818</v>
      </c>
      <c r="K505" s="52" t="s">
        <v>82</v>
      </c>
      <c r="L505" s="54"/>
      <c r="M505" s="54"/>
      <c r="N505" s="54" t="s">
        <v>83</v>
      </c>
      <c r="O505" s="54"/>
      <c r="P505" s="54" t="s">
        <v>80</v>
      </c>
      <c r="Q505" s="52"/>
      <c r="R505" s="54"/>
    </row>
    <row r="506" spans="1:18" ht="101.5" x14ac:dyDescent="0.35">
      <c r="A506" s="40">
        <f t="shared" si="7"/>
        <v>505</v>
      </c>
      <c r="B506" s="59" t="s">
        <v>28</v>
      </c>
      <c r="C506" s="57">
        <v>45110</v>
      </c>
      <c r="D506" s="57">
        <v>45128</v>
      </c>
      <c r="E506" s="52" t="s">
        <v>63</v>
      </c>
      <c r="F506" s="52" t="s">
        <v>819</v>
      </c>
      <c r="G506" s="52" t="s">
        <v>820</v>
      </c>
      <c r="H506" s="58"/>
      <c r="I506" s="58"/>
      <c r="J506" s="52" t="s">
        <v>821</v>
      </c>
      <c r="K506" s="54" t="s">
        <v>79</v>
      </c>
      <c r="L506" s="54"/>
      <c r="M506" s="54"/>
      <c r="N506" s="54" t="s">
        <v>83</v>
      </c>
      <c r="O506" s="54"/>
      <c r="P506" s="54" t="s">
        <v>80</v>
      </c>
      <c r="Q506" s="59"/>
      <c r="R506" s="59"/>
    </row>
    <row r="507" spans="1:18" ht="101.5" x14ac:dyDescent="0.35">
      <c r="A507" s="40">
        <f t="shared" si="7"/>
        <v>506</v>
      </c>
      <c r="B507" s="59" t="s">
        <v>28</v>
      </c>
      <c r="C507" s="57">
        <v>45110</v>
      </c>
      <c r="D507" s="57">
        <v>45126</v>
      </c>
      <c r="E507" s="52" t="s">
        <v>822</v>
      </c>
      <c r="F507" s="52" t="s">
        <v>823</v>
      </c>
      <c r="G507" s="52" t="s">
        <v>824</v>
      </c>
      <c r="H507" s="58"/>
      <c r="I507" s="58"/>
      <c r="J507" s="52" t="s">
        <v>825</v>
      </c>
      <c r="K507" s="54" t="s">
        <v>79</v>
      </c>
      <c r="L507" s="54"/>
      <c r="M507" s="54"/>
      <c r="N507" s="54" t="s">
        <v>83</v>
      </c>
      <c r="O507" s="54"/>
      <c r="P507" s="54" t="s">
        <v>80</v>
      </c>
      <c r="Q507" s="59"/>
      <c r="R507" s="59"/>
    </row>
    <row r="508" spans="1:18" ht="72.5" x14ac:dyDescent="0.35">
      <c r="A508" s="40">
        <f t="shared" si="7"/>
        <v>507</v>
      </c>
      <c r="B508" s="59" t="s">
        <v>28</v>
      </c>
      <c r="C508" s="57">
        <v>45120</v>
      </c>
      <c r="D508" s="57">
        <v>45126</v>
      </c>
      <c r="E508" s="52" t="s">
        <v>106</v>
      </c>
      <c r="F508" s="52" t="s">
        <v>265</v>
      </c>
      <c r="G508" s="52" t="s">
        <v>826</v>
      </c>
      <c r="H508" s="58"/>
      <c r="I508" s="58"/>
      <c r="J508" s="52" t="s">
        <v>827</v>
      </c>
      <c r="K508" s="54" t="s">
        <v>82</v>
      </c>
      <c r="L508" s="54"/>
      <c r="M508" s="54"/>
      <c r="N508" s="54" t="s">
        <v>83</v>
      </c>
      <c r="O508" s="54"/>
      <c r="P508" s="54" t="s">
        <v>80</v>
      </c>
      <c r="Q508" s="53"/>
      <c r="R508" s="59"/>
    </row>
    <row r="509" spans="1:18" ht="101.5" x14ac:dyDescent="0.35">
      <c r="A509" s="40">
        <f t="shared" si="7"/>
        <v>508</v>
      </c>
      <c r="B509" s="59" t="s">
        <v>28</v>
      </c>
      <c r="C509" s="57">
        <v>45120</v>
      </c>
      <c r="D509" s="57">
        <v>45126</v>
      </c>
      <c r="E509" s="52" t="s">
        <v>106</v>
      </c>
      <c r="F509" s="52" t="s">
        <v>265</v>
      </c>
      <c r="G509" s="52" t="s">
        <v>828</v>
      </c>
      <c r="H509" s="58"/>
      <c r="I509" s="58"/>
      <c r="J509" s="52" t="s">
        <v>827</v>
      </c>
      <c r="K509" s="54" t="s">
        <v>82</v>
      </c>
      <c r="L509" s="54"/>
      <c r="M509" s="54"/>
      <c r="N509" s="54" t="s">
        <v>83</v>
      </c>
      <c r="O509" s="54"/>
      <c r="P509" s="54" t="s">
        <v>80</v>
      </c>
      <c r="Q509" s="53"/>
      <c r="R509" s="59"/>
    </row>
    <row r="510" spans="1:18" ht="101.5" x14ac:dyDescent="0.35">
      <c r="A510" s="40">
        <f t="shared" si="7"/>
        <v>509</v>
      </c>
      <c r="B510" s="59" t="s">
        <v>28</v>
      </c>
      <c r="C510" s="57">
        <v>45120</v>
      </c>
      <c r="D510" s="57">
        <v>45126</v>
      </c>
      <c r="E510" s="52" t="s">
        <v>106</v>
      </c>
      <c r="F510" s="52" t="s">
        <v>265</v>
      </c>
      <c r="G510" s="52" t="s">
        <v>829</v>
      </c>
      <c r="H510" s="58"/>
      <c r="I510" s="58"/>
      <c r="J510" s="52" t="s">
        <v>827</v>
      </c>
      <c r="K510" s="54" t="s">
        <v>82</v>
      </c>
      <c r="L510" s="54"/>
      <c r="M510" s="54"/>
      <c r="N510" s="54" t="s">
        <v>83</v>
      </c>
      <c r="O510" s="54"/>
      <c r="P510" s="54" t="s">
        <v>80</v>
      </c>
      <c r="Q510" s="59"/>
      <c r="R510" s="59"/>
    </row>
    <row r="511" spans="1:18" ht="87" x14ac:dyDescent="0.35">
      <c r="A511" s="40">
        <f t="shared" si="7"/>
        <v>510</v>
      </c>
      <c r="B511" s="59" t="s">
        <v>28</v>
      </c>
      <c r="C511" s="57">
        <v>45120</v>
      </c>
      <c r="D511" s="57">
        <v>45126</v>
      </c>
      <c r="E511" s="52" t="s">
        <v>106</v>
      </c>
      <c r="F511" s="52" t="s">
        <v>265</v>
      </c>
      <c r="G511" s="52" t="s">
        <v>830</v>
      </c>
      <c r="H511" s="58"/>
      <c r="I511" s="58"/>
      <c r="J511" s="52" t="s">
        <v>827</v>
      </c>
      <c r="K511" s="54" t="s">
        <v>82</v>
      </c>
      <c r="L511" s="54"/>
      <c r="M511" s="54"/>
      <c r="N511" s="54" t="s">
        <v>83</v>
      </c>
      <c r="O511" s="54"/>
      <c r="P511" s="54" t="s">
        <v>80</v>
      </c>
      <c r="Q511" s="59"/>
      <c r="R511" s="59"/>
    </row>
    <row r="512" spans="1:18" ht="72.5" x14ac:dyDescent="0.35">
      <c r="A512" s="40">
        <f t="shared" si="7"/>
        <v>511</v>
      </c>
      <c r="B512" s="59" t="s">
        <v>28</v>
      </c>
      <c r="C512" s="57">
        <v>45120</v>
      </c>
      <c r="D512" s="57">
        <v>45126</v>
      </c>
      <c r="E512" s="52" t="s">
        <v>106</v>
      </c>
      <c r="F512" s="52" t="s">
        <v>265</v>
      </c>
      <c r="G512" s="52" t="s">
        <v>831</v>
      </c>
      <c r="H512" s="58"/>
      <c r="I512" s="58"/>
      <c r="J512" s="52" t="s">
        <v>827</v>
      </c>
      <c r="K512" s="52" t="s">
        <v>82</v>
      </c>
      <c r="L512" s="54"/>
      <c r="M512" s="54"/>
      <c r="N512" s="54" t="s">
        <v>83</v>
      </c>
      <c r="O512" s="54"/>
      <c r="P512" s="54" t="s">
        <v>80</v>
      </c>
      <c r="Q512" s="52"/>
      <c r="R512" s="54"/>
    </row>
    <row r="513" spans="1:18" ht="130.5" x14ac:dyDescent="0.35">
      <c r="A513" s="40">
        <f t="shared" si="7"/>
        <v>512</v>
      </c>
      <c r="B513" s="59" t="s">
        <v>28</v>
      </c>
      <c r="C513" s="57">
        <v>45103</v>
      </c>
      <c r="D513" s="57">
        <v>45125</v>
      </c>
      <c r="E513" s="52" t="s">
        <v>832</v>
      </c>
      <c r="F513" s="52" t="s">
        <v>43</v>
      </c>
      <c r="G513" s="52" t="s">
        <v>833</v>
      </c>
      <c r="H513" s="58"/>
      <c r="I513" s="58"/>
      <c r="J513" s="52" t="s">
        <v>834</v>
      </c>
      <c r="K513" s="52" t="s">
        <v>81</v>
      </c>
      <c r="L513" s="52"/>
      <c r="M513" s="54"/>
      <c r="N513" s="52" t="s">
        <v>83</v>
      </c>
      <c r="O513" s="54"/>
      <c r="P513" s="54" t="s">
        <v>80</v>
      </c>
      <c r="Q513" s="59"/>
      <c r="R513" s="59"/>
    </row>
    <row r="514" spans="1:18" ht="58" x14ac:dyDescent="0.35">
      <c r="A514" s="40">
        <f t="shared" ref="A514:A577" si="8">ROW()-1</f>
        <v>513</v>
      </c>
      <c r="B514" s="59" t="s">
        <v>28</v>
      </c>
      <c r="C514" s="57">
        <v>45093</v>
      </c>
      <c r="D514" s="57">
        <v>45124</v>
      </c>
      <c r="E514" s="52" t="s">
        <v>105</v>
      </c>
      <c r="F514" s="52" t="s">
        <v>110</v>
      </c>
      <c r="G514" s="52" t="s">
        <v>835</v>
      </c>
      <c r="H514" s="58"/>
      <c r="I514" s="58"/>
      <c r="J514" s="52" t="s">
        <v>836</v>
      </c>
      <c r="K514" s="54" t="s">
        <v>82</v>
      </c>
      <c r="L514" s="54"/>
      <c r="M514" s="54"/>
      <c r="N514" s="54" t="s">
        <v>83</v>
      </c>
      <c r="O514" s="54"/>
      <c r="P514" s="54" t="s">
        <v>80</v>
      </c>
      <c r="Q514" s="59"/>
      <c r="R514" s="59"/>
    </row>
    <row r="515" spans="1:18" ht="58" x14ac:dyDescent="0.35">
      <c r="A515" s="40">
        <f t="shared" si="8"/>
        <v>514</v>
      </c>
      <c r="B515" s="59" t="s">
        <v>28</v>
      </c>
      <c r="C515" s="57">
        <v>45104</v>
      </c>
      <c r="D515" s="57">
        <v>45124</v>
      </c>
      <c r="E515" s="52" t="s">
        <v>61</v>
      </c>
      <c r="F515" s="53" t="s">
        <v>101</v>
      </c>
      <c r="G515" s="53" t="s">
        <v>837</v>
      </c>
      <c r="H515" s="58"/>
      <c r="I515" s="58"/>
      <c r="J515" s="52" t="s">
        <v>838</v>
      </c>
      <c r="K515" s="53" t="s">
        <v>85</v>
      </c>
      <c r="L515" s="54"/>
      <c r="M515" s="59"/>
      <c r="N515" s="54" t="s">
        <v>83</v>
      </c>
      <c r="O515" s="54"/>
      <c r="P515" s="54" t="s">
        <v>80</v>
      </c>
      <c r="Q515" s="59"/>
      <c r="R515" s="59"/>
    </row>
    <row r="516" spans="1:18" ht="130.5" x14ac:dyDescent="0.35">
      <c r="A516" s="40">
        <f t="shared" si="8"/>
        <v>515</v>
      </c>
      <c r="B516" s="59" t="s">
        <v>28</v>
      </c>
      <c r="C516" s="57">
        <v>45111</v>
      </c>
      <c r="D516" s="57">
        <v>45124</v>
      </c>
      <c r="E516" s="52" t="s">
        <v>163</v>
      </c>
      <c r="F516" s="52" t="s">
        <v>43</v>
      </c>
      <c r="G516" s="52" t="s">
        <v>839</v>
      </c>
      <c r="H516" s="58"/>
      <c r="I516" s="58"/>
      <c r="J516" s="52" t="s">
        <v>840</v>
      </c>
      <c r="K516" s="52" t="s">
        <v>81</v>
      </c>
      <c r="L516" s="54"/>
      <c r="M516" s="54"/>
      <c r="N516" s="54" t="s">
        <v>83</v>
      </c>
      <c r="O516" s="54"/>
      <c r="P516" s="54" t="s">
        <v>80</v>
      </c>
      <c r="Q516" s="54"/>
      <c r="R516" s="54"/>
    </row>
    <row r="517" spans="1:18" ht="72.5" x14ac:dyDescent="0.35">
      <c r="A517" s="40">
        <f t="shared" si="8"/>
        <v>516</v>
      </c>
      <c r="B517" s="59" t="s">
        <v>28</v>
      </c>
      <c r="C517" s="57">
        <v>45111</v>
      </c>
      <c r="D517" s="57">
        <v>45124</v>
      </c>
      <c r="E517" s="52" t="s">
        <v>63</v>
      </c>
      <c r="F517" s="52" t="s">
        <v>107</v>
      </c>
      <c r="G517" s="54" t="s">
        <v>841</v>
      </c>
      <c r="H517" s="58"/>
      <c r="I517" s="58"/>
      <c r="J517" s="52" t="s">
        <v>842</v>
      </c>
      <c r="K517" s="52" t="s">
        <v>82</v>
      </c>
      <c r="L517" s="54"/>
      <c r="M517" s="54"/>
      <c r="N517" s="54" t="s">
        <v>83</v>
      </c>
      <c r="O517" s="54"/>
      <c r="P517" s="54" t="s">
        <v>80</v>
      </c>
      <c r="Q517" s="54"/>
      <c r="R517" s="54"/>
    </row>
    <row r="518" spans="1:18" ht="409.5" x14ac:dyDescent="0.35">
      <c r="A518" s="40">
        <f t="shared" si="8"/>
        <v>517</v>
      </c>
      <c r="B518" s="59" t="s">
        <v>31</v>
      </c>
      <c r="C518" s="57">
        <v>45103</v>
      </c>
      <c r="D518" s="57">
        <v>45121</v>
      </c>
      <c r="E518" s="52" t="s">
        <v>52</v>
      </c>
      <c r="F518" s="52" t="s">
        <v>43</v>
      </c>
      <c r="G518" s="54" t="s">
        <v>843</v>
      </c>
      <c r="H518" s="58">
        <v>81787020</v>
      </c>
      <c r="I518" s="58">
        <v>84987000</v>
      </c>
      <c r="J518" s="52" t="s">
        <v>844</v>
      </c>
      <c r="K518" s="52" t="s">
        <v>81</v>
      </c>
      <c r="L518" s="54"/>
      <c r="M518" s="54"/>
      <c r="N518" s="54" t="s">
        <v>83</v>
      </c>
      <c r="O518" s="54"/>
      <c r="P518" s="54" t="s">
        <v>80</v>
      </c>
      <c r="Q518" s="54" t="s">
        <v>845</v>
      </c>
      <c r="R518" s="54"/>
    </row>
    <row r="519" spans="1:18" ht="87" x14ac:dyDescent="0.35">
      <c r="A519" s="40">
        <f t="shared" si="8"/>
        <v>518</v>
      </c>
      <c r="B519" s="59" t="s">
        <v>28</v>
      </c>
      <c r="C519" s="57">
        <v>45106</v>
      </c>
      <c r="D519" s="57">
        <v>45121</v>
      </c>
      <c r="E519" s="52" t="s">
        <v>127</v>
      </c>
      <c r="F519" s="52" t="s">
        <v>97</v>
      </c>
      <c r="G519" s="52" t="s">
        <v>846</v>
      </c>
      <c r="H519" s="58"/>
      <c r="I519" s="58"/>
      <c r="J519" s="52" t="s">
        <v>847</v>
      </c>
      <c r="K519" s="52" t="s">
        <v>79</v>
      </c>
      <c r="L519" s="54"/>
      <c r="M519" s="54"/>
      <c r="N519" s="54" t="s">
        <v>83</v>
      </c>
      <c r="O519" s="54"/>
      <c r="P519" s="54" t="s">
        <v>80</v>
      </c>
      <c r="Q519" s="54"/>
      <c r="R519" s="54"/>
    </row>
    <row r="520" spans="1:18" ht="87" x14ac:dyDescent="0.35">
      <c r="A520" s="40">
        <f t="shared" si="8"/>
        <v>519</v>
      </c>
      <c r="B520" s="59" t="s">
        <v>28</v>
      </c>
      <c r="C520" s="57">
        <v>45106</v>
      </c>
      <c r="D520" s="57">
        <v>45121</v>
      </c>
      <c r="E520" s="52" t="s">
        <v>127</v>
      </c>
      <c r="F520" s="52" t="s">
        <v>97</v>
      </c>
      <c r="G520" s="52" t="s">
        <v>848</v>
      </c>
      <c r="H520" s="58"/>
      <c r="I520" s="58"/>
      <c r="J520" s="52" t="s">
        <v>849</v>
      </c>
      <c r="K520" s="52" t="s">
        <v>79</v>
      </c>
      <c r="L520" s="54"/>
      <c r="M520" s="54"/>
      <c r="N520" s="54" t="s">
        <v>83</v>
      </c>
      <c r="O520" s="54"/>
      <c r="P520" s="54" t="s">
        <v>80</v>
      </c>
      <c r="Q520" s="53"/>
      <c r="R520" s="59"/>
    </row>
    <row r="521" spans="1:18" ht="72.5" x14ac:dyDescent="0.35">
      <c r="A521" s="40">
        <f t="shared" si="8"/>
        <v>520</v>
      </c>
      <c r="B521" s="59" t="s">
        <v>28</v>
      </c>
      <c r="C521" s="57">
        <v>45099</v>
      </c>
      <c r="D521" s="57">
        <v>45119</v>
      </c>
      <c r="E521" s="52" t="s">
        <v>850</v>
      </c>
      <c r="F521" s="52" t="s">
        <v>851</v>
      </c>
      <c r="G521" s="52" t="s">
        <v>852</v>
      </c>
      <c r="H521" s="58"/>
      <c r="I521" s="58"/>
      <c r="J521" s="52" t="s">
        <v>853</v>
      </c>
      <c r="K521" s="52" t="s">
        <v>85</v>
      </c>
      <c r="L521" s="54"/>
      <c r="M521" s="54"/>
      <c r="N521" s="54" t="s">
        <v>83</v>
      </c>
      <c r="O521" s="54"/>
      <c r="P521" s="54" t="s">
        <v>80</v>
      </c>
      <c r="Q521" s="53"/>
      <c r="R521" s="59"/>
    </row>
    <row r="522" spans="1:18" ht="174" x14ac:dyDescent="0.35">
      <c r="A522" s="40">
        <f t="shared" si="8"/>
        <v>521</v>
      </c>
      <c r="B522" s="59" t="s">
        <v>28</v>
      </c>
      <c r="C522" s="57">
        <v>45106</v>
      </c>
      <c r="D522" s="57">
        <v>45119</v>
      </c>
      <c r="E522" s="52" t="s">
        <v>99</v>
      </c>
      <c r="F522" s="52" t="s">
        <v>854</v>
      </c>
      <c r="G522" s="52" t="s">
        <v>855</v>
      </c>
      <c r="H522" s="58"/>
      <c r="I522" s="58"/>
      <c r="J522" s="52" t="s">
        <v>856</v>
      </c>
      <c r="K522" s="54" t="s">
        <v>85</v>
      </c>
      <c r="L522" s="54"/>
      <c r="M522" s="54"/>
      <c r="N522" s="54" t="s">
        <v>83</v>
      </c>
      <c r="O522" s="54"/>
      <c r="P522" s="54" t="s">
        <v>80</v>
      </c>
      <c r="Q522" s="59"/>
      <c r="R522" s="59"/>
    </row>
    <row r="523" spans="1:18" ht="72.5" x14ac:dyDescent="0.35">
      <c r="A523" s="40">
        <f t="shared" si="8"/>
        <v>522</v>
      </c>
      <c r="B523" s="59" t="s">
        <v>28</v>
      </c>
      <c r="C523" s="57">
        <v>45107</v>
      </c>
      <c r="D523" s="57">
        <v>45119</v>
      </c>
      <c r="E523" s="52" t="s">
        <v>63</v>
      </c>
      <c r="F523" s="52" t="s">
        <v>110</v>
      </c>
      <c r="G523" s="52" t="s">
        <v>857</v>
      </c>
      <c r="H523" s="58"/>
      <c r="I523" s="58"/>
      <c r="J523" s="52" t="s">
        <v>858</v>
      </c>
      <c r="K523" s="54" t="s">
        <v>82</v>
      </c>
      <c r="L523" s="54"/>
      <c r="M523" s="54"/>
      <c r="N523" s="54" t="s">
        <v>83</v>
      </c>
      <c r="O523" s="54"/>
      <c r="P523" s="54" t="s">
        <v>80</v>
      </c>
      <c r="Q523" s="61"/>
      <c r="R523" s="59"/>
    </row>
    <row r="524" spans="1:18" ht="29" x14ac:dyDescent="0.35">
      <c r="A524" s="40">
        <f t="shared" si="8"/>
        <v>523</v>
      </c>
      <c r="B524" s="59" t="s">
        <v>28</v>
      </c>
      <c r="C524" s="57">
        <v>45097</v>
      </c>
      <c r="D524" s="57">
        <v>45117</v>
      </c>
      <c r="E524" s="52" t="s">
        <v>859</v>
      </c>
      <c r="F524" s="52" t="s">
        <v>860</v>
      </c>
      <c r="G524" s="52" t="s">
        <v>861</v>
      </c>
      <c r="H524" s="58"/>
      <c r="I524" s="58"/>
      <c r="J524" s="52" t="s">
        <v>862</v>
      </c>
      <c r="K524" s="52" t="s">
        <v>82</v>
      </c>
      <c r="L524" s="52"/>
      <c r="M524" s="54"/>
      <c r="N524" s="52" t="s">
        <v>83</v>
      </c>
      <c r="O524" s="54"/>
      <c r="P524" s="54" t="s">
        <v>80</v>
      </c>
      <c r="Q524" s="61"/>
      <c r="R524" s="59"/>
    </row>
    <row r="525" spans="1:18" ht="43.5" x14ac:dyDescent="0.35">
      <c r="A525" s="40">
        <f t="shared" si="8"/>
        <v>524</v>
      </c>
      <c r="B525" s="59" t="s">
        <v>29</v>
      </c>
      <c r="C525" s="57">
        <v>45113</v>
      </c>
      <c r="D525" s="57">
        <v>45117</v>
      </c>
      <c r="E525" s="52" t="s">
        <v>863</v>
      </c>
      <c r="F525" s="52" t="s">
        <v>66</v>
      </c>
      <c r="G525" s="52" t="s">
        <v>864</v>
      </c>
      <c r="H525" s="58">
        <v>1865366</v>
      </c>
      <c r="I525" s="58">
        <v>1865366</v>
      </c>
      <c r="J525" s="52" t="s">
        <v>865</v>
      </c>
      <c r="K525" s="52" t="s">
        <v>84</v>
      </c>
      <c r="L525" s="54"/>
      <c r="M525" s="54"/>
      <c r="N525" s="54" t="s">
        <v>83</v>
      </c>
      <c r="O525" s="54"/>
      <c r="P525" s="54" t="s">
        <v>80</v>
      </c>
      <c r="Q525" s="54"/>
      <c r="R525" s="54"/>
    </row>
    <row r="526" spans="1:18" ht="145" x14ac:dyDescent="0.35">
      <c r="A526" s="40">
        <f t="shared" si="8"/>
        <v>525</v>
      </c>
      <c r="B526" s="59" t="s">
        <v>31</v>
      </c>
      <c r="C526" s="57">
        <v>45096</v>
      </c>
      <c r="D526" s="57">
        <v>45115</v>
      </c>
      <c r="E526" s="52" t="s">
        <v>866</v>
      </c>
      <c r="F526" s="52" t="s">
        <v>43</v>
      </c>
      <c r="G526" s="52" t="s">
        <v>867</v>
      </c>
      <c r="H526" s="58">
        <v>23310918.789999999</v>
      </c>
      <c r="I526" s="58">
        <v>24154588</v>
      </c>
      <c r="J526" s="52" t="s">
        <v>868</v>
      </c>
      <c r="K526" s="54" t="s">
        <v>81</v>
      </c>
      <c r="L526" s="54"/>
      <c r="M526" s="54"/>
      <c r="N526" s="54" t="s">
        <v>83</v>
      </c>
      <c r="O526" s="54"/>
      <c r="P526" s="54" t="s">
        <v>80</v>
      </c>
      <c r="Q526" s="59" t="s">
        <v>869</v>
      </c>
      <c r="R526" s="59"/>
    </row>
    <row r="527" spans="1:18" ht="72.5" x14ac:dyDescent="0.35">
      <c r="A527" s="40">
        <f t="shared" si="8"/>
        <v>526</v>
      </c>
      <c r="B527" s="59" t="s">
        <v>27</v>
      </c>
      <c r="C527" s="57">
        <v>45100</v>
      </c>
      <c r="D527" s="57">
        <v>45115</v>
      </c>
      <c r="E527" s="52" t="s">
        <v>96</v>
      </c>
      <c r="F527" s="52" t="s">
        <v>45</v>
      </c>
      <c r="G527" s="54" t="s">
        <v>870</v>
      </c>
      <c r="H527" s="58"/>
      <c r="I527" s="58">
        <v>8409318.1400000006</v>
      </c>
      <c r="J527" s="52" t="s">
        <v>871</v>
      </c>
      <c r="K527" s="52" t="s">
        <v>81</v>
      </c>
      <c r="L527" s="54"/>
      <c r="M527" s="54"/>
      <c r="N527" s="54" t="s">
        <v>83</v>
      </c>
      <c r="O527" s="54"/>
      <c r="P527" s="54" t="s">
        <v>80</v>
      </c>
      <c r="Q527" s="59"/>
      <c r="R527" s="59"/>
    </row>
    <row r="528" spans="1:18" ht="72.5" x14ac:dyDescent="0.35">
      <c r="A528" s="40">
        <f t="shared" si="8"/>
        <v>527</v>
      </c>
      <c r="B528" s="59" t="s">
        <v>28</v>
      </c>
      <c r="C528" s="57">
        <v>45104</v>
      </c>
      <c r="D528" s="57">
        <v>45115</v>
      </c>
      <c r="E528" s="52" t="s">
        <v>63</v>
      </c>
      <c r="F528" s="52" t="s">
        <v>93</v>
      </c>
      <c r="G528" s="52" t="s">
        <v>872</v>
      </c>
      <c r="H528" s="58"/>
      <c r="I528" s="58"/>
      <c r="J528" s="52" t="s">
        <v>873</v>
      </c>
      <c r="K528" s="52" t="s">
        <v>82</v>
      </c>
      <c r="L528" s="54"/>
      <c r="M528" s="54"/>
      <c r="N528" s="54" t="s">
        <v>83</v>
      </c>
      <c r="O528" s="54"/>
      <c r="P528" s="54" t="s">
        <v>80</v>
      </c>
      <c r="Q528" s="59"/>
      <c r="R528" s="59"/>
    </row>
    <row r="529" spans="1:18" ht="409.5" x14ac:dyDescent="0.35">
      <c r="A529" s="40">
        <f t="shared" si="8"/>
        <v>528</v>
      </c>
      <c r="B529" s="59" t="s">
        <v>31</v>
      </c>
      <c r="C529" s="57">
        <v>45106</v>
      </c>
      <c r="D529" s="57">
        <v>45114</v>
      </c>
      <c r="E529" s="52" t="s">
        <v>73</v>
      </c>
      <c r="F529" s="52" t="s">
        <v>47</v>
      </c>
      <c r="G529" s="52">
        <v>3300010222</v>
      </c>
      <c r="H529" s="58">
        <v>35882802.549999997</v>
      </c>
      <c r="I529" s="58">
        <v>38583612.666239999</v>
      </c>
      <c r="J529" s="52" t="s">
        <v>874</v>
      </c>
      <c r="K529" s="54" t="s">
        <v>85</v>
      </c>
      <c r="L529" s="54"/>
      <c r="M529" s="54"/>
      <c r="N529" s="54" t="s">
        <v>83</v>
      </c>
      <c r="O529" s="54"/>
      <c r="P529" s="54" t="s">
        <v>80</v>
      </c>
      <c r="Q529" s="53"/>
      <c r="R529" s="59" t="s">
        <v>875</v>
      </c>
    </row>
    <row r="530" spans="1:18" ht="101.5" x14ac:dyDescent="0.35">
      <c r="A530" s="40">
        <f t="shared" si="8"/>
        <v>529</v>
      </c>
      <c r="B530" s="59" t="s">
        <v>28</v>
      </c>
      <c r="C530" s="57">
        <v>45090</v>
      </c>
      <c r="D530" s="57">
        <v>45111</v>
      </c>
      <c r="E530" s="52" t="s">
        <v>63</v>
      </c>
      <c r="F530" s="52" t="s">
        <v>60</v>
      </c>
      <c r="G530" s="52" t="s">
        <v>876</v>
      </c>
      <c r="H530" s="58"/>
      <c r="I530" s="58"/>
      <c r="J530" s="52" t="s">
        <v>877</v>
      </c>
      <c r="K530" s="54" t="s">
        <v>81</v>
      </c>
      <c r="L530" s="54"/>
      <c r="M530" s="54"/>
      <c r="N530" s="54" t="s">
        <v>83</v>
      </c>
      <c r="O530" s="54"/>
      <c r="P530" s="54" t="s">
        <v>80</v>
      </c>
      <c r="Q530" s="59"/>
      <c r="R530" s="59"/>
    </row>
    <row r="531" spans="1:18" ht="72.5" x14ac:dyDescent="0.35">
      <c r="A531" s="40">
        <f t="shared" si="8"/>
        <v>530</v>
      </c>
      <c r="B531" s="59" t="s">
        <v>28</v>
      </c>
      <c r="C531" s="57">
        <v>45094</v>
      </c>
      <c r="D531" s="57">
        <v>45111</v>
      </c>
      <c r="E531" s="52" t="s">
        <v>63</v>
      </c>
      <c r="F531" s="52" t="s">
        <v>878</v>
      </c>
      <c r="G531" s="52" t="s">
        <v>879</v>
      </c>
      <c r="H531" s="58"/>
      <c r="I531" s="58"/>
      <c r="J531" s="52" t="s">
        <v>880</v>
      </c>
      <c r="K531" s="54" t="s">
        <v>79</v>
      </c>
      <c r="L531" s="54"/>
      <c r="M531" s="54"/>
      <c r="N531" s="54" t="s">
        <v>83</v>
      </c>
      <c r="O531" s="54"/>
      <c r="P531" s="54" t="s">
        <v>80</v>
      </c>
      <c r="Q531" s="59" t="s">
        <v>881</v>
      </c>
      <c r="R531" s="59"/>
    </row>
    <row r="532" spans="1:18" ht="377" x14ac:dyDescent="0.35">
      <c r="A532" s="40">
        <f t="shared" si="8"/>
        <v>531</v>
      </c>
      <c r="B532" s="59" t="s">
        <v>31</v>
      </c>
      <c r="C532" s="57">
        <v>45110</v>
      </c>
      <c r="D532" s="57">
        <v>45111</v>
      </c>
      <c r="E532" s="52" t="s">
        <v>52</v>
      </c>
      <c r="F532" s="52" t="s">
        <v>53</v>
      </c>
      <c r="G532" s="52" t="s">
        <v>882</v>
      </c>
      <c r="H532" s="58">
        <v>3839969.49</v>
      </c>
      <c r="I532" s="58">
        <v>6233347.94953846</v>
      </c>
      <c r="J532" s="52" t="s">
        <v>883</v>
      </c>
      <c r="K532" s="54" t="s">
        <v>85</v>
      </c>
      <c r="L532" s="54"/>
      <c r="M532" s="54"/>
      <c r="N532" s="54" t="s">
        <v>83</v>
      </c>
      <c r="O532" s="54"/>
      <c r="P532" s="54" t="s">
        <v>80</v>
      </c>
      <c r="Q532" s="53" t="s">
        <v>884</v>
      </c>
      <c r="R532" s="59"/>
    </row>
    <row r="533" spans="1:18" ht="87" x14ac:dyDescent="0.35">
      <c r="A533" s="40">
        <f t="shared" si="8"/>
        <v>532</v>
      </c>
      <c r="B533" s="59" t="s">
        <v>28</v>
      </c>
      <c r="C533" s="57">
        <v>45090</v>
      </c>
      <c r="D533" s="57">
        <v>45110</v>
      </c>
      <c r="E533" s="52" t="s">
        <v>885</v>
      </c>
      <c r="F533" s="52" t="s">
        <v>126</v>
      </c>
      <c r="G533" s="52" t="s">
        <v>886</v>
      </c>
      <c r="H533" s="58"/>
      <c r="I533" s="58"/>
      <c r="J533" s="52" t="s">
        <v>887</v>
      </c>
      <c r="K533" s="52" t="s">
        <v>79</v>
      </c>
      <c r="L533" s="54"/>
      <c r="M533" s="59"/>
      <c r="N533" s="54" t="s">
        <v>83</v>
      </c>
      <c r="O533" s="59"/>
      <c r="P533" s="54" t="s">
        <v>80</v>
      </c>
      <c r="Q533" s="59"/>
      <c r="R533" s="59"/>
    </row>
    <row r="534" spans="1:18" ht="58" x14ac:dyDescent="0.35">
      <c r="A534" s="40">
        <f t="shared" si="8"/>
        <v>533</v>
      </c>
      <c r="B534" s="59" t="s">
        <v>28</v>
      </c>
      <c r="C534" s="57">
        <v>45090</v>
      </c>
      <c r="D534" s="57">
        <v>45110</v>
      </c>
      <c r="E534" s="52" t="s">
        <v>63</v>
      </c>
      <c r="F534" s="52" t="s">
        <v>110</v>
      </c>
      <c r="G534" s="52" t="s">
        <v>888</v>
      </c>
      <c r="H534" s="58"/>
      <c r="I534" s="58"/>
      <c r="J534" s="52" t="s">
        <v>889</v>
      </c>
      <c r="K534" s="52" t="s">
        <v>82</v>
      </c>
      <c r="L534" s="54"/>
      <c r="M534" s="54"/>
      <c r="N534" s="54" t="s">
        <v>83</v>
      </c>
      <c r="O534" s="54"/>
      <c r="P534" s="54" t="s">
        <v>80</v>
      </c>
      <c r="Q534" s="52"/>
      <c r="R534" s="54"/>
    </row>
    <row r="535" spans="1:18" ht="130.5" x14ac:dyDescent="0.35">
      <c r="A535" s="40">
        <f t="shared" si="8"/>
        <v>534</v>
      </c>
      <c r="B535" s="59" t="s">
        <v>28</v>
      </c>
      <c r="C535" s="57">
        <v>45104</v>
      </c>
      <c r="D535" s="57">
        <v>45108</v>
      </c>
      <c r="E535" s="52" t="s">
        <v>73</v>
      </c>
      <c r="F535" s="52" t="s">
        <v>47</v>
      </c>
      <c r="G535" s="52">
        <v>3300010276</v>
      </c>
      <c r="H535" s="58"/>
      <c r="I535" s="58"/>
      <c r="J535" s="52" t="s">
        <v>890</v>
      </c>
      <c r="K535" s="54" t="s">
        <v>85</v>
      </c>
      <c r="L535" s="54"/>
      <c r="M535" s="54"/>
      <c r="N535" s="54" t="s">
        <v>83</v>
      </c>
      <c r="O535" s="54"/>
      <c r="P535" s="54" t="s">
        <v>80</v>
      </c>
      <c r="Q535" s="59"/>
      <c r="R535" s="59"/>
    </row>
    <row r="536" spans="1:18" ht="406" x14ac:dyDescent="0.35">
      <c r="A536" s="40">
        <f t="shared" si="8"/>
        <v>535</v>
      </c>
      <c r="B536" s="59" t="s">
        <v>31</v>
      </c>
      <c r="C536" s="57">
        <v>45096</v>
      </c>
      <c r="D536" s="57">
        <v>45107</v>
      </c>
      <c r="E536" s="52" t="s">
        <v>106</v>
      </c>
      <c r="F536" s="52" t="s">
        <v>265</v>
      </c>
      <c r="G536" s="52" t="s">
        <v>891</v>
      </c>
      <c r="H536" s="58">
        <v>14085242.99</v>
      </c>
      <c r="I536" s="58">
        <v>14285750.991525427</v>
      </c>
      <c r="J536" s="52" t="s">
        <v>892</v>
      </c>
      <c r="K536" s="52" t="s">
        <v>82</v>
      </c>
      <c r="L536" s="54"/>
      <c r="M536" s="54"/>
      <c r="N536" s="54" t="s">
        <v>83</v>
      </c>
      <c r="O536" s="54"/>
      <c r="P536" s="54" t="s">
        <v>80</v>
      </c>
      <c r="Q536" s="52" t="s">
        <v>893</v>
      </c>
      <c r="R536" s="54"/>
    </row>
    <row r="537" spans="1:18" ht="72.5" x14ac:dyDescent="0.35">
      <c r="A537" s="40">
        <f t="shared" si="8"/>
        <v>536</v>
      </c>
      <c r="B537" s="59" t="s">
        <v>28</v>
      </c>
      <c r="C537" s="57">
        <v>45104</v>
      </c>
      <c r="D537" s="57">
        <v>45107</v>
      </c>
      <c r="E537" s="52" t="s">
        <v>63</v>
      </c>
      <c r="F537" s="52" t="s">
        <v>65</v>
      </c>
      <c r="G537" s="52" t="s">
        <v>894</v>
      </c>
      <c r="H537" s="58"/>
      <c r="I537" s="58"/>
      <c r="J537" s="52" t="s">
        <v>895</v>
      </c>
      <c r="K537" s="54" t="s">
        <v>82</v>
      </c>
      <c r="L537" s="54"/>
      <c r="M537" s="54"/>
      <c r="N537" s="54" t="s">
        <v>83</v>
      </c>
      <c r="O537" s="54"/>
      <c r="P537" s="54" t="s">
        <v>80</v>
      </c>
      <c r="Q537" s="59"/>
      <c r="R537" s="59"/>
    </row>
    <row r="538" spans="1:18" ht="275.5" x14ac:dyDescent="0.35">
      <c r="A538" s="40">
        <f t="shared" si="8"/>
        <v>537</v>
      </c>
      <c r="B538" s="59" t="s">
        <v>31</v>
      </c>
      <c r="C538" s="57">
        <v>45097</v>
      </c>
      <c r="D538" s="57">
        <v>45106</v>
      </c>
      <c r="E538" s="52" t="s">
        <v>73</v>
      </c>
      <c r="F538" s="54" t="s">
        <v>101</v>
      </c>
      <c r="G538" s="52">
        <v>3300010180</v>
      </c>
      <c r="H538" s="58">
        <v>14323525.720000001</v>
      </c>
      <c r="I538" s="58">
        <v>22677412.43</v>
      </c>
      <c r="J538" s="52" t="s">
        <v>896</v>
      </c>
      <c r="K538" s="52" t="s">
        <v>85</v>
      </c>
      <c r="L538" s="54"/>
      <c r="M538" s="54"/>
      <c r="N538" s="54" t="s">
        <v>83</v>
      </c>
      <c r="O538" s="54"/>
      <c r="P538" s="54" t="s">
        <v>80</v>
      </c>
      <c r="Q538" s="59" t="s">
        <v>897</v>
      </c>
      <c r="R538" s="59"/>
    </row>
    <row r="539" spans="1:18" ht="217.5" x14ac:dyDescent="0.35">
      <c r="A539" s="40">
        <f t="shared" si="8"/>
        <v>538</v>
      </c>
      <c r="B539" s="59" t="s">
        <v>31</v>
      </c>
      <c r="C539" s="57">
        <v>45086</v>
      </c>
      <c r="D539" s="57">
        <v>45104</v>
      </c>
      <c r="E539" s="52" t="s">
        <v>73</v>
      </c>
      <c r="F539" s="52" t="s">
        <v>47</v>
      </c>
      <c r="G539" s="52" t="s">
        <v>898</v>
      </c>
      <c r="H539" s="58">
        <v>15020038.130000001</v>
      </c>
      <c r="I539" s="58">
        <v>24867689.491525427</v>
      </c>
      <c r="J539" s="52" t="s">
        <v>899</v>
      </c>
      <c r="K539" s="54" t="s">
        <v>85</v>
      </c>
      <c r="L539" s="54"/>
      <c r="M539" s="54"/>
      <c r="N539" s="54" t="s">
        <v>83</v>
      </c>
      <c r="O539" s="54"/>
      <c r="P539" s="54" t="s">
        <v>80</v>
      </c>
      <c r="Q539" s="59" t="s">
        <v>900</v>
      </c>
      <c r="R539" s="59"/>
    </row>
    <row r="540" spans="1:18" ht="72.5" x14ac:dyDescent="0.35">
      <c r="A540" s="40">
        <f t="shared" si="8"/>
        <v>539</v>
      </c>
      <c r="B540" s="59" t="s">
        <v>28</v>
      </c>
      <c r="C540" s="55">
        <v>45092</v>
      </c>
      <c r="D540" s="57">
        <v>45104</v>
      </c>
      <c r="E540" s="52" t="s">
        <v>63</v>
      </c>
      <c r="F540" s="52" t="s">
        <v>93</v>
      </c>
      <c r="G540" s="54" t="s">
        <v>901</v>
      </c>
      <c r="H540" s="58"/>
      <c r="I540" s="58"/>
      <c r="J540" s="52" t="s">
        <v>902</v>
      </c>
      <c r="K540" s="52" t="s">
        <v>82</v>
      </c>
      <c r="L540" s="54"/>
      <c r="M540" s="54"/>
      <c r="N540" s="54" t="s">
        <v>83</v>
      </c>
      <c r="O540" s="54"/>
      <c r="P540" s="54" t="s">
        <v>80</v>
      </c>
      <c r="Q540" s="59"/>
      <c r="R540" s="59"/>
    </row>
    <row r="541" spans="1:18" ht="72.5" x14ac:dyDescent="0.35">
      <c r="A541" s="40">
        <f t="shared" si="8"/>
        <v>540</v>
      </c>
      <c r="B541" s="59" t="s">
        <v>28</v>
      </c>
      <c r="C541" s="57">
        <v>45103</v>
      </c>
      <c r="D541" s="57">
        <v>45104</v>
      </c>
      <c r="E541" s="52" t="s">
        <v>63</v>
      </c>
      <c r="F541" s="52" t="s">
        <v>89</v>
      </c>
      <c r="G541" s="52" t="s">
        <v>903</v>
      </c>
      <c r="H541" s="58"/>
      <c r="I541" s="58"/>
      <c r="J541" s="52" t="s">
        <v>904</v>
      </c>
      <c r="K541" s="52" t="s">
        <v>81</v>
      </c>
      <c r="L541" s="54"/>
      <c r="M541" s="54"/>
      <c r="N541" s="54" t="s">
        <v>83</v>
      </c>
      <c r="O541" s="54"/>
      <c r="P541" s="54" t="s">
        <v>80</v>
      </c>
      <c r="Q541" s="59" t="s">
        <v>905</v>
      </c>
      <c r="R541" s="59"/>
    </row>
    <row r="542" spans="1:18" ht="145" x14ac:dyDescent="0.35">
      <c r="A542" s="40">
        <f t="shared" si="8"/>
        <v>541</v>
      </c>
      <c r="B542" s="59" t="s">
        <v>28</v>
      </c>
      <c r="C542" s="57">
        <v>45097</v>
      </c>
      <c r="D542" s="57">
        <v>45103</v>
      </c>
      <c r="E542" s="52" t="s">
        <v>61</v>
      </c>
      <c r="F542" s="52" t="s">
        <v>906</v>
      </c>
      <c r="G542" s="52" t="s">
        <v>907</v>
      </c>
      <c r="H542" s="58"/>
      <c r="I542" s="58"/>
      <c r="J542" s="52" t="s">
        <v>908</v>
      </c>
      <c r="K542" s="54" t="s">
        <v>85</v>
      </c>
      <c r="L542" s="54"/>
      <c r="M542" s="54"/>
      <c r="N542" s="54" t="s">
        <v>83</v>
      </c>
      <c r="O542" s="54"/>
      <c r="P542" s="54" t="s">
        <v>80</v>
      </c>
      <c r="Q542" s="59"/>
      <c r="R542" s="59"/>
    </row>
    <row r="543" spans="1:18" ht="58" x14ac:dyDescent="0.35">
      <c r="A543" s="40">
        <f t="shared" si="8"/>
        <v>542</v>
      </c>
      <c r="B543" s="59" t="s">
        <v>28</v>
      </c>
      <c r="C543" s="57">
        <v>45090</v>
      </c>
      <c r="D543" s="57">
        <v>45101</v>
      </c>
      <c r="E543" s="52" t="s">
        <v>63</v>
      </c>
      <c r="F543" s="52" t="s">
        <v>142</v>
      </c>
      <c r="G543" s="52" t="s">
        <v>909</v>
      </c>
      <c r="H543" s="58"/>
      <c r="I543" s="58"/>
      <c r="J543" s="52" t="s">
        <v>910</v>
      </c>
      <c r="K543" s="54" t="s">
        <v>79</v>
      </c>
      <c r="L543" s="54"/>
      <c r="M543" s="54"/>
      <c r="N543" s="54" t="s">
        <v>83</v>
      </c>
      <c r="O543" s="54"/>
      <c r="P543" s="54" t="s">
        <v>80</v>
      </c>
      <c r="Q543" s="52" t="s">
        <v>911</v>
      </c>
      <c r="R543" s="59"/>
    </row>
    <row r="544" spans="1:18" ht="409.5" x14ac:dyDescent="0.35">
      <c r="A544" s="40">
        <f t="shared" si="8"/>
        <v>543</v>
      </c>
      <c r="B544" s="59" t="s">
        <v>31</v>
      </c>
      <c r="C544" s="57">
        <v>45072</v>
      </c>
      <c r="D544" s="57">
        <v>45100</v>
      </c>
      <c r="E544" s="52" t="s">
        <v>49</v>
      </c>
      <c r="F544" s="52" t="s">
        <v>87</v>
      </c>
      <c r="G544" s="52" t="s">
        <v>912</v>
      </c>
      <c r="H544" s="58">
        <v>60131435.847457625</v>
      </c>
      <c r="I544" s="58">
        <v>60131435.847457625</v>
      </c>
      <c r="J544" s="52" t="s">
        <v>913</v>
      </c>
      <c r="K544" s="52" t="s">
        <v>81</v>
      </c>
      <c r="L544" s="54"/>
      <c r="M544" s="54"/>
      <c r="N544" s="54" t="s">
        <v>83</v>
      </c>
      <c r="O544" s="54"/>
      <c r="P544" s="54" t="s">
        <v>80</v>
      </c>
      <c r="Q544" s="59" t="s">
        <v>914</v>
      </c>
      <c r="R544" s="59"/>
    </row>
    <row r="545" spans="1:18" ht="101.5" x14ac:dyDescent="0.35">
      <c r="A545" s="40">
        <f t="shared" si="8"/>
        <v>544</v>
      </c>
      <c r="B545" s="59" t="s">
        <v>28</v>
      </c>
      <c r="C545" s="57">
        <v>45086</v>
      </c>
      <c r="D545" s="57">
        <v>45099</v>
      </c>
      <c r="E545" s="52" t="s">
        <v>88</v>
      </c>
      <c r="F545" s="52" t="s">
        <v>43</v>
      </c>
      <c r="G545" s="54">
        <v>1000404719</v>
      </c>
      <c r="H545" s="58"/>
      <c r="I545" s="58"/>
      <c r="J545" s="52" t="s">
        <v>915</v>
      </c>
      <c r="K545" s="52" t="s">
        <v>85</v>
      </c>
      <c r="L545" s="54"/>
      <c r="M545" s="54"/>
      <c r="N545" s="54" t="s">
        <v>83</v>
      </c>
      <c r="O545" s="54"/>
      <c r="P545" s="54" t="s">
        <v>80</v>
      </c>
      <c r="Q545" s="54"/>
      <c r="R545" s="54"/>
    </row>
    <row r="546" spans="1:18" ht="72.5" x14ac:dyDescent="0.35">
      <c r="A546" s="40">
        <f t="shared" si="8"/>
        <v>545</v>
      </c>
      <c r="B546" s="59" t="s">
        <v>27</v>
      </c>
      <c r="C546" s="57">
        <v>45084</v>
      </c>
      <c r="D546" s="57">
        <v>45097</v>
      </c>
      <c r="E546" s="52" t="s">
        <v>69</v>
      </c>
      <c r="F546" s="52" t="s">
        <v>70</v>
      </c>
      <c r="G546" s="52" t="s">
        <v>916</v>
      </c>
      <c r="H546" s="58"/>
      <c r="I546" s="58">
        <v>78403075</v>
      </c>
      <c r="J546" s="52" t="s">
        <v>917</v>
      </c>
      <c r="K546" s="52" t="s">
        <v>81</v>
      </c>
      <c r="L546" s="52"/>
      <c r="M546" s="54"/>
      <c r="N546" s="52" t="s">
        <v>83</v>
      </c>
      <c r="O546" s="54"/>
      <c r="P546" s="54" t="s">
        <v>80</v>
      </c>
      <c r="Q546" s="53"/>
      <c r="R546" s="59"/>
    </row>
    <row r="547" spans="1:18" ht="58" x14ac:dyDescent="0.35">
      <c r="A547" s="40">
        <f t="shared" si="8"/>
        <v>546</v>
      </c>
      <c r="B547" s="59" t="s">
        <v>28</v>
      </c>
      <c r="C547" s="57">
        <v>45094</v>
      </c>
      <c r="D547" s="57">
        <v>45097</v>
      </c>
      <c r="E547" s="52" t="s">
        <v>88</v>
      </c>
      <c r="F547" s="54" t="s">
        <v>145</v>
      </c>
      <c r="G547" s="52" t="s">
        <v>918</v>
      </c>
      <c r="H547" s="58"/>
      <c r="I547" s="58"/>
      <c r="J547" s="52" t="s">
        <v>919</v>
      </c>
      <c r="K547" s="52" t="s">
        <v>82</v>
      </c>
      <c r="L547" s="54"/>
      <c r="M547" s="54"/>
      <c r="N547" s="54" t="s">
        <v>83</v>
      </c>
      <c r="O547" s="54"/>
      <c r="P547" s="54" t="s">
        <v>80</v>
      </c>
      <c r="Q547" s="59"/>
      <c r="R547" s="59"/>
    </row>
    <row r="548" spans="1:18" ht="72.5" x14ac:dyDescent="0.35">
      <c r="A548" s="40">
        <f t="shared" si="8"/>
        <v>547</v>
      </c>
      <c r="B548" s="59" t="s">
        <v>28</v>
      </c>
      <c r="C548" s="57">
        <v>45094</v>
      </c>
      <c r="D548" s="57">
        <v>45097</v>
      </c>
      <c r="E548" s="52" t="s">
        <v>88</v>
      </c>
      <c r="F548" s="52" t="s">
        <v>95</v>
      </c>
      <c r="G548" s="52" t="s">
        <v>920</v>
      </c>
      <c r="H548" s="58"/>
      <c r="I548" s="58"/>
      <c r="J548" s="52" t="s">
        <v>921</v>
      </c>
      <c r="K548" s="52" t="s">
        <v>85</v>
      </c>
      <c r="L548" s="54"/>
      <c r="M548" s="54"/>
      <c r="N548" s="54" t="s">
        <v>83</v>
      </c>
      <c r="O548" s="54"/>
      <c r="P548" s="54" t="s">
        <v>80</v>
      </c>
      <c r="Q548" s="59" t="s">
        <v>723</v>
      </c>
      <c r="R548" s="59"/>
    </row>
    <row r="549" spans="1:18" ht="58" x14ac:dyDescent="0.35">
      <c r="A549" s="40">
        <f t="shared" si="8"/>
        <v>548</v>
      </c>
      <c r="B549" s="59" t="s">
        <v>31</v>
      </c>
      <c r="C549" s="57">
        <v>45058</v>
      </c>
      <c r="D549" s="57">
        <v>45093</v>
      </c>
      <c r="E549" s="52" t="s">
        <v>922</v>
      </c>
      <c r="F549" s="52" t="s">
        <v>126</v>
      </c>
      <c r="G549" s="52">
        <v>589462</v>
      </c>
      <c r="H549" s="58"/>
      <c r="I549" s="58">
        <v>5656430</v>
      </c>
      <c r="J549" s="52" t="s">
        <v>923</v>
      </c>
      <c r="K549" s="52" t="s">
        <v>79</v>
      </c>
      <c r="L549" s="54"/>
      <c r="M549" s="54"/>
      <c r="N549" s="54" t="s">
        <v>83</v>
      </c>
      <c r="O549" s="54"/>
      <c r="P549" s="54" t="s">
        <v>80</v>
      </c>
      <c r="Q549" s="61"/>
      <c r="R549" s="59"/>
    </row>
    <row r="550" spans="1:18" ht="58" x14ac:dyDescent="0.35">
      <c r="A550" s="40">
        <f t="shared" si="8"/>
        <v>549</v>
      </c>
      <c r="B550" s="59" t="s">
        <v>31</v>
      </c>
      <c r="C550" s="57">
        <v>45058</v>
      </c>
      <c r="D550" s="57">
        <v>45093</v>
      </c>
      <c r="E550" s="52" t="s">
        <v>922</v>
      </c>
      <c r="F550" s="52" t="s">
        <v>126</v>
      </c>
      <c r="G550" s="52">
        <v>589467</v>
      </c>
      <c r="H550" s="58"/>
      <c r="I550" s="58">
        <v>32659000</v>
      </c>
      <c r="J550" s="52" t="s">
        <v>924</v>
      </c>
      <c r="K550" s="52" t="s">
        <v>79</v>
      </c>
      <c r="L550" s="52"/>
      <c r="M550" s="54"/>
      <c r="N550" s="54" t="s">
        <v>83</v>
      </c>
      <c r="O550" s="54"/>
      <c r="P550" s="54" t="s">
        <v>80</v>
      </c>
      <c r="Q550" s="59"/>
      <c r="R550" s="59"/>
    </row>
    <row r="551" spans="1:18" ht="58" x14ac:dyDescent="0.35">
      <c r="A551" s="40">
        <f t="shared" si="8"/>
        <v>550</v>
      </c>
      <c r="B551" s="59" t="s">
        <v>31</v>
      </c>
      <c r="C551" s="57">
        <v>45058</v>
      </c>
      <c r="D551" s="57">
        <v>45093</v>
      </c>
      <c r="E551" s="52" t="s">
        <v>922</v>
      </c>
      <c r="F551" s="52" t="s">
        <v>126</v>
      </c>
      <c r="G551" s="52">
        <v>589470</v>
      </c>
      <c r="H551" s="58"/>
      <c r="I551" s="58">
        <v>25443250</v>
      </c>
      <c r="J551" s="52" t="s">
        <v>925</v>
      </c>
      <c r="K551" s="52" t="s">
        <v>79</v>
      </c>
      <c r="L551" s="54"/>
      <c r="M551" s="54"/>
      <c r="N551" s="54" t="s">
        <v>83</v>
      </c>
      <c r="O551" s="54"/>
      <c r="P551" s="54" t="s">
        <v>80</v>
      </c>
      <c r="Q551" s="53"/>
      <c r="R551" s="59"/>
    </row>
    <row r="552" spans="1:18" ht="58" x14ac:dyDescent="0.35">
      <c r="A552" s="40">
        <f t="shared" si="8"/>
        <v>551</v>
      </c>
      <c r="B552" s="53" t="s">
        <v>31</v>
      </c>
      <c r="C552" s="57">
        <v>45058</v>
      </c>
      <c r="D552" s="57">
        <v>45093</v>
      </c>
      <c r="E552" s="52" t="s">
        <v>922</v>
      </c>
      <c r="F552" s="52" t="s">
        <v>126</v>
      </c>
      <c r="G552" s="52">
        <v>589475</v>
      </c>
      <c r="H552" s="58"/>
      <c r="I552" s="58">
        <v>19127940</v>
      </c>
      <c r="J552" s="52" t="s">
        <v>926</v>
      </c>
      <c r="K552" s="52" t="s">
        <v>79</v>
      </c>
      <c r="L552" s="54"/>
      <c r="M552" s="54"/>
      <c r="N552" s="54" t="s">
        <v>83</v>
      </c>
      <c r="O552" s="54"/>
      <c r="P552" s="54" t="s">
        <v>80</v>
      </c>
      <c r="Q552" s="52"/>
      <c r="R552" s="59"/>
    </row>
    <row r="553" spans="1:18" ht="58" x14ac:dyDescent="0.35">
      <c r="A553" s="40">
        <f t="shared" si="8"/>
        <v>552</v>
      </c>
      <c r="B553" s="53" t="s">
        <v>31</v>
      </c>
      <c r="C553" s="57">
        <v>45058</v>
      </c>
      <c r="D553" s="57">
        <v>45093</v>
      </c>
      <c r="E553" s="52" t="s">
        <v>922</v>
      </c>
      <c r="F553" s="52" t="s">
        <v>126</v>
      </c>
      <c r="G553" s="52">
        <v>589477</v>
      </c>
      <c r="H553" s="58"/>
      <c r="I553" s="58">
        <v>28267500</v>
      </c>
      <c r="J553" s="52" t="s">
        <v>927</v>
      </c>
      <c r="K553" s="54" t="s">
        <v>79</v>
      </c>
      <c r="L553" s="54"/>
      <c r="M553" s="54"/>
      <c r="N553" s="54" t="s">
        <v>83</v>
      </c>
      <c r="O553" s="54"/>
      <c r="P553" s="54" t="s">
        <v>80</v>
      </c>
      <c r="Q553" s="59"/>
      <c r="R553" s="59"/>
    </row>
    <row r="554" spans="1:18" ht="58" x14ac:dyDescent="0.35">
      <c r="A554" s="40">
        <f t="shared" si="8"/>
        <v>553</v>
      </c>
      <c r="B554" s="59" t="s">
        <v>31</v>
      </c>
      <c r="C554" s="57">
        <v>45058</v>
      </c>
      <c r="D554" s="57">
        <v>45093</v>
      </c>
      <c r="E554" s="52" t="s">
        <v>922</v>
      </c>
      <c r="F554" s="52" t="s">
        <v>126</v>
      </c>
      <c r="G554" s="52">
        <v>589461</v>
      </c>
      <c r="H554" s="58"/>
      <c r="I554" s="58">
        <v>11218656.25</v>
      </c>
      <c r="J554" s="52" t="s">
        <v>928</v>
      </c>
      <c r="K554" s="54" t="s">
        <v>79</v>
      </c>
      <c r="L554" s="52"/>
      <c r="M554" s="54"/>
      <c r="N554" s="52" t="s">
        <v>83</v>
      </c>
      <c r="O554" s="54"/>
      <c r="P554" s="54" t="s">
        <v>80</v>
      </c>
      <c r="Q554" s="53"/>
      <c r="R554" s="59"/>
    </row>
    <row r="555" spans="1:18" ht="409.5" x14ac:dyDescent="0.35">
      <c r="A555" s="40">
        <f t="shared" si="8"/>
        <v>554</v>
      </c>
      <c r="B555" s="59" t="s">
        <v>31</v>
      </c>
      <c r="C555" s="57">
        <v>45079</v>
      </c>
      <c r="D555" s="57">
        <v>45093</v>
      </c>
      <c r="E555" s="52" t="s">
        <v>88</v>
      </c>
      <c r="F555" s="52" t="s">
        <v>51</v>
      </c>
      <c r="G555" s="52" t="s">
        <v>929</v>
      </c>
      <c r="H555" s="58">
        <v>15066364.550000001</v>
      </c>
      <c r="I555" s="58">
        <v>15567134.169491526</v>
      </c>
      <c r="J555" s="52" t="s">
        <v>930</v>
      </c>
      <c r="K555" s="54" t="s">
        <v>82</v>
      </c>
      <c r="L555" s="52"/>
      <c r="M555" s="54"/>
      <c r="N555" s="54" t="s">
        <v>83</v>
      </c>
      <c r="O555" s="54"/>
      <c r="P555" s="54" t="s">
        <v>80</v>
      </c>
      <c r="Q555" s="59" t="s">
        <v>931</v>
      </c>
      <c r="R555" s="59"/>
    </row>
    <row r="556" spans="1:18" ht="116" x14ac:dyDescent="0.35">
      <c r="A556" s="40">
        <f t="shared" si="8"/>
        <v>555</v>
      </c>
      <c r="B556" s="59" t="s">
        <v>28</v>
      </c>
      <c r="C556" s="57">
        <v>45072</v>
      </c>
      <c r="D556" s="55">
        <v>45091</v>
      </c>
      <c r="E556" s="63" t="s">
        <v>49</v>
      </c>
      <c r="F556" s="54" t="s">
        <v>134</v>
      </c>
      <c r="G556" s="52" t="s">
        <v>932</v>
      </c>
      <c r="H556" s="58"/>
      <c r="I556" s="58"/>
      <c r="J556" s="52" t="s">
        <v>933</v>
      </c>
      <c r="K556" s="52" t="s">
        <v>81</v>
      </c>
      <c r="L556" s="54"/>
      <c r="M556" s="54"/>
      <c r="N556" s="54" t="s">
        <v>83</v>
      </c>
      <c r="O556" s="54"/>
      <c r="P556" s="54" t="s">
        <v>80</v>
      </c>
      <c r="Q556" s="59"/>
      <c r="R556" s="59"/>
    </row>
    <row r="557" spans="1:18" ht="159.5" x14ac:dyDescent="0.35">
      <c r="A557" s="40">
        <f t="shared" si="8"/>
        <v>556</v>
      </c>
      <c r="B557" s="59" t="s">
        <v>28</v>
      </c>
      <c r="C557" s="57">
        <v>45072</v>
      </c>
      <c r="D557" s="57">
        <v>45089</v>
      </c>
      <c r="E557" s="52" t="s">
        <v>61</v>
      </c>
      <c r="F557" s="52" t="s">
        <v>906</v>
      </c>
      <c r="G557" s="52" t="s">
        <v>934</v>
      </c>
      <c r="H557" s="58"/>
      <c r="I557" s="58"/>
      <c r="J557" s="52" t="s">
        <v>935</v>
      </c>
      <c r="K557" s="52" t="s">
        <v>85</v>
      </c>
      <c r="L557" s="52"/>
      <c r="M557" s="54"/>
      <c r="N557" s="54" t="s">
        <v>83</v>
      </c>
      <c r="O557" s="54"/>
      <c r="P557" s="54" t="s">
        <v>80</v>
      </c>
      <c r="Q557" s="59" t="s">
        <v>936</v>
      </c>
      <c r="R557" s="59"/>
    </row>
    <row r="558" spans="1:18" ht="72.5" x14ac:dyDescent="0.35">
      <c r="A558" s="40">
        <f t="shared" si="8"/>
        <v>557</v>
      </c>
      <c r="B558" s="59" t="s">
        <v>28</v>
      </c>
      <c r="C558" s="57">
        <v>45078</v>
      </c>
      <c r="D558" s="57">
        <v>45089</v>
      </c>
      <c r="E558" s="52" t="s">
        <v>173</v>
      </c>
      <c r="F558" s="52" t="s">
        <v>937</v>
      </c>
      <c r="G558" s="52" t="s">
        <v>938</v>
      </c>
      <c r="H558" s="58"/>
      <c r="I558" s="58"/>
      <c r="J558" s="52" t="s">
        <v>939</v>
      </c>
      <c r="K558" s="52" t="s">
        <v>85</v>
      </c>
      <c r="L558" s="52"/>
      <c r="M558" s="54"/>
      <c r="N558" s="54" t="s">
        <v>83</v>
      </c>
      <c r="O558" s="54"/>
      <c r="P558" s="54" t="s">
        <v>80</v>
      </c>
      <c r="Q558" s="59"/>
      <c r="R558" s="59"/>
    </row>
    <row r="559" spans="1:18" ht="87" x14ac:dyDescent="0.35">
      <c r="A559" s="40">
        <f t="shared" si="8"/>
        <v>558</v>
      </c>
      <c r="B559" s="59" t="s">
        <v>28</v>
      </c>
      <c r="C559" s="57">
        <v>45078</v>
      </c>
      <c r="D559" s="57">
        <v>45089</v>
      </c>
      <c r="E559" s="52" t="s">
        <v>328</v>
      </c>
      <c r="F559" s="52" t="s">
        <v>89</v>
      </c>
      <c r="G559" s="52" t="s">
        <v>940</v>
      </c>
      <c r="H559" s="58"/>
      <c r="I559" s="58"/>
      <c r="J559" s="52" t="s">
        <v>941</v>
      </c>
      <c r="K559" s="54" t="s">
        <v>79</v>
      </c>
      <c r="L559" s="52"/>
      <c r="M559" s="54"/>
      <c r="N559" s="54" t="s">
        <v>83</v>
      </c>
      <c r="O559" s="54"/>
      <c r="P559" s="54" t="s">
        <v>80</v>
      </c>
      <c r="Q559" s="59" t="s">
        <v>942</v>
      </c>
      <c r="R559" s="59"/>
    </row>
    <row r="560" spans="1:18" ht="58" x14ac:dyDescent="0.35">
      <c r="A560" s="40">
        <f t="shared" si="8"/>
        <v>559</v>
      </c>
      <c r="B560" s="59" t="s">
        <v>31</v>
      </c>
      <c r="C560" s="57">
        <v>45084</v>
      </c>
      <c r="D560" s="57">
        <v>45087</v>
      </c>
      <c r="E560" s="52" t="s">
        <v>943</v>
      </c>
      <c r="F560" s="52" t="s">
        <v>67</v>
      </c>
      <c r="G560" s="52">
        <v>6000002202</v>
      </c>
      <c r="H560" s="58"/>
      <c r="I560" s="58">
        <v>154230030.23626485</v>
      </c>
      <c r="J560" s="52" t="s">
        <v>944</v>
      </c>
      <c r="K560" s="54" t="s">
        <v>81</v>
      </c>
      <c r="L560" s="54"/>
      <c r="M560" s="54"/>
      <c r="N560" s="54" t="s">
        <v>83</v>
      </c>
      <c r="O560" s="54"/>
      <c r="P560" s="54" t="s">
        <v>80</v>
      </c>
      <c r="Q560" s="59"/>
      <c r="R560" s="59"/>
    </row>
    <row r="561" spans="1:18" ht="43.5" x14ac:dyDescent="0.35">
      <c r="A561" s="40">
        <f t="shared" si="8"/>
        <v>560</v>
      </c>
      <c r="B561" s="59" t="s">
        <v>29</v>
      </c>
      <c r="C561" s="57">
        <v>45061</v>
      </c>
      <c r="D561" s="57">
        <v>45085</v>
      </c>
      <c r="E561" s="52" t="s">
        <v>52</v>
      </c>
      <c r="F561" s="54" t="s">
        <v>66</v>
      </c>
      <c r="G561" s="52" t="s">
        <v>945</v>
      </c>
      <c r="H561" s="58">
        <v>2462400</v>
      </c>
      <c r="I561" s="58">
        <v>2462400</v>
      </c>
      <c r="J561" s="52" t="s">
        <v>946</v>
      </c>
      <c r="K561" s="52" t="s">
        <v>81</v>
      </c>
      <c r="L561" s="54"/>
      <c r="M561" s="54"/>
      <c r="N561" s="54" t="s">
        <v>83</v>
      </c>
      <c r="O561" s="54"/>
      <c r="P561" s="54" t="s">
        <v>80</v>
      </c>
      <c r="Q561" s="59"/>
      <c r="R561" s="59"/>
    </row>
    <row r="562" spans="1:18" ht="58" x14ac:dyDescent="0.35">
      <c r="A562" s="40">
        <f t="shared" si="8"/>
        <v>561</v>
      </c>
      <c r="B562" s="59" t="s">
        <v>28</v>
      </c>
      <c r="C562" s="57">
        <v>45068</v>
      </c>
      <c r="D562" s="57">
        <v>45085</v>
      </c>
      <c r="E562" s="52" t="s">
        <v>947</v>
      </c>
      <c r="F562" s="52" t="s">
        <v>66</v>
      </c>
      <c r="G562" s="52" t="s">
        <v>948</v>
      </c>
      <c r="H562" s="58"/>
      <c r="I562" s="58"/>
      <c r="J562" s="52" t="s">
        <v>949</v>
      </c>
      <c r="K562" s="54" t="s">
        <v>82</v>
      </c>
      <c r="L562" s="54"/>
      <c r="M562" s="54"/>
      <c r="N562" s="54" t="s">
        <v>83</v>
      </c>
      <c r="O562" s="54"/>
      <c r="P562" s="54" t="s">
        <v>80</v>
      </c>
      <c r="Q562" s="59" t="s">
        <v>950</v>
      </c>
      <c r="R562" s="59"/>
    </row>
    <row r="563" spans="1:18" ht="72.5" x14ac:dyDescent="0.35">
      <c r="A563" s="40">
        <f t="shared" si="8"/>
        <v>562</v>
      </c>
      <c r="B563" s="59" t="s">
        <v>28</v>
      </c>
      <c r="C563" s="57">
        <v>45068</v>
      </c>
      <c r="D563" s="57">
        <v>45085</v>
      </c>
      <c r="E563" s="52" t="s">
        <v>49</v>
      </c>
      <c r="F563" s="52" t="s">
        <v>47</v>
      </c>
      <c r="G563" s="52" t="s">
        <v>951</v>
      </c>
      <c r="H563" s="58"/>
      <c r="I563" s="58"/>
      <c r="J563" s="52" t="s">
        <v>952</v>
      </c>
      <c r="K563" s="52" t="s">
        <v>81</v>
      </c>
      <c r="L563" s="54"/>
      <c r="M563" s="54"/>
      <c r="N563" s="54" t="s">
        <v>83</v>
      </c>
      <c r="O563" s="54"/>
      <c r="P563" s="54" t="s">
        <v>80</v>
      </c>
      <c r="Q563" s="59" t="s">
        <v>950</v>
      </c>
      <c r="R563" s="59"/>
    </row>
    <row r="564" spans="1:18" ht="43.5" x14ac:dyDescent="0.35">
      <c r="A564" s="40">
        <f t="shared" si="8"/>
        <v>563</v>
      </c>
      <c r="B564" s="59" t="s">
        <v>29</v>
      </c>
      <c r="C564" s="57">
        <v>45079</v>
      </c>
      <c r="D564" s="57">
        <v>45085</v>
      </c>
      <c r="E564" s="52" t="s">
        <v>463</v>
      </c>
      <c r="F564" s="52" t="s">
        <v>95</v>
      </c>
      <c r="G564" s="52" t="s">
        <v>953</v>
      </c>
      <c r="H564" s="58"/>
      <c r="I564" s="58">
        <v>2375259</v>
      </c>
      <c r="J564" s="52" t="s">
        <v>954</v>
      </c>
      <c r="K564" s="52" t="s">
        <v>81</v>
      </c>
      <c r="L564" s="54"/>
      <c r="M564" s="54"/>
      <c r="N564" s="54" t="s">
        <v>83</v>
      </c>
      <c r="O564" s="54"/>
      <c r="P564" s="54" t="s">
        <v>80</v>
      </c>
      <c r="Q564" s="59"/>
      <c r="R564" s="59"/>
    </row>
    <row r="565" spans="1:18" ht="203" x14ac:dyDescent="0.35">
      <c r="A565" s="40">
        <f t="shared" si="8"/>
        <v>564</v>
      </c>
      <c r="B565" s="59" t="s">
        <v>28</v>
      </c>
      <c r="C565" s="57">
        <v>45083</v>
      </c>
      <c r="D565" s="57">
        <v>45085</v>
      </c>
      <c r="E565" s="52" t="s">
        <v>955</v>
      </c>
      <c r="F565" s="52" t="s">
        <v>51</v>
      </c>
      <c r="G565" s="52" t="s">
        <v>956</v>
      </c>
      <c r="H565" s="58"/>
      <c r="I565" s="58"/>
      <c r="J565" s="52" t="s">
        <v>957</v>
      </c>
      <c r="K565" s="54" t="s">
        <v>82</v>
      </c>
      <c r="L565" s="54"/>
      <c r="M565" s="54"/>
      <c r="N565" s="54" t="s">
        <v>83</v>
      </c>
      <c r="O565" s="54"/>
      <c r="P565" s="54" t="s">
        <v>80</v>
      </c>
      <c r="Q565" s="59"/>
      <c r="R565" s="59"/>
    </row>
    <row r="566" spans="1:18" ht="65" x14ac:dyDescent="0.35">
      <c r="A566" s="40">
        <f t="shared" si="8"/>
        <v>565</v>
      </c>
      <c r="B566" s="59" t="s">
        <v>28</v>
      </c>
      <c r="C566" s="57">
        <v>45078</v>
      </c>
      <c r="D566" s="57">
        <v>45084</v>
      </c>
      <c r="E566" s="52" t="s">
        <v>958</v>
      </c>
      <c r="F566" s="52"/>
      <c r="G566" s="52" t="s">
        <v>959</v>
      </c>
      <c r="H566" s="58"/>
      <c r="I566" s="58"/>
      <c r="J566" s="52" t="s">
        <v>960</v>
      </c>
      <c r="K566" s="52" t="s">
        <v>85</v>
      </c>
      <c r="L566" s="54"/>
      <c r="M566" s="54"/>
      <c r="N566" s="54" t="s">
        <v>83</v>
      </c>
      <c r="O566" s="54"/>
      <c r="P566" s="54" t="s">
        <v>80</v>
      </c>
      <c r="Q566" s="65" t="s">
        <v>961</v>
      </c>
      <c r="R566" s="59"/>
    </row>
    <row r="567" spans="1:18" ht="116" x14ac:dyDescent="0.35">
      <c r="A567" s="40">
        <f t="shared" si="8"/>
        <v>566</v>
      </c>
      <c r="B567" s="59" t="s">
        <v>28</v>
      </c>
      <c r="C567" s="57">
        <v>45070</v>
      </c>
      <c r="D567" s="57">
        <v>45083</v>
      </c>
      <c r="E567" s="52" t="s">
        <v>49</v>
      </c>
      <c r="F567" s="52" t="s">
        <v>47</v>
      </c>
      <c r="G567" s="52" t="s">
        <v>962</v>
      </c>
      <c r="H567" s="58"/>
      <c r="I567" s="58"/>
      <c r="J567" s="52" t="s">
        <v>963</v>
      </c>
      <c r="K567" s="52" t="s">
        <v>81</v>
      </c>
      <c r="L567" s="54"/>
      <c r="M567" s="54"/>
      <c r="N567" s="54" t="s">
        <v>83</v>
      </c>
      <c r="O567" s="54"/>
      <c r="P567" s="54" t="s">
        <v>80</v>
      </c>
      <c r="Q567" s="59"/>
      <c r="R567" s="59"/>
    </row>
    <row r="568" spans="1:18" ht="87" x14ac:dyDescent="0.35">
      <c r="A568" s="40">
        <f t="shared" si="8"/>
        <v>567</v>
      </c>
      <c r="B568" s="59" t="s">
        <v>27</v>
      </c>
      <c r="C568" s="57">
        <v>45079</v>
      </c>
      <c r="D568" s="57">
        <v>45083</v>
      </c>
      <c r="E568" s="52" t="s">
        <v>63</v>
      </c>
      <c r="F568" s="52" t="s">
        <v>65</v>
      </c>
      <c r="G568" s="52" t="s">
        <v>964</v>
      </c>
      <c r="H568" s="58"/>
      <c r="I568" s="58">
        <v>27271459.322033901</v>
      </c>
      <c r="J568" s="52" t="s">
        <v>965</v>
      </c>
      <c r="K568" s="52" t="s">
        <v>82</v>
      </c>
      <c r="L568" s="54"/>
      <c r="M568" s="54"/>
      <c r="N568" s="54" t="s">
        <v>83</v>
      </c>
      <c r="O568" s="54"/>
      <c r="P568" s="54" t="s">
        <v>80</v>
      </c>
      <c r="Q568" s="59" t="s">
        <v>723</v>
      </c>
      <c r="R568" s="59"/>
    </row>
    <row r="569" spans="1:18" ht="87" x14ac:dyDescent="0.35">
      <c r="A569" s="40">
        <f t="shared" si="8"/>
        <v>568</v>
      </c>
      <c r="B569" s="59" t="s">
        <v>28</v>
      </c>
      <c r="C569" s="57">
        <v>45076</v>
      </c>
      <c r="D569" s="57">
        <v>45082</v>
      </c>
      <c r="E569" s="52" t="s">
        <v>112</v>
      </c>
      <c r="F569" s="52" t="s">
        <v>54</v>
      </c>
      <c r="G569" s="52" t="s">
        <v>966</v>
      </c>
      <c r="H569" s="58"/>
      <c r="I569" s="58"/>
      <c r="J569" s="52" t="s">
        <v>967</v>
      </c>
      <c r="K569" s="52" t="s">
        <v>82</v>
      </c>
      <c r="L569" s="54"/>
      <c r="M569" s="54"/>
      <c r="N569" s="54" t="s">
        <v>83</v>
      </c>
      <c r="O569" s="54"/>
      <c r="P569" s="54" t="s">
        <v>80</v>
      </c>
      <c r="Q569" s="53" t="s">
        <v>723</v>
      </c>
      <c r="R569" s="59"/>
    </row>
    <row r="570" spans="1:18" ht="72.5" x14ac:dyDescent="0.35">
      <c r="A570" s="40">
        <f t="shared" si="8"/>
        <v>569</v>
      </c>
      <c r="B570" s="59" t="s">
        <v>28</v>
      </c>
      <c r="C570" s="57">
        <v>45077</v>
      </c>
      <c r="D570" s="57">
        <v>45082</v>
      </c>
      <c r="E570" s="52" t="s">
        <v>61</v>
      </c>
      <c r="F570" s="52" t="s">
        <v>77</v>
      </c>
      <c r="G570" s="52" t="s">
        <v>968</v>
      </c>
      <c r="H570" s="58"/>
      <c r="I570" s="58"/>
      <c r="J570" s="52" t="s">
        <v>969</v>
      </c>
      <c r="K570" s="52" t="s">
        <v>85</v>
      </c>
      <c r="L570" s="54"/>
      <c r="M570" s="54"/>
      <c r="N570" s="54" t="s">
        <v>83</v>
      </c>
      <c r="O570" s="54"/>
      <c r="P570" s="54" t="s">
        <v>80</v>
      </c>
      <c r="Q570" s="59" t="s">
        <v>970</v>
      </c>
      <c r="R570" s="59"/>
    </row>
    <row r="571" spans="1:18" ht="87" x14ac:dyDescent="0.35">
      <c r="A571" s="40">
        <f t="shared" si="8"/>
        <v>570</v>
      </c>
      <c r="B571" s="59" t="s">
        <v>28</v>
      </c>
      <c r="C571" s="57">
        <v>45077</v>
      </c>
      <c r="D571" s="57">
        <v>45082</v>
      </c>
      <c r="E571" s="52" t="s">
        <v>88</v>
      </c>
      <c r="F571" s="52" t="s">
        <v>95</v>
      </c>
      <c r="G571" s="52" t="s">
        <v>971</v>
      </c>
      <c r="H571" s="58"/>
      <c r="I571" s="58"/>
      <c r="J571" s="52" t="s">
        <v>972</v>
      </c>
      <c r="K571" s="52" t="s">
        <v>85</v>
      </c>
      <c r="L571" s="54"/>
      <c r="M571" s="54"/>
      <c r="N571" s="54" t="s">
        <v>83</v>
      </c>
      <c r="O571" s="54"/>
      <c r="P571" s="54" t="s">
        <v>80</v>
      </c>
      <c r="Q571" s="59" t="s">
        <v>973</v>
      </c>
      <c r="R571" s="59"/>
    </row>
    <row r="572" spans="1:18" ht="116" x14ac:dyDescent="0.35">
      <c r="A572" s="40">
        <f t="shared" si="8"/>
        <v>571</v>
      </c>
      <c r="B572" s="59" t="s">
        <v>28</v>
      </c>
      <c r="C572" s="57">
        <v>45058</v>
      </c>
      <c r="D572" s="57">
        <v>45080</v>
      </c>
      <c r="E572" s="52" t="s">
        <v>96</v>
      </c>
      <c r="F572" s="52" t="s">
        <v>45</v>
      </c>
      <c r="G572" s="52" t="s">
        <v>974</v>
      </c>
      <c r="H572" s="58"/>
      <c r="I572" s="58"/>
      <c r="J572" s="52" t="s">
        <v>975</v>
      </c>
      <c r="K572" s="52" t="s">
        <v>81</v>
      </c>
      <c r="L572" s="54"/>
      <c r="M572" s="54"/>
      <c r="N572" s="54" t="s">
        <v>83</v>
      </c>
      <c r="O572" s="54"/>
      <c r="P572" s="54" t="s">
        <v>80</v>
      </c>
      <c r="Q572" s="59"/>
      <c r="R572" s="59"/>
    </row>
    <row r="573" spans="1:18" ht="58" x14ac:dyDescent="0.35">
      <c r="A573" s="40">
        <f t="shared" si="8"/>
        <v>572</v>
      </c>
      <c r="B573" s="59" t="s">
        <v>28</v>
      </c>
      <c r="C573" s="57">
        <v>45077</v>
      </c>
      <c r="D573" s="57">
        <v>45079</v>
      </c>
      <c r="E573" s="52" t="s">
        <v>52</v>
      </c>
      <c r="F573" s="52" t="s">
        <v>53</v>
      </c>
      <c r="G573" s="52" t="s">
        <v>976</v>
      </c>
      <c r="H573" s="58"/>
      <c r="I573" s="58"/>
      <c r="J573" s="52" t="s">
        <v>977</v>
      </c>
      <c r="K573" s="52" t="s">
        <v>85</v>
      </c>
      <c r="L573" s="54"/>
      <c r="M573" s="54"/>
      <c r="N573" s="54" t="s">
        <v>83</v>
      </c>
      <c r="O573" s="54"/>
      <c r="P573" s="54" t="s">
        <v>80</v>
      </c>
      <c r="Q573" s="59" t="s">
        <v>978</v>
      </c>
      <c r="R573" s="59"/>
    </row>
    <row r="574" spans="1:18" ht="246.5" x14ac:dyDescent="0.35">
      <c r="A574" s="40">
        <f t="shared" si="8"/>
        <v>573</v>
      </c>
      <c r="B574" s="59" t="s">
        <v>31</v>
      </c>
      <c r="C574" s="57">
        <v>45052</v>
      </c>
      <c r="D574" s="57">
        <v>45078</v>
      </c>
      <c r="E574" s="52" t="s">
        <v>63</v>
      </c>
      <c r="F574" s="52" t="s">
        <v>93</v>
      </c>
      <c r="G574" s="52" t="s">
        <v>979</v>
      </c>
      <c r="H574" s="58">
        <v>63813559.32</v>
      </c>
      <c r="I574" s="58">
        <v>62552489.830508478</v>
      </c>
      <c r="J574" s="52" t="s">
        <v>980</v>
      </c>
      <c r="K574" s="52" t="s">
        <v>82</v>
      </c>
      <c r="L574" s="54"/>
      <c r="M574" s="54"/>
      <c r="N574" s="54" t="s">
        <v>83</v>
      </c>
      <c r="O574" s="54"/>
      <c r="P574" s="54" t="s">
        <v>80</v>
      </c>
      <c r="Q574" s="59" t="s">
        <v>981</v>
      </c>
      <c r="R574" s="59"/>
    </row>
    <row r="575" spans="1:18" ht="87" x14ac:dyDescent="0.35">
      <c r="A575" s="40">
        <f t="shared" si="8"/>
        <v>574</v>
      </c>
      <c r="B575" s="59" t="s">
        <v>28</v>
      </c>
      <c r="C575" s="57">
        <v>45057</v>
      </c>
      <c r="D575" s="57">
        <v>45077</v>
      </c>
      <c r="E575" s="52" t="s">
        <v>49</v>
      </c>
      <c r="F575" s="52" t="s">
        <v>134</v>
      </c>
      <c r="G575" s="52" t="s">
        <v>982</v>
      </c>
      <c r="H575" s="58"/>
      <c r="I575" s="58"/>
      <c r="J575" s="52" t="s">
        <v>983</v>
      </c>
      <c r="K575" s="52" t="s">
        <v>81</v>
      </c>
      <c r="L575" s="54"/>
      <c r="M575" s="54"/>
      <c r="N575" s="54" t="s">
        <v>83</v>
      </c>
      <c r="O575" s="54"/>
      <c r="P575" s="54" t="s">
        <v>80</v>
      </c>
      <c r="Q575" s="53" t="s">
        <v>984</v>
      </c>
      <c r="R575" s="59"/>
    </row>
    <row r="576" spans="1:18" ht="145" x14ac:dyDescent="0.35">
      <c r="A576" s="40">
        <f t="shared" si="8"/>
        <v>575</v>
      </c>
      <c r="B576" s="59" t="s">
        <v>28</v>
      </c>
      <c r="C576" s="57">
        <v>45057</v>
      </c>
      <c r="D576" s="57">
        <v>45077</v>
      </c>
      <c r="E576" s="52" t="s">
        <v>328</v>
      </c>
      <c r="F576" s="52" t="s">
        <v>356</v>
      </c>
      <c r="G576" s="52" t="s">
        <v>985</v>
      </c>
      <c r="H576" s="58"/>
      <c r="I576" s="58"/>
      <c r="J576" s="52" t="s">
        <v>986</v>
      </c>
      <c r="K576" s="52" t="s">
        <v>79</v>
      </c>
      <c r="L576" s="54"/>
      <c r="M576" s="54"/>
      <c r="N576" s="54" t="s">
        <v>83</v>
      </c>
      <c r="O576" s="54"/>
      <c r="P576" s="54" t="s">
        <v>80</v>
      </c>
      <c r="Q576" s="52"/>
      <c r="R576" s="59"/>
    </row>
    <row r="577" spans="1:18" ht="87" x14ac:dyDescent="0.35">
      <c r="A577" s="40">
        <f t="shared" si="8"/>
        <v>576</v>
      </c>
      <c r="B577" s="59" t="s">
        <v>28</v>
      </c>
      <c r="C577" s="57">
        <v>45058</v>
      </c>
      <c r="D577" s="57">
        <v>45076</v>
      </c>
      <c r="E577" s="52" t="s">
        <v>73</v>
      </c>
      <c r="F577" s="52" t="s">
        <v>101</v>
      </c>
      <c r="G577" s="52" t="s">
        <v>987</v>
      </c>
      <c r="H577" s="58"/>
      <c r="I577" s="58"/>
      <c r="J577" s="52" t="s">
        <v>988</v>
      </c>
      <c r="K577" s="54" t="s">
        <v>79</v>
      </c>
      <c r="L577" s="54"/>
      <c r="M577" s="54"/>
      <c r="N577" s="54" t="s">
        <v>83</v>
      </c>
      <c r="O577" s="54"/>
      <c r="P577" s="54" t="s">
        <v>80</v>
      </c>
      <c r="Q577" s="59"/>
      <c r="R577" s="59"/>
    </row>
    <row r="578" spans="1:18" ht="275.5" x14ac:dyDescent="0.35">
      <c r="A578" s="40">
        <f t="shared" ref="A578:A641" si="9">ROW()-1</f>
        <v>577</v>
      </c>
      <c r="B578" s="59" t="s">
        <v>31</v>
      </c>
      <c r="C578" s="57">
        <v>45061</v>
      </c>
      <c r="D578" s="57">
        <v>45072</v>
      </c>
      <c r="E578" s="52" t="s">
        <v>52</v>
      </c>
      <c r="F578" s="52" t="s">
        <v>43</v>
      </c>
      <c r="G578" s="52" t="s">
        <v>989</v>
      </c>
      <c r="H578" s="58">
        <v>3614787.79</v>
      </c>
      <c r="I578" s="58">
        <v>3986400</v>
      </c>
      <c r="J578" s="52" t="s">
        <v>990</v>
      </c>
      <c r="K578" s="52" t="s">
        <v>81</v>
      </c>
      <c r="L578" s="54"/>
      <c r="M578" s="54"/>
      <c r="N578" s="54" t="s">
        <v>83</v>
      </c>
      <c r="O578" s="54"/>
      <c r="P578" s="54" t="s">
        <v>80</v>
      </c>
      <c r="Q578" s="59" t="s">
        <v>991</v>
      </c>
      <c r="R578" s="59"/>
    </row>
    <row r="579" spans="1:18" ht="43.5" x14ac:dyDescent="0.35">
      <c r="A579" s="40">
        <f t="shared" si="9"/>
        <v>578</v>
      </c>
      <c r="B579" s="59" t="s">
        <v>28</v>
      </c>
      <c r="C579" s="57">
        <v>45063</v>
      </c>
      <c r="D579" s="57">
        <v>45072</v>
      </c>
      <c r="E579" s="52" t="s">
        <v>52</v>
      </c>
      <c r="F579" s="52" t="s">
        <v>92</v>
      </c>
      <c r="G579" s="52" t="s">
        <v>992</v>
      </c>
      <c r="H579" s="58"/>
      <c r="I579" s="58"/>
      <c r="J579" s="52" t="s">
        <v>993</v>
      </c>
      <c r="K579" s="52" t="s">
        <v>81</v>
      </c>
      <c r="L579" s="54"/>
      <c r="M579" s="54"/>
      <c r="N579" s="54" t="s">
        <v>83</v>
      </c>
      <c r="O579" s="54"/>
      <c r="P579" s="54" t="s">
        <v>80</v>
      </c>
      <c r="Q579" s="61" t="s">
        <v>936</v>
      </c>
      <c r="R579" s="59"/>
    </row>
    <row r="580" spans="1:18" ht="72.5" x14ac:dyDescent="0.35">
      <c r="A580" s="40">
        <f t="shared" si="9"/>
        <v>579</v>
      </c>
      <c r="B580" s="59" t="s">
        <v>28</v>
      </c>
      <c r="C580" s="57">
        <v>45064</v>
      </c>
      <c r="D580" s="57">
        <v>45072</v>
      </c>
      <c r="E580" s="52" t="s">
        <v>52</v>
      </c>
      <c r="F580" s="52" t="s">
        <v>53</v>
      </c>
      <c r="G580" s="52" t="s">
        <v>994</v>
      </c>
      <c r="H580" s="58"/>
      <c r="I580" s="58"/>
      <c r="J580" s="52" t="s">
        <v>995</v>
      </c>
      <c r="K580" s="52" t="s">
        <v>79</v>
      </c>
      <c r="L580" s="54"/>
      <c r="M580" s="54"/>
      <c r="N580" s="54" t="s">
        <v>83</v>
      </c>
      <c r="O580" s="54"/>
      <c r="P580" s="54" t="s">
        <v>80</v>
      </c>
      <c r="Q580" s="59" t="s">
        <v>942</v>
      </c>
      <c r="R580" s="59"/>
    </row>
    <row r="581" spans="1:18" ht="58" x14ac:dyDescent="0.35">
      <c r="A581" s="40">
        <f t="shared" si="9"/>
        <v>580</v>
      </c>
      <c r="B581" s="59" t="s">
        <v>28</v>
      </c>
      <c r="C581" s="57">
        <v>45071</v>
      </c>
      <c r="D581" s="57">
        <v>45072</v>
      </c>
      <c r="E581" s="52" t="s">
        <v>88</v>
      </c>
      <c r="F581" s="52" t="s">
        <v>43</v>
      </c>
      <c r="G581" s="52" t="s">
        <v>996</v>
      </c>
      <c r="H581" s="58"/>
      <c r="I581" s="58"/>
      <c r="J581" s="52" t="s">
        <v>997</v>
      </c>
      <c r="K581" s="52" t="s">
        <v>81</v>
      </c>
      <c r="L581" s="54"/>
      <c r="M581" s="54"/>
      <c r="N581" s="54" t="s">
        <v>83</v>
      </c>
      <c r="O581" s="54"/>
      <c r="P581" s="54" t="s">
        <v>80</v>
      </c>
      <c r="Q581" s="59"/>
      <c r="R581" s="59"/>
    </row>
    <row r="582" spans="1:18" ht="101.5" x14ac:dyDescent="0.35">
      <c r="A582" s="40">
        <f t="shared" si="9"/>
        <v>581</v>
      </c>
      <c r="B582" s="59" t="s">
        <v>28</v>
      </c>
      <c r="C582" s="57">
        <v>45056</v>
      </c>
      <c r="D582" s="57">
        <v>45071</v>
      </c>
      <c r="E582" s="52" t="s">
        <v>49</v>
      </c>
      <c r="F582" s="52" t="s">
        <v>134</v>
      </c>
      <c r="G582" s="52" t="s">
        <v>998</v>
      </c>
      <c r="H582" s="58"/>
      <c r="I582" s="58"/>
      <c r="J582" s="52" t="s">
        <v>999</v>
      </c>
      <c r="K582" s="52" t="s">
        <v>81</v>
      </c>
      <c r="L582" s="54"/>
      <c r="M582" s="54"/>
      <c r="N582" s="54" t="s">
        <v>83</v>
      </c>
      <c r="O582" s="54"/>
      <c r="P582" s="54" t="s">
        <v>80</v>
      </c>
      <c r="Q582" s="53" t="s">
        <v>1000</v>
      </c>
      <c r="R582" s="59"/>
    </row>
    <row r="583" spans="1:18" ht="101.5" x14ac:dyDescent="0.35">
      <c r="A583" s="40">
        <f t="shared" si="9"/>
        <v>582</v>
      </c>
      <c r="B583" s="59" t="s">
        <v>28</v>
      </c>
      <c r="C583" s="57">
        <v>45057</v>
      </c>
      <c r="D583" s="57">
        <v>45071</v>
      </c>
      <c r="E583" s="52" t="s">
        <v>49</v>
      </c>
      <c r="F583" s="52" t="s">
        <v>265</v>
      </c>
      <c r="G583" s="52" t="s">
        <v>1001</v>
      </c>
      <c r="H583" s="58"/>
      <c r="I583" s="58"/>
      <c r="J583" s="52" t="s">
        <v>1002</v>
      </c>
      <c r="K583" s="52" t="s">
        <v>82</v>
      </c>
      <c r="L583" s="54"/>
      <c r="M583" s="54"/>
      <c r="N583" s="54" t="s">
        <v>83</v>
      </c>
      <c r="O583" s="54"/>
      <c r="P583" s="54" t="s">
        <v>80</v>
      </c>
      <c r="Q583" s="59"/>
      <c r="R583" s="59"/>
    </row>
    <row r="584" spans="1:18" ht="72.5" x14ac:dyDescent="0.35">
      <c r="A584" s="40">
        <f t="shared" si="9"/>
        <v>583</v>
      </c>
      <c r="B584" s="59" t="s">
        <v>28</v>
      </c>
      <c r="C584" s="57">
        <v>45055</v>
      </c>
      <c r="D584" s="57">
        <v>45069</v>
      </c>
      <c r="E584" s="52" t="s">
        <v>173</v>
      </c>
      <c r="F584" s="52" t="s">
        <v>92</v>
      </c>
      <c r="G584" s="52" t="s">
        <v>1003</v>
      </c>
      <c r="H584" s="58"/>
      <c r="I584" s="58"/>
      <c r="J584" s="52" t="s">
        <v>1004</v>
      </c>
      <c r="K584" s="52" t="s">
        <v>81</v>
      </c>
      <c r="L584" s="54"/>
      <c r="M584" s="54"/>
      <c r="N584" s="54" t="s">
        <v>83</v>
      </c>
      <c r="O584" s="54"/>
      <c r="P584" s="54" t="s">
        <v>80</v>
      </c>
      <c r="Q584" s="59" t="s">
        <v>881</v>
      </c>
      <c r="R584" s="59"/>
    </row>
    <row r="585" spans="1:18" ht="290" x14ac:dyDescent="0.35">
      <c r="A585" s="40">
        <f t="shared" si="9"/>
        <v>584</v>
      </c>
      <c r="B585" s="59" t="s">
        <v>31</v>
      </c>
      <c r="C585" s="57">
        <v>45055</v>
      </c>
      <c r="D585" s="57">
        <v>45068</v>
      </c>
      <c r="E585" s="52" t="s">
        <v>73</v>
      </c>
      <c r="F585" s="52" t="s">
        <v>101</v>
      </c>
      <c r="G585" s="52" t="s">
        <v>1005</v>
      </c>
      <c r="H585" s="58">
        <v>11813430</v>
      </c>
      <c r="I585" s="58">
        <v>16037633.857479576</v>
      </c>
      <c r="J585" s="52" t="s">
        <v>1006</v>
      </c>
      <c r="K585" s="52" t="s">
        <v>85</v>
      </c>
      <c r="L585" s="54" t="s">
        <v>1007</v>
      </c>
      <c r="M585" s="54"/>
      <c r="N585" s="54" t="s">
        <v>83</v>
      </c>
      <c r="O585" s="54"/>
      <c r="P585" s="54" t="s">
        <v>80</v>
      </c>
      <c r="Q585" s="59" t="s">
        <v>1008</v>
      </c>
      <c r="R585" s="59"/>
    </row>
    <row r="586" spans="1:18" ht="87" x14ac:dyDescent="0.35">
      <c r="A586" s="40">
        <f t="shared" si="9"/>
        <v>585</v>
      </c>
      <c r="B586" s="59" t="s">
        <v>27</v>
      </c>
      <c r="C586" s="57">
        <v>45066</v>
      </c>
      <c r="D586" s="57">
        <v>45068</v>
      </c>
      <c r="E586" s="52" t="s">
        <v>1009</v>
      </c>
      <c r="F586" s="52" t="s">
        <v>65</v>
      </c>
      <c r="G586" s="52">
        <v>4100020264</v>
      </c>
      <c r="H586" s="58"/>
      <c r="I586" s="58">
        <v>15194555</v>
      </c>
      <c r="J586" s="52" t="s">
        <v>1010</v>
      </c>
      <c r="K586" s="52" t="s">
        <v>82</v>
      </c>
      <c r="L586" s="54"/>
      <c r="M586" s="54"/>
      <c r="N586" s="54" t="s">
        <v>83</v>
      </c>
      <c r="O586" s="54"/>
      <c r="P586" s="54" t="s">
        <v>80</v>
      </c>
      <c r="Q586" s="59" t="s">
        <v>911</v>
      </c>
      <c r="R586" s="59"/>
    </row>
    <row r="587" spans="1:18" ht="29" x14ac:dyDescent="0.35">
      <c r="A587" s="40">
        <f t="shared" si="9"/>
        <v>586</v>
      </c>
      <c r="B587" s="59" t="s">
        <v>28</v>
      </c>
      <c r="C587" s="57">
        <v>45048</v>
      </c>
      <c r="D587" s="57">
        <v>45065</v>
      </c>
      <c r="E587" s="52" t="s">
        <v>785</v>
      </c>
      <c r="F587" s="52" t="s">
        <v>67</v>
      </c>
      <c r="G587" s="52" t="s">
        <v>1011</v>
      </c>
      <c r="H587" s="58"/>
      <c r="I587" s="58"/>
      <c r="J587" s="52" t="s">
        <v>1012</v>
      </c>
      <c r="K587" s="54" t="s">
        <v>147</v>
      </c>
      <c r="L587" s="54"/>
      <c r="M587" s="54"/>
      <c r="N587" s="54" t="s">
        <v>83</v>
      </c>
      <c r="O587" s="54"/>
      <c r="P587" s="54" t="s">
        <v>80</v>
      </c>
      <c r="Q587" s="59"/>
      <c r="R587" s="59"/>
    </row>
    <row r="588" spans="1:18" ht="232" x14ac:dyDescent="0.35">
      <c r="A588" s="40">
        <f t="shared" si="9"/>
        <v>587</v>
      </c>
      <c r="B588" s="59" t="s">
        <v>31</v>
      </c>
      <c r="C588" s="57">
        <v>45063</v>
      </c>
      <c r="D588" s="57">
        <v>45065</v>
      </c>
      <c r="E588" s="52" t="s">
        <v>52</v>
      </c>
      <c r="F588" s="52" t="s">
        <v>43</v>
      </c>
      <c r="G588" s="52" t="s">
        <v>1013</v>
      </c>
      <c r="H588" s="58">
        <v>1058000</v>
      </c>
      <c r="I588" s="58">
        <v>1422065.5</v>
      </c>
      <c r="J588" s="52" t="s">
        <v>1014</v>
      </c>
      <c r="K588" s="52" t="s">
        <v>81</v>
      </c>
      <c r="L588" s="54"/>
      <c r="M588" s="54"/>
      <c r="N588" s="54" t="s">
        <v>83</v>
      </c>
      <c r="O588" s="54"/>
      <c r="P588" s="54" t="s">
        <v>80</v>
      </c>
      <c r="Q588" s="59" t="s">
        <v>1015</v>
      </c>
      <c r="R588" s="59"/>
    </row>
    <row r="589" spans="1:18" ht="29" x14ac:dyDescent="0.35">
      <c r="A589" s="40">
        <f t="shared" si="9"/>
        <v>588</v>
      </c>
      <c r="B589" s="59" t="s">
        <v>27</v>
      </c>
      <c r="C589" s="57">
        <v>45050</v>
      </c>
      <c r="D589" s="57">
        <v>45062</v>
      </c>
      <c r="E589" s="52" t="s">
        <v>1016</v>
      </c>
      <c r="F589" s="52"/>
      <c r="G589" s="52" t="s">
        <v>1017</v>
      </c>
      <c r="H589" s="58"/>
      <c r="I589" s="58">
        <v>19603320</v>
      </c>
      <c r="J589" s="52" t="s">
        <v>1018</v>
      </c>
      <c r="K589" s="52" t="s">
        <v>85</v>
      </c>
      <c r="L589" s="54"/>
      <c r="M589" s="54"/>
      <c r="N589" s="54" t="s">
        <v>83</v>
      </c>
      <c r="O589" s="54"/>
      <c r="P589" s="54" t="s">
        <v>80</v>
      </c>
      <c r="Q589" s="59" t="s">
        <v>1019</v>
      </c>
      <c r="R589" s="59"/>
    </row>
    <row r="590" spans="1:18" ht="58" x14ac:dyDescent="0.35">
      <c r="A590" s="40">
        <f t="shared" si="9"/>
        <v>589</v>
      </c>
      <c r="B590" s="59" t="s">
        <v>27</v>
      </c>
      <c r="C590" s="57">
        <v>45058</v>
      </c>
      <c r="D590" s="55">
        <v>45062</v>
      </c>
      <c r="E590" s="52" t="s">
        <v>1020</v>
      </c>
      <c r="F590" s="52" t="s">
        <v>77</v>
      </c>
      <c r="G590" s="52">
        <v>6001769085</v>
      </c>
      <c r="H590" s="58"/>
      <c r="I590" s="58">
        <v>12414902.5</v>
      </c>
      <c r="J590" s="52" t="s">
        <v>1021</v>
      </c>
      <c r="K590" s="52" t="s">
        <v>85</v>
      </c>
      <c r="L590" s="54"/>
      <c r="M590" s="54"/>
      <c r="N590" s="54" t="s">
        <v>83</v>
      </c>
      <c r="O590" s="54"/>
      <c r="P590" s="54" t="s">
        <v>80</v>
      </c>
      <c r="Q590" s="59"/>
      <c r="R590" s="59"/>
    </row>
    <row r="591" spans="1:18" ht="43.5" x14ac:dyDescent="0.35">
      <c r="A591" s="40">
        <f t="shared" si="9"/>
        <v>590</v>
      </c>
      <c r="B591" s="59" t="s">
        <v>28</v>
      </c>
      <c r="C591" s="57">
        <v>45041</v>
      </c>
      <c r="D591" s="57">
        <v>45061</v>
      </c>
      <c r="E591" s="52" t="s">
        <v>49</v>
      </c>
      <c r="F591" s="52" t="s">
        <v>134</v>
      </c>
      <c r="G591" s="52" t="s">
        <v>1022</v>
      </c>
      <c r="H591" s="58"/>
      <c r="I591" s="58"/>
      <c r="J591" s="52" t="s">
        <v>1023</v>
      </c>
      <c r="K591" s="52" t="s">
        <v>81</v>
      </c>
      <c r="L591" s="54"/>
      <c r="M591" s="54"/>
      <c r="N591" s="54" t="s">
        <v>83</v>
      </c>
      <c r="O591" s="54"/>
      <c r="P591" s="54" t="s">
        <v>80</v>
      </c>
      <c r="Q591" s="59" t="s">
        <v>723</v>
      </c>
      <c r="R591" s="59"/>
    </row>
    <row r="592" spans="1:18" ht="87" x14ac:dyDescent="0.35">
      <c r="A592" s="40">
        <f t="shared" si="9"/>
        <v>591</v>
      </c>
      <c r="B592" s="59" t="s">
        <v>28</v>
      </c>
      <c r="C592" s="57">
        <v>45044</v>
      </c>
      <c r="D592" s="57">
        <v>45061</v>
      </c>
      <c r="E592" s="52" t="s">
        <v>124</v>
      </c>
      <c r="F592" s="52" t="s">
        <v>104</v>
      </c>
      <c r="G592" s="52" t="s">
        <v>1024</v>
      </c>
      <c r="H592" s="58"/>
      <c r="I592" s="58"/>
      <c r="J592" s="52" t="s">
        <v>1025</v>
      </c>
      <c r="K592" s="52" t="s">
        <v>85</v>
      </c>
      <c r="L592" s="52"/>
      <c r="M592" s="54"/>
      <c r="N592" s="54" t="s">
        <v>83</v>
      </c>
      <c r="O592" s="54"/>
      <c r="P592" s="54" t="s">
        <v>80</v>
      </c>
      <c r="Q592" s="59"/>
      <c r="R592" s="59"/>
    </row>
    <row r="593" spans="1:18" ht="58" x14ac:dyDescent="0.35">
      <c r="A593" s="40">
        <f t="shared" si="9"/>
        <v>592</v>
      </c>
      <c r="B593" s="59" t="s">
        <v>28</v>
      </c>
      <c r="C593" s="57">
        <v>45049</v>
      </c>
      <c r="D593" s="57">
        <v>45061</v>
      </c>
      <c r="E593" s="52" t="s">
        <v>63</v>
      </c>
      <c r="F593" s="52" t="s">
        <v>56</v>
      </c>
      <c r="G593" s="52" t="s">
        <v>1026</v>
      </c>
      <c r="H593" s="58"/>
      <c r="I593" s="58"/>
      <c r="J593" s="52" t="s">
        <v>1027</v>
      </c>
      <c r="K593" s="52" t="s">
        <v>79</v>
      </c>
      <c r="L593" s="54"/>
      <c r="M593" s="54"/>
      <c r="N593" s="54" t="s">
        <v>83</v>
      </c>
      <c r="O593" s="54"/>
      <c r="P593" s="54" t="s">
        <v>80</v>
      </c>
      <c r="Q593" s="59"/>
      <c r="R593" s="59"/>
    </row>
    <row r="594" spans="1:18" ht="87" x14ac:dyDescent="0.35">
      <c r="A594" s="40">
        <f t="shared" si="9"/>
        <v>593</v>
      </c>
      <c r="B594" s="59" t="s">
        <v>28</v>
      </c>
      <c r="C594" s="57">
        <v>45050</v>
      </c>
      <c r="D594" s="57">
        <v>45061</v>
      </c>
      <c r="E594" s="52" t="s">
        <v>88</v>
      </c>
      <c r="F594" s="52" t="s">
        <v>116</v>
      </c>
      <c r="G594" s="52" t="s">
        <v>1028</v>
      </c>
      <c r="H594" s="58"/>
      <c r="I594" s="58"/>
      <c r="J594" s="52" t="s">
        <v>1029</v>
      </c>
      <c r="K594" s="52" t="s">
        <v>79</v>
      </c>
      <c r="L594" s="54"/>
      <c r="M594" s="54"/>
      <c r="N594" s="54" t="s">
        <v>83</v>
      </c>
      <c r="O594" s="54"/>
      <c r="P594" s="54" t="s">
        <v>80</v>
      </c>
      <c r="Q594" s="62"/>
      <c r="R594" s="59"/>
    </row>
    <row r="595" spans="1:18" ht="29" x14ac:dyDescent="0.35">
      <c r="A595" s="40">
        <f t="shared" si="9"/>
        <v>594</v>
      </c>
      <c r="B595" s="59" t="s">
        <v>27</v>
      </c>
      <c r="C595" s="57">
        <v>45052</v>
      </c>
      <c r="D595" s="57">
        <v>45061</v>
      </c>
      <c r="E595" s="52" t="s">
        <v>52</v>
      </c>
      <c r="F595" s="52" t="s">
        <v>43</v>
      </c>
      <c r="G595" s="52" t="s">
        <v>1030</v>
      </c>
      <c r="H595" s="58"/>
      <c r="I595" s="58">
        <v>4560000</v>
      </c>
      <c r="J595" s="52" t="s">
        <v>1031</v>
      </c>
      <c r="K595" s="52" t="s">
        <v>81</v>
      </c>
      <c r="L595" s="54"/>
      <c r="M595" s="54"/>
      <c r="N595" s="54" t="s">
        <v>83</v>
      </c>
      <c r="O595" s="54"/>
      <c r="P595" s="54" t="s">
        <v>80</v>
      </c>
      <c r="Q595" s="53"/>
      <c r="R595" s="59"/>
    </row>
    <row r="596" spans="1:18" ht="29" x14ac:dyDescent="0.35">
      <c r="A596" s="40">
        <f t="shared" si="9"/>
        <v>595</v>
      </c>
      <c r="B596" s="59" t="s">
        <v>28</v>
      </c>
      <c r="C596" s="57">
        <v>45054</v>
      </c>
      <c r="D596" s="57">
        <v>45061</v>
      </c>
      <c r="E596" s="52" t="s">
        <v>1032</v>
      </c>
      <c r="F596" s="52" t="s">
        <v>67</v>
      </c>
      <c r="G596" s="52">
        <v>6000088479</v>
      </c>
      <c r="H596" s="58"/>
      <c r="I596" s="58"/>
      <c r="J596" s="52" t="s">
        <v>1033</v>
      </c>
      <c r="K596" s="52" t="s">
        <v>79</v>
      </c>
      <c r="L596" s="54"/>
      <c r="M596" s="54"/>
      <c r="N596" s="54" t="s">
        <v>83</v>
      </c>
      <c r="O596" s="54"/>
      <c r="P596" s="54" t="s">
        <v>80</v>
      </c>
      <c r="Q596" s="59"/>
      <c r="R596" s="59"/>
    </row>
    <row r="597" spans="1:18" ht="72.5" x14ac:dyDescent="0.35">
      <c r="A597" s="40">
        <f t="shared" si="9"/>
        <v>596</v>
      </c>
      <c r="B597" s="59" t="s">
        <v>28</v>
      </c>
      <c r="C597" s="57">
        <v>45056</v>
      </c>
      <c r="D597" s="57">
        <v>45061</v>
      </c>
      <c r="E597" s="52" t="s">
        <v>49</v>
      </c>
      <c r="F597" s="52" t="s">
        <v>1034</v>
      </c>
      <c r="G597" s="52" t="s">
        <v>1035</v>
      </c>
      <c r="H597" s="58"/>
      <c r="I597" s="58"/>
      <c r="J597" s="52" t="s">
        <v>1036</v>
      </c>
      <c r="K597" s="52" t="s">
        <v>81</v>
      </c>
      <c r="L597" s="54"/>
      <c r="M597" s="54"/>
      <c r="N597" s="54" t="s">
        <v>83</v>
      </c>
      <c r="O597" s="54"/>
      <c r="P597" s="54" t="s">
        <v>80</v>
      </c>
      <c r="Q597" s="59" t="s">
        <v>1037</v>
      </c>
      <c r="R597" s="59"/>
    </row>
    <row r="598" spans="1:18" ht="58" x14ac:dyDescent="0.35">
      <c r="A598" s="40">
        <f t="shared" si="9"/>
        <v>597</v>
      </c>
      <c r="B598" s="59" t="s">
        <v>28</v>
      </c>
      <c r="C598" s="57">
        <v>45048</v>
      </c>
      <c r="D598" s="57">
        <v>45059</v>
      </c>
      <c r="E598" s="52" t="s">
        <v>63</v>
      </c>
      <c r="F598" s="52" t="s">
        <v>93</v>
      </c>
      <c r="G598" s="52" t="s">
        <v>1038</v>
      </c>
      <c r="H598" s="58"/>
      <c r="I598" s="58"/>
      <c r="J598" s="52" t="s">
        <v>1039</v>
      </c>
      <c r="K598" s="52" t="s">
        <v>82</v>
      </c>
      <c r="L598" s="54"/>
      <c r="M598" s="54"/>
      <c r="N598" s="54" t="s">
        <v>83</v>
      </c>
      <c r="O598" s="54"/>
      <c r="P598" s="54" t="s">
        <v>80</v>
      </c>
      <c r="Q598" s="59"/>
      <c r="R598" s="59"/>
    </row>
    <row r="599" spans="1:18" ht="58" x14ac:dyDescent="0.35">
      <c r="A599" s="40">
        <f t="shared" si="9"/>
        <v>598</v>
      </c>
      <c r="B599" s="59" t="s">
        <v>27</v>
      </c>
      <c r="C599" s="57">
        <v>45049</v>
      </c>
      <c r="D599" s="57">
        <v>45059</v>
      </c>
      <c r="E599" s="52" t="s">
        <v>99</v>
      </c>
      <c r="F599" s="52" t="s">
        <v>1040</v>
      </c>
      <c r="G599" s="52" t="s">
        <v>1041</v>
      </c>
      <c r="H599" s="58"/>
      <c r="I599" s="58">
        <v>20600611</v>
      </c>
      <c r="J599" s="52" t="s">
        <v>1042</v>
      </c>
      <c r="K599" s="52" t="s">
        <v>82</v>
      </c>
      <c r="L599" s="54"/>
      <c r="M599" s="54"/>
      <c r="N599" s="54" t="s">
        <v>83</v>
      </c>
      <c r="O599" s="54"/>
      <c r="P599" s="54" t="s">
        <v>80</v>
      </c>
      <c r="Q599" s="59" t="s">
        <v>1043</v>
      </c>
      <c r="R599" s="59"/>
    </row>
    <row r="600" spans="1:18" ht="409.5" x14ac:dyDescent="0.35">
      <c r="A600" s="40">
        <f t="shared" si="9"/>
        <v>599</v>
      </c>
      <c r="B600" s="59" t="s">
        <v>31</v>
      </c>
      <c r="C600" s="57">
        <v>45034</v>
      </c>
      <c r="D600" s="57">
        <v>45058</v>
      </c>
      <c r="E600" s="52" t="s">
        <v>1044</v>
      </c>
      <c r="F600" s="52" t="s">
        <v>113</v>
      </c>
      <c r="G600" s="52" t="s">
        <v>1045</v>
      </c>
      <c r="H600" s="58">
        <v>56440677.960000001</v>
      </c>
      <c r="I600" s="58">
        <v>77552178.889830515</v>
      </c>
      <c r="J600" s="52" t="s">
        <v>1046</v>
      </c>
      <c r="K600" s="52" t="s">
        <v>85</v>
      </c>
      <c r="L600" s="54"/>
      <c r="M600" s="54"/>
      <c r="N600" s="54" t="s">
        <v>83</v>
      </c>
      <c r="O600" s="54"/>
      <c r="P600" s="54" t="s">
        <v>80</v>
      </c>
      <c r="Q600" s="59" t="s">
        <v>1047</v>
      </c>
      <c r="R600" s="59"/>
    </row>
    <row r="601" spans="1:18" ht="58" x14ac:dyDescent="0.35">
      <c r="A601" s="40">
        <f t="shared" si="9"/>
        <v>600</v>
      </c>
      <c r="B601" s="59" t="s">
        <v>28</v>
      </c>
      <c r="C601" s="57">
        <v>45049</v>
      </c>
      <c r="D601" s="57">
        <v>45058</v>
      </c>
      <c r="E601" s="52" t="s">
        <v>52</v>
      </c>
      <c r="F601" s="52" t="s">
        <v>53</v>
      </c>
      <c r="G601" s="52" t="s">
        <v>1048</v>
      </c>
      <c r="H601" s="58"/>
      <c r="I601" s="58"/>
      <c r="J601" s="52" t="s">
        <v>1049</v>
      </c>
      <c r="K601" s="52" t="s">
        <v>85</v>
      </c>
      <c r="L601" s="54"/>
      <c r="M601" s="54"/>
      <c r="N601" s="54" t="s">
        <v>83</v>
      </c>
      <c r="O601" s="54"/>
      <c r="P601" s="54" t="s">
        <v>80</v>
      </c>
      <c r="Q601" s="61"/>
      <c r="R601" s="59"/>
    </row>
    <row r="602" spans="1:18" ht="58" x14ac:dyDescent="0.35">
      <c r="A602" s="40">
        <f t="shared" si="9"/>
        <v>601</v>
      </c>
      <c r="B602" s="59" t="s">
        <v>28</v>
      </c>
      <c r="C602" s="57">
        <v>45043</v>
      </c>
      <c r="D602" s="57">
        <v>45057</v>
      </c>
      <c r="E602" s="52" t="s">
        <v>49</v>
      </c>
      <c r="F602" s="52" t="s">
        <v>143</v>
      </c>
      <c r="G602" s="52" t="s">
        <v>1050</v>
      </c>
      <c r="H602" s="58"/>
      <c r="I602" s="58"/>
      <c r="J602" s="52" t="s">
        <v>1051</v>
      </c>
      <c r="K602" s="52" t="s">
        <v>82</v>
      </c>
      <c r="L602" s="54"/>
      <c r="M602" s="54"/>
      <c r="N602" s="54" t="s">
        <v>83</v>
      </c>
      <c r="O602" s="54"/>
      <c r="P602" s="54" t="s">
        <v>80</v>
      </c>
      <c r="Q602" s="59" t="s">
        <v>1052</v>
      </c>
      <c r="R602" s="59"/>
    </row>
    <row r="603" spans="1:18" ht="43.5" x14ac:dyDescent="0.35">
      <c r="A603" s="40">
        <f t="shared" si="9"/>
        <v>602</v>
      </c>
      <c r="B603" s="59" t="s">
        <v>28</v>
      </c>
      <c r="C603" s="57">
        <v>45043</v>
      </c>
      <c r="D603" s="57">
        <v>45057</v>
      </c>
      <c r="E603" s="52" t="s">
        <v>63</v>
      </c>
      <c r="F603" s="52" t="s">
        <v>1053</v>
      </c>
      <c r="G603" s="52" t="s">
        <v>1054</v>
      </c>
      <c r="H603" s="58"/>
      <c r="I603" s="58"/>
      <c r="J603" s="52" t="s">
        <v>1055</v>
      </c>
      <c r="K603" s="52" t="s">
        <v>79</v>
      </c>
      <c r="L603" s="54"/>
      <c r="M603" s="54"/>
      <c r="N603" s="54" t="s">
        <v>83</v>
      </c>
      <c r="O603" s="54"/>
      <c r="P603" s="54" t="s">
        <v>80</v>
      </c>
      <c r="Q603" s="53" t="s">
        <v>723</v>
      </c>
      <c r="R603" s="59"/>
    </row>
    <row r="604" spans="1:18" ht="87" x14ac:dyDescent="0.35">
      <c r="A604" s="40">
        <f t="shared" si="9"/>
        <v>603</v>
      </c>
      <c r="B604" s="59" t="s">
        <v>28</v>
      </c>
      <c r="C604" s="57">
        <v>45045</v>
      </c>
      <c r="D604" s="57">
        <v>45057</v>
      </c>
      <c r="E604" s="52" t="s">
        <v>1056</v>
      </c>
      <c r="F604" s="52" t="s">
        <v>1057</v>
      </c>
      <c r="G604" s="52" t="s">
        <v>1058</v>
      </c>
      <c r="H604" s="58"/>
      <c r="I604" s="58"/>
      <c r="J604" s="52" t="s">
        <v>1059</v>
      </c>
      <c r="K604" s="52" t="s">
        <v>82</v>
      </c>
      <c r="L604" s="52"/>
      <c r="M604" s="54"/>
      <c r="N604" s="54" t="s">
        <v>83</v>
      </c>
      <c r="O604" s="54"/>
      <c r="P604" s="54" t="s">
        <v>80</v>
      </c>
      <c r="Q604" s="70" t="s">
        <v>1060</v>
      </c>
      <c r="R604" s="59"/>
    </row>
    <row r="605" spans="1:18" ht="43.5" x14ac:dyDescent="0.35">
      <c r="A605" s="40">
        <f t="shared" si="9"/>
        <v>604</v>
      </c>
      <c r="B605" s="59" t="s">
        <v>28</v>
      </c>
      <c r="C605" s="57">
        <v>45055</v>
      </c>
      <c r="D605" s="57">
        <v>45057</v>
      </c>
      <c r="E605" s="52" t="s">
        <v>73</v>
      </c>
      <c r="F605" s="52" t="s">
        <v>101</v>
      </c>
      <c r="G605" s="52" t="s">
        <v>1061</v>
      </c>
      <c r="H605" s="58"/>
      <c r="I605" s="58"/>
      <c r="J605" s="52" t="s">
        <v>1062</v>
      </c>
      <c r="K605" s="52" t="s">
        <v>85</v>
      </c>
      <c r="L605" s="54"/>
      <c r="M605" s="54"/>
      <c r="N605" s="54" t="s">
        <v>83</v>
      </c>
      <c r="O605" s="54"/>
      <c r="P605" s="54" t="s">
        <v>80</v>
      </c>
      <c r="Q605" s="53"/>
      <c r="R605" s="59"/>
    </row>
    <row r="606" spans="1:18" ht="145" x14ac:dyDescent="0.35">
      <c r="A606" s="40">
        <f t="shared" si="9"/>
        <v>605</v>
      </c>
      <c r="B606" s="59" t="s">
        <v>28</v>
      </c>
      <c r="C606" s="57">
        <v>45045</v>
      </c>
      <c r="D606" s="57">
        <v>45055</v>
      </c>
      <c r="E606" s="52" t="s">
        <v>49</v>
      </c>
      <c r="F606" s="52" t="s">
        <v>1063</v>
      </c>
      <c r="G606" s="52" t="s">
        <v>1064</v>
      </c>
      <c r="H606" s="58"/>
      <c r="I606" s="58"/>
      <c r="J606" s="52" t="s">
        <v>1065</v>
      </c>
      <c r="K606" s="52" t="s">
        <v>82</v>
      </c>
      <c r="L606" s="54"/>
      <c r="M606" s="54"/>
      <c r="N606" s="54" t="s">
        <v>83</v>
      </c>
      <c r="O606" s="54"/>
      <c r="P606" s="54" t="s">
        <v>80</v>
      </c>
      <c r="Q606" s="59" t="s">
        <v>1066</v>
      </c>
      <c r="R606" s="59"/>
    </row>
    <row r="607" spans="1:18" ht="43.5" x14ac:dyDescent="0.35">
      <c r="A607" s="40">
        <f t="shared" si="9"/>
        <v>606</v>
      </c>
      <c r="B607" s="59" t="s">
        <v>28</v>
      </c>
      <c r="C607" s="57">
        <v>45055</v>
      </c>
      <c r="D607" s="57">
        <v>45055</v>
      </c>
      <c r="E607" s="52" t="s">
        <v>73</v>
      </c>
      <c r="F607" s="52" t="s">
        <v>101</v>
      </c>
      <c r="G607" s="52" t="s">
        <v>1067</v>
      </c>
      <c r="H607" s="58"/>
      <c r="I607" s="58"/>
      <c r="J607" s="52" t="s">
        <v>1068</v>
      </c>
      <c r="K607" s="52" t="s">
        <v>85</v>
      </c>
      <c r="L607" s="54"/>
      <c r="M607" s="54"/>
      <c r="N607" s="54" t="s">
        <v>83</v>
      </c>
      <c r="O607" s="54"/>
      <c r="P607" s="54" t="s">
        <v>80</v>
      </c>
      <c r="Q607" s="53" t="s">
        <v>1069</v>
      </c>
      <c r="R607" s="59"/>
    </row>
    <row r="608" spans="1:18" ht="130.5" x14ac:dyDescent="0.35">
      <c r="A608" s="40">
        <f t="shared" si="9"/>
        <v>607</v>
      </c>
      <c r="B608" s="59" t="s">
        <v>31</v>
      </c>
      <c r="C608" s="57">
        <v>45034</v>
      </c>
      <c r="D608" s="57">
        <v>45051</v>
      </c>
      <c r="E608" s="52" t="s">
        <v>1070</v>
      </c>
      <c r="F608" s="52" t="s">
        <v>1071</v>
      </c>
      <c r="G608" s="52" t="s">
        <v>1072</v>
      </c>
      <c r="H608" s="58">
        <v>201492000</v>
      </c>
      <c r="I608" s="58">
        <v>255595680</v>
      </c>
      <c r="J608" s="52" t="s">
        <v>1073</v>
      </c>
      <c r="K608" s="52" t="s">
        <v>82</v>
      </c>
      <c r="L608" s="54"/>
      <c r="M608" s="54"/>
      <c r="N608" s="54" t="s">
        <v>83</v>
      </c>
      <c r="O608" s="54"/>
      <c r="P608" s="54" t="s">
        <v>80</v>
      </c>
      <c r="Q608" s="53" t="s">
        <v>1074</v>
      </c>
      <c r="R608" s="59"/>
    </row>
    <row r="609" spans="1:18" ht="87" x14ac:dyDescent="0.35">
      <c r="A609" s="40">
        <f t="shared" si="9"/>
        <v>608</v>
      </c>
      <c r="B609" s="59" t="s">
        <v>33</v>
      </c>
      <c r="C609" s="57">
        <v>45035</v>
      </c>
      <c r="D609" s="57">
        <v>45051</v>
      </c>
      <c r="E609" s="52" t="s">
        <v>52</v>
      </c>
      <c r="F609" s="52" t="s">
        <v>43</v>
      </c>
      <c r="G609" s="52" t="s">
        <v>1075</v>
      </c>
      <c r="H609" s="58"/>
      <c r="I609" s="58">
        <v>214099200</v>
      </c>
      <c r="J609" s="52" t="s">
        <v>594</v>
      </c>
      <c r="K609" s="52" t="s">
        <v>81</v>
      </c>
      <c r="L609" s="54"/>
      <c r="M609" s="54"/>
      <c r="N609" s="54" t="s">
        <v>83</v>
      </c>
      <c r="O609" s="54"/>
      <c r="P609" s="54" t="s">
        <v>80</v>
      </c>
      <c r="Q609" s="53" t="s">
        <v>1076</v>
      </c>
      <c r="R609" s="59"/>
    </row>
    <row r="610" spans="1:18" ht="72.5" x14ac:dyDescent="0.35">
      <c r="A610" s="40">
        <f t="shared" si="9"/>
        <v>609</v>
      </c>
      <c r="B610" s="59" t="s">
        <v>28</v>
      </c>
      <c r="C610" s="57">
        <v>45044</v>
      </c>
      <c r="D610" s="57">
        <v>45050</v>
      </c>
      <c r="E610" s="52" t="s">
        <v>58</v>
      </c>
      <c r="F610" s="52" t="s">
        <v>59</v>
      </c>
      <c r="G610" s="52" t="s">
        <v>1077</v>
      </c>
      <c r="H610" s="58"/>
      <c r="I610" s="58"/>
      <c r="J610" s="52" t="s">
        <v>1078</v>
      </c>
      <c r="K610" s="52" t="s">
        <v>82</v>
      </c>
      <c r="L610" s="54"/>
      <c r="M610" s="54"/>
      <c r="N610" s="54" t="s">
        <v>83</v>
      </c>
      <c r="O610" s="54"/>
      <c r="P610" s="54" t="s">
        <v>80</v>
      </c>
      <c r="Q610" s="59"/>
      <c r="R610" s="59"/>
    </row>
    <row r="611" spans="1:18" ht="72.5" x14ac:dyDescent="0.35">
      <c r="A611" s="40">
        <f t="shared" si="9"/>
        <v>610</v>
      </c>
      <c r="B611" s="59" t="s">
        <v>28</v>
      </c>
      <c r="C611" s="57">
        <v>45029</v>
      </c>
      <c r="D611" s="57">
        <v>45049</v>
      </c>
      <c r="E611" s="52" t="s">
        <v>105</v>
      </c>
      <c r="F611" s="52" t="s">
        <v>287</v>
      </c>
      <c r="G611" s="52" t="s">
        <v>1079</v>
      </c>
      <c r="H611" s="58"/>
      <c r="I611" s="58"/>
      <c r="J611" s="52" t="s">
        <v>1080</v>
      </c>
      <c r="K611" s="52" t="s">
        <v>82</v>
      </c>
      <c r="L611" s="54"/>
      <c r="M611" s="54"/>
      <c r="N611" s="54" t="s">
        <v>83</v>
      </c>
      <c r="O611" s="54"/>
      <c r="P611" s="54" t="s">
        <v>80</v>
      </c>
      <c r="Q611" s="59" t="s">
        <v>1043</v>
      </c>
      <c r="R611" s="59"/>
    </row>
    <row r="612" spans="1:18" ht="72.5" x14ac:dyDescent="0.35">
      <c r="A612" s="40">
        <f t="shared" si="9"/>
        <v>611</v>
      </c>
      <c r="B612" s="59" t="s">
        <v>33</v>
      </c>
      <c r="C612" s="57">
        <v>45040</v>
      </c>
      <c r="D612" s="57">
        <v>45049</v>
      </c>
      <c r="E612" s="52" t="s">
        <v>1081</v>
      </c>
      <c r="F612" s="52" t="s">
        <v>1082</v>
      </c>
      <c r="G612" s="52" t="s">
        <v>1083</v>
      </c>
      <c r="H612" s="58"/>
      <c r="I612" s="58">
        <v>2500000</v>
      </c>
      <c r="J612" s="52" t="s">
        <v>1084</v>
      </c>
      <c r="K612" s="52" t="s">
        <v>79</v>
      </c>
      <c r="L612" s="54"/>
      <c r="M612" s="54"/>
      <c r="N612" s="54" t="s">
        <v>83</v>
      </c>
      <c r="O612" s="54"/>
      <c r="P612" s="54" t="s">
        <v>80</v>
      </c>
      <c r="Q612" s="59" t="s">
        <v>1076</v>
      </c>
      <c r="R612" s="59"/>
    </row>
    <row r="613" spans="1:18" ht="72.5" x14ac:dyDescent="0.35">
      <c r="A613" s="40">
        <f t="shared" si="9"/>
        <v>612</v>
      </c>
      <c r="B613" s="59" t="s">
        <v>33</v>
      </c>
      <c r="C613" s="57">
        <v>45040</v>
      </c>
      <c r="D613" s="57">
        <v>45049</v>
      </c>
      <c r="E613" s="52" t="s">
        <v>1081</v>
      </c>
      <c r="F613" s="52" t="s">
        <v>65</v>
      </c>
      <c r="G613" s="52" t="s">
        <v>1085</v>
      </c>
      <c r="H613" s="58"/>
      <c r="I613" s="58">
        <v>4000000</v>
      </c>
      <c r="J613" s="52" t="s">
        <v>1086</v>
      </c>
      <c r="K613" s="52" t="s">
        <v>82</v>
      </c>
      <c r="L613" s="54"/>
      <c r="M613" s="54"/>
      <c r="N613" s="54" t="s">
        <v>83</v>
      </c>
      <c r="O613" s="54"/>
      <c r="P613" s="54" t="s">
        <v>80</v>
      </c>
      <c r="Q613" s="53"/>
      <c r="R613" s="59"/>
    </row>
    <row r="614" spans="1:18" ht="29" x14ac:dyDescent="0.35">
      <c r="A614" s="40">
        <f t="shared" si="9"/>
        <v>613</v>
      </c>
      <c r="B614" s="59" t="s">
        <v>27</v>
      </c>
      <c r="C614" s="57">
        <v>45030</v>
      </c>
      <c r="D614" s="57">
        <v>45048</v>
      </c>
      <c r="E614" s="52" t="s">
        <v>785</v>
      </c>
      <c r="F614" s="52" t="s">
        <v>67</v>
      </c>
      <c r="G614" s="52" t="s">
        <v>1087</v>
      </c>
      <c r="H614" s="58"/>
      <c r="I614" s="58">
        <v>11899392</v>
      </c>
      <c r="J614" s="52" t="s">
        <v>1088</v>
      </c>
      <c r="K614" s="52" t="s">
        <v>147</v>
      </c>
      <c r="L614" s="54"/>
      <c r="M614" s="54"/>
      <c r="N614" s="54" t="s">
        <v>83</v>
      </c>
      <c r="O614" s="54"/>
      <c r="P614" s="54" t="s">
        <v>80</v>
      </c>
      <c r="Q614" s="53"/>
      <c r="R614" s="59"/>
    </row>
    <row r="615" spans="1:18" ht="87" x14ac:dyDescent="0.35">
      <c r="A615" s="40">
        <f t="shared" si="9"/>
        <v>614</v>
      </c>
      <c r="B615" s="59" t="s">
        <v>28</v>
      </c>
      <c r="C615" s="57">
        <v>45040</v>
      </c>
      <c r="D615" s="57">
        <v>45048</v>
      </c>
      <c r="E615" s="52" t="s">
        <v>73</v>
      </c>
      <c r="F615" s="52" t="s">
        <v>47</v>
      </c>
      <c r="G615" s="52" t="s">
        <v>1089</v>
      </c>
      <c r="H615" s="58"/>
      <c r="I615" s="58"/>
      <c r="J615" s="52" t="s">
        <v>1090</v>
      </c>
      <c r="K615" s="52" t="s">
        <v>85</v>
      </c>
      <c r="L615" s="54"/>
      <c r="M615" s="54"/>
      <c r="N615" s="54" t="s">
        <v>83</v>
      </c>
      <c r="O615" s="54"/>
      <c r="P615" s="54" t="s">
        <v>80</v>
      </c>
      <c r="Q615" s="59" t="s">
        <v>1091</v>
      </c>
      <c r="R615" s="59"/>
    </row>
    <row r="616" spans="1:18" ht="58" x14ac:dyDescent="0.35">
      <c r="A616" s="40">
        <f t="shared" si="9"/>
        <v>615</v>
      </c>
      <c r="B616" s="59" t="s">
        <v>28</v>
      </c>
      <c r="C616" s="57">
        <v>45043</v>
      </c>
      <c r="D616" s="57">
        <v>45048</v>
      </c>
      <c r="E616" s="52" t="s">
        <v>49</v>
      </c>
      <c r="F616" s="52" t="s">
        <v>95</v>
      </c>
      <c r="G616" s="52" t="s">
        <v>1092</v>
      </c>
      <c r="H616" s="58"/>
      <c r="I616" s="58"/>
      <c r="J616" s="52" t="s">
        <v>1093</v>
      </c>
      <c r="K616" s="52" t="s">
        <v>85</v>
      </c>
      <c r="L616" s="54"/>
      <c r="M616" s="54"/>
      <c r="N616" s="54" t="s">
        <v>83</v>
      </c>
      <c r="O616" s="54"/>
      <c r="P616" s="54" t="s">
        <v>80</v>
      </c>
      <c r="Q616" s="59"/>
      <c r="R616" s="59"/>
    </row>
    <row r="617" spans="1:18" ht="72.5" x14ac:dyDescent="0.35">
      <c r="A617" s="40">
        <f t="shared" si="9"/>
        <v>616</v>
      </c>
      <c r="B617" s="59" t="s">
        <v>28</v>
      </c>
      <c r="C617" s="57">
        <v>45021</v>
      </c>
      <c r="D617" s="57">
        <v>45047</v>
      </c>
      <c r="E617" s="52" t="s">
        <v>105</v>
      </c>
      <c r="F617" s="52" t="s">
        <v>110</v>
      </c>
      <c r="G617" s="52" t="s">
        <v>1094</v>
      </c>
      <c r="H617" s="58"/>
      <c r="I617" s="58"/>
      <c r="J617" s="52" t="s">
        <v>1095</v>
      </c>
      <c r="K617" s="52" t="s">
        <v>82</v>
      </c>
      <c r="L617" s="54"/>
      <c r="M617" s="54"/>
      <c r="N617" s="54" t="s">
        <v>83</v>
      </c>
      <c r="O617" s="54"/>
      <c r="P617" s="54" t="s">
        <v>80</v>
      </c>
      <c r="Q617" s="59"/>
      <c r="R617" s="59"/>
    </row>
    <row r="618" spans="1:18" ht="159.5" x14ac:dyDescent="0.35">
      <c r="A618" s="40">
        <f t="shared" si="9"/>
        <v>617</v>
      </c>
      <c r="B618" s="59" t="s">
        <v>28</v>
      </c>
      <c r="C618" s="57">
        <v>45034</v>
      </c>
      <c r="D618" s="57">
        <v>45047</v>
      </c>
      <c r="E618" s="52" t="s">
        <v>63</v>
      </c>
      <c r="F618" s="52" t="s">
        <v>265</v>
      </c>
      <c r="G618" s="52" t="s">
        <v>1096</v>
      </c>
      <c r="H618" s="58"/>
      <c r="I618" s="58"/>
      <c r="J618" s="52" t="s">
        <v>1097</v>
      </c>
      <c r="K618" s="52" t="s">
        <v>79</v>
      </c>
      <c r="L618" s="54"/>
      <c r="M618" s="54"/>
      <c r="N618" s="54" t="s">
        <v>83</v>
      </c>
      <c r="O618" s="54"/>
      <c r="P618" s="54" t="s">
        <v>80</v>
      </c>
      <c r="Q618" s="59"/>
      <c r="R618" s="59"/>
    </row>
    <row r="619" spans="1:18" ht="174" x14ac:dyDescent="0.35">
      <c r="A619" s="40">
        <f t="shared" si="9"/>
        <v>618</v>
      </c>
      <c r="B619" s="59" t="s">
        <v>31</v>
      </c>
      <c r="C619" s="57">
        <v>45034</v>
      </c>
      <c r="D619" s="57">
        <v>45047</v>
      </c>
      <c r="E619" s="52" t="s">
        <v>63</v>
      </c>
      <c r="F619" s="52" t="s">
        <v>265</v>
      </c>
      <c r="G619" s="52" t="s">
        <v>1098</v>
      </c>
      <c r="H619" s="58">
        <v>37546687.677966103</v>
      </c>
      <c r="I619" s="58">
        <v>37733387.288135596</v>
      </c>
      <c r="J619" s="52" t="s">
        <v>1099</v>
      </c>
      <c r="K619" s="52" t="s">
        <v>82</v>
      </c>
      <c r="L619" s="54"/>
      <c r="M619" s="54"/>
      <c r="N619" s="54" t="s">
        <v>83</v>
      </c>
      <c r="O619" s="54"/>
      <c r="P619" s="54" t="s">
        <v>80</v>
      </c>
      <c r="Q619" s="61" t="s">
        <v>1100</v>
      </c>
      <c r="R619" s="59"/>
    </row>
    <row r="620" spans="1:18" ht="174" x14ac:dyDescent="0.35">
      <c r="A620" s="40">
        <f t="shared" si="9"/>
        <v>619</v>
      </c>
      <c r="B620" s="59" t="s">
        <v>31</v>
      </c>
      <c r="C620" s="57">
        <v>45034</v>
      </c>
      <c r="D620" s="57">
        <v>45047</v>
      </c>
      <c r="E620" s="52" t="s">
        <v>63</v>
      </c>
      <c r="F620" s="52" t="s">
        <v>265</v>
      </c>
      <c r="G620" s="52" t="s">
        <v>1101</v>
      </c>
      <c r="H620" s="58"/>
      <c r="I620" s="58">
        <v>53835037.169491529</v>
      </c>
      <c r="J620" s="52" t="s">
        <v>1102</v>
      </c>
      <c r="K620" s="52" t="s">
        <v>82</v>
      </c>
      <c r="L620" s="54"/>
      <c r="M620" s="54"/>
      <c r="N620" s="54" t="s">
        <v>83</v>
      </c>
      <c r="O620" s="54"/>
      <c r="P620" s="54" t="s">
        <v>80</v>
      </c>
      <c r="Q620" s="59"/>
      <c r="R620" s="59"/>
    </row>
    <row r="621" spans="1:18" ht="43.5" x14ac:dyDescent="0.35">
      <c r="A621" s="40">
        <f t="shared" si="9"/>
        <v>620</v>
      </c>
      <c r="B621" s="59" t="s">
        <v>28</v>
      </c>
      <c r="C621" s="57">
        <v>45036</v>
      </c>
      <c r="D621" s="55">
        <v>45047</v>
      </c>
      <c r="E621" s="52" t="s">
        <v>63</v>
      </c>
      <c r="F621" s="52" t="s">
        <v>60</v>
      </c>
      <c r="G621" s="52" t="s">
        <v>1103</v>
      </c>
      <c r="H621" s="58"/>
      <c r="I621" s="58"/>
      <c r="J621" s="52" t="s">
        <v>1104</v>
      </c>
      <c r="K621" s="52" t="s">
        <v>81</v>
      </c>
      <c r="L621" s="54"/>
      <c r="M621" s="54"/>
      <c r="N621" s="54" t="s">
        <v>83</v>
      </c>
      <c r="O621" s="54"/>
      <c r="P621" s="54" t="s">
        <v>80</v>
      </c>
      <c r="Q621" s="59"/>
      <c r="R621" s="59"/>
    </row>
    <row r="622" spans="1:18" ht="43.5" x14ac:dyDescent="0.35">
      <c r="A622" s="40">
        <f t="shared" si="9"/>
        <v>621</v>
      </c>
      <c r="B622" s="59" t="s">
        <v>28</v>
      </c>
      <c r="C622" s="57">
        <v>45036</v>
      </c>
      <c r="D622" s="57">
        <v>45045</v>
      </c>
      <c r="E622" s="52" t="s">
        <v>1105</v>
      </c>
      <c r="F622" s="52" t="s">
        <v>1106</v>
      </c>
      <c r="G622" s="52" t="s">
        <v>1107</v>
      </c>
      <c r="H622" s="58"/>
      <c r="I622" s="58"/>
      <c r="J622" s="52" t="s">
        <v>1108</v>
      </c>
      <c r="K622" s="52" t="s">
        <v>85</v>
      </c>
      <c r="L622" s="54"/>
      <c r="M622" s="54"/>
      <c r="N622" s="54" t="s">
        <v>83</v>
      </c>
      <c r="O622" s="54"/>
      <c r="P622" s="54" t="s">
        <v>80</v>
      </c>
      <c r="Q622" s="59"/>
      <c r="R622" s="59"/>
    </row>
    <row r="623" spans="1:18" ht="409.5" x14ac:dyDescent="0.35">
      <c r="A623" s="40">
        <f t="shared" si="9"/>
        <v>622</v>
      </c>
      <c r="B623" s="59" t="s">
        <v>31</v>
      </c>
      <c r="C623" s="57">
        <v>45023</v>
      </c>
      <c r="D623" s="57">
        <v>45043</v>
      </c>
      <c r="E623" s="52" t="s">
        <v>109</v>
      </c>
      <c r="F623" s="52" t="s">
        <v>150</v>
      </c>
      <c r="G623" s="52" t="s">
        <v>1109</v>
      </c>
      <c r="H623" s="58">
        <v>22166587.789999999</v>
      </c>
      <c r="I623" s="58">
        <v>22166587.796610173</v>
      </c>
      <c r="J623" s="52" t="s">
        <v>1110</v>
      </c>
      <c r="K623" s="54" t="s">
        <v>82</v>
      </c>
      <c r="L623" s="54"/>
      <c r="M623" s="54"/>
      <c r="N623" s="54" t="s">
        <v>83</v>
      </c>
      <c r="O623" s="54"/>
      <c r="P623" s="54" t="s">
        <v>80</v>
      </c>
      <c r="Q623" s="61" t="s">
        <v>1111</v>
      </c>
      <c r="R623" s="59"/>
    </row>
    <row r="624" spans="1:18" ht="101.5" x14ac:dyDescent="0.35">
      <c r="A624" s="40">
        <f t="shared" si="9"/>
        <v>623</v>
      </c>
      <c r="B624" s="59" t="s">
        <v>28</v>
      </c>
      <c r="C624" s="57">
        <v>45023</v>
      </c>
      <c r="D624" s="57">
        <v>45042</v>
      </c>
      <c r="E624" s="52" t="s">
        <v>49</v>
      </c>
      <c r="F624" s="52" t="s">
        <v>103</v>
      </c>
      <c r="G624" s="52" t="s">
        <v>1112</v>
      </c>
      <c r="H624" s="58"/>
      <c r="I624" s="58"/>
      <c r="J624" s="52" t="s">
        <v>1113</v>
      </c>
      <c r="K624" s="52" t="s">
        <v>82</v>
      </c>
      <c r="L624" s="54"/>
      <c r="M624" s="54"/>
      <c r="N624" s="54" t="s">
        <v>83</v>
      </c>
      <c r="O624" s="54"/>
      <c r="P624" s="54" t="s">
        <v>80</v>
      </c>
      <c r="Q624" s="59" t="s">
        <v>723</v>
      </c>
      <c r="R624" s="59"/>
    </row>
    <row r="625" spans="1:18" ht="72.5" x14ac:dyDescent="0.35">
      <c r="A625" s="40">
        <f t="shared" si="9"/>
        <v>624</v>
      </c>
      <c r="B625" s="59" t="s">
        <v>27</v>
      </c>
      <c r="C625" s="57">
        <v>45008</v>
      </c>
      <c r="D625" s="57">
        <v>45041</v>
      </c>
      <c r="E625" s="52" t="s">
        <v>109</v>
      </c>
      <c r="F625" s="52" t="s">
        <v>150</v>
      </c>
      <c r="G625" s="52" t="s">
        <v>1114</v>
      </c>
      <c r="H625" s="58"/>
      <c r="I625" s="58">
        <v>29753346.576271188</v>
      </c>
      <c r="J625" s="52" t="s">
        <v>1115</v>
      </c>
      <c r="K625" s="52" t="s">
        <v>82</v>
      </c>
      <c r="L625" s="54"/>
      <c r="M625" s="54"/>
      <c r="N625" s="54" t="s">
        <v>83</v>
      </c>
      <c r="O625" s="54"/>
      <c r="P625" s="54" t="s">
        <v>80</v>
      </c>
      <c r="Q625" s="53"/>
      <c r="R625" s="59"/>
    </row>
    <row r="626" spans="1:18" ht="58" x14ac:dyDescent="0.35">
      <c r="A626" s="40">
        <f t="shared" si="9"/>
        <v>625</v>
      </c>
      <c r="B626" s="59" t="s">
        <v>28</v>
      </c>
      <c r="C626" s="57">
        <v>45021</v>
      </c>
      <c r="D626" s="57">
        <v>45041</v>
      </c>
      <c r="E626" s="52" t="s">
        <v>328</v>
      </c>
      <c r="F626" s="52" t="s">
        <v>68</v>
      </c>
      <c r="G626" s="52" t="s">
        <v>1116</v>
      </c>
      <c r="H626" s="58"/>
      <c r="I626" s="58"/>
      <c r="J626" s="52" t="s">
        <v>1117</v>
      </c>
      <c r="K626" s="52" t="s">
        <v>79</v>
      </c>
      <c r="L626" s="54"/>
      <c r="M626" s="54"/>
      <c r="N626" s="54" t="s">
        <v>83</v>
      </c>
      <c r="O626" s="54"/>
      <c r="P626" s="54" t="s">
        <v>80</v>
      </c>
      <c r="Q626" s="59" t="s">
        <v>1118</v>
      </c>
      <c r="R626" s="59"/>
    </row>
    <row r="627" spans="1:18" ht="72.5" x14ac:dyDescent="0.35">
      <c r="A627" s="40">
        <f t="shared" si="9"/>
        <v>626</v>
      </c>
      <c r="B627" s="59" t="s">
        <v>28</v>
      </c>
      <c r="C627" s="57">
        <v>45016</v>
      </c>
      <c r="D627" s="57">
        <v>45037</v>
      </c>
      <c r="E627" s="52" t="s">
        <v>137</v>
      </c>
      <c r="F627" s="52" t="s">
        <v>67</v>
      </c>
      <c r="G627" s="52" t="s">
        <v>1119</v>
      </c>
      <c r="H627" s="58"/>
      <c r="I627" s="58"/>
      <c r="J627" s="52" t="s">
        <v>1120</v>
      </c>
      <c r="K627" s="52" t="s">
        <v>768</v>
      </c>
      <c r="L627" s="54"/>
      <c r="M627" s="54"/>
      <c r="N627" s="54" t="s">
        <v>83</v>
      </c>
      <c r="O627" s="54"/>
      <c r="P627" s="54" t="s">
        <v>80</v>
      </c>
      <c r="Q627" s="53" t="s">
        <v>1100</v>
      </c>
      <c r="R627" s="59"/>
    </row>
    <row r="628" spans="1:18" ht="43.5" x14ac:dyDescent="0.35">
      <c r="A628" s="40">
        <f t="shared" si="9"/>
        <v>627</v>
      </c>
      <c r="B628" s="59" t="s">
        <v>28</v>
      </c>
      <c r="C628" s="57">
        <v>45021</v>
      </c>
      <c r="D628" s="57">
        <v>45037</v>
      </c>
      <c r="E628" s="52" t="s">
        <v>52</v>
      </c>
      <c r="F628" s="52" t="s">
        <v>53</v>
      </c>
      <c r="G628" s="52" t="s">
        <v>1121</v>
      </c>
      <c r="H628" s="58"/>
      <c r="I628" s="58"/>
      <c r="J628" s="52" t="s">
        <v>1122</v>
      </c>
      <c r="K628" s="52" t="s">
        <v>85</v>
      </c>
      <c r="L628" s="54"/>
      <c r="M628" s="54"/>
      <c r="N628" s="54" t="s">
        <v>83</v>
      </c>
      <c r="O628" s="54"/>
      <c r="P628" s="54" t="s">
        <v>80</v>
      </c>
      <c r="Q628" s="53" t="s">
        <v>781</v>
      </c>
      <c r="R628" s="59"/>
    </row>
    <row r="629" spans="1:18" ht="409.5" x14ac:dyDescent="0.35">
      <c r="A629" s="40">
        <f t="shared" si="9"/>
        <v>628</v>
      </c>
      <c r="B629" s="59" t="s">
        <v>31</v>
      </c>
      <c r="C629" s="57">
        <v>45030</v>
      </c>
      <c r="D629" s="57">
        <v>45037</v>
      </c>
      <c r="E629" s="52" t="s">
        <v>49</v>
      </c>
      <c r="F629" s="52" t="s">
        <v>103</v>
      </c>
      <c r="G629" s="52" t="s">
        <v>1123</v>
      </c>
      <c r="H629" s="58">
        <v>25804853.050000001</v>
      </c>
      <c r="I629" s="58">
        <v>30449726.609999999</v>
      </c>
      <c r="J629" s="52" t="s">
        <v>1124</v>
      </c>
      <c r="K629" s="52" t="s">
        <v>82</v>
      </c>
      <c r="L629" s="54"/>
      <c r="M629" s="54"/>
      <c r="N629" s="54" t="s">
        <v>83</v>
      </c>
      <c r="O629" s="54"/>
      <c r="P629" s="54" t="s">
        <v>80</v>
      </c>
      <c r="Q629" s="59" t="s">
        <v>1125</v>
      </c>
      <c r="R629" s="59"/>
    </row>
    <row r="630" spans="1:18" ht="409.5" x14ac:dyDescent="0.35">
      <c r="A630" s="40">
        <f t="shared" si="9"/>
        <v>629</v>
      </c>
      <c r="B630" s="59" t="s">
        <v>31</v>
      </c>
      <c r="C630" s="57">
        <v>45030</v>
      </c>
      <c r="D630" s="57">
        <v>45037</v>
      </c>
      <c r="E630" s="52" t="s">
        <v>49</v>
      </c>
      <c r="F630" s="52" t="s">
        <v>103</v>
      </c>
      <c r="G630" s="52" t="s">
        <v>1126</v>
      </c>
      <c r="H630" s="58">
        <v>25804853.050000001</v>
      </c>
      <c r="I630" s="58">
        <v>30479370.106559228</v>
      </c>
      <c r="J630" s="52" t="s">
        <v>1124</v>
      </c>
      <c r="K630" s="52" t="s">
        <v>82</v>
      </c>
      <c r="L630" s="54"/>
      <c r="M630" s="54"/>
      <c r="N630" s="54" t="s">
        <v>83</v>
      </c>
      <c r="O630" s="54"/>
      <c r="P630" s="54" t="s">
        <v>80</v>
      </c>
      <c r="Q630" s="59" t="s">
        <v>1127</v>
      </c>
      <c r="R630" s="59"/>
    </row>
    <row r="631" spans="1:18" ht="409.5" x14ac:dyDescent="0.35">
      <c r="A631" s="40">
        <f t="shared" si="9"/>
        <v>630</v>
      </c>
      <c r="B631" s="59" t="s">
        <v>31</v>
      </c>
      <c r="C631" s="57">
        <v>45030</v>
      </c>
      <c r="D631" s="57">
        <v>45037</v>
      </c>
      <c r="E631" s="52" t="s">
        <v>49</v>
      </c>
      <c r="F631" s="52" t="s">
        <v>103</v>
      </c>
      <c r="G631" s="52" t="s">
        <v>1128</v>
      </c>
      <c r="H631" s="58">
        <v>13079049.689999999</v>
      </c>
      <c r="I631" s="58">
        <v>16007782.529920002</v>
      </c>
      <c r="J631" s="52" t="s">
        <v>1124</v>
      </c>
      <c r="K631" s="52" t="s">
        <v>82</v>
      </c>
      <c r="L631" s="54"/>
      <c r="M631" s="54"/>
      <c r="N631" s="54" t="s">
        <v>83</v>
      </c>
      <c r="O631" s="54"/>
      <c r="P631" s="54" t="s">
        <v>80</v>
      </c>
      <c r="Q631" s="59" t="s">
        <v>1129</v>
      </c>
      <c r="R631" s="59"/>
    </row>
    <row r="632" spans="1:18" ht="101.5" x14ac:dyDescent="0.35">
      <c r="A632" s="40">
        <f t="shared" si="9"/>
        <v>631</v>
      </c>
      <c r="B632" s="59" t="s">
        <v>28</v>
      </c>
      <c r="C632" s="57">
        <v>45031</v>
      </c>
      <c r="D632" s="57">
        <v>45037</v>
      </c>
      <c r="E632" s="52" t="s">
        <v>52</v>
      </c>
      <c r="F632" s="52" t="s">
        <v>141</v>
      </c>
      <c r="G632" s="52" t="s">
        <v>1130</v>
      </c>
      <c r="H632" s="58"/>
      <c r="I632" s="58"/>
      <c r="J632" s="52" t="s">
        <v>1131</v>
      </c>
      <c r="K632" s="52" t="s">
        <v>79</v>
      </c>
      <c r="L632" s="54"/>
      <c r="M632" s="54"/>
      <c r="N632" s="54" t="s">
        <v>83</v>
      </c>
      <c r="O632" s="54"/>
      <c r="P632" s="54" t="s">
        <v>80</v>
      </c>
      <c r="Q632" s="53" t="s">
        <v>1100</v>
      </c>
      <c r="R632" s="59"/>
    </row>
    <row r="633" spans="1:18" ht="43.5" x14ac:dyDescent="0.35">
      <c r="A633" s="40">
        <f t="shared" si="9"/>
        <v>632</v>
      </c>
      <c r="B633" s="59" t="s">
        <v>28</v>
      </c>
      <c r="C633" s="57">
        <v>45030</v>
      </c>
      <c r="D633" s="57">
        <v>45036</v>
      </c>
      <c r="E633" s="52" t="s">
        <v>328</v>
      </c>
      <c r="F633" s="52" t="s">
        <v>135</v>
      </c>
      <c r="G633" s="52" t="s">
        <v>1132</v>
      </c>
      <c r="H633" s="58"/>
      <c r="I633" s="58"/>
      <c r="J633" s="52" t="s">
        <v>1133</v>
      </c>
      <c r="K633" s="52" t="s">
        <v>79</v>
      </c>
      <c r="L633" s="54"/>
      <c r="M633" s="54"/>
      <c r="N633" s="54" t="s">
        <v>83</v>
      </c>
      <c r="O633" s="54"/>
      <c r="P633" s="54" t="s">
        <v>80</v>
      </c>
      <c r="Q633" s="59" t="s">
        <v>1118</v>
      </c>
      <c r="R633" s="59"/>
    </row>
    <row r="634" spans="1:18" ht="72.5" x14ac:dyDescent="0.35">
      <c r="A634" s="40">
        <f t="shared" si="9"/>
        <v>633</v>
      </c>
      <c r="B634" s="59" t="s">
        <v>28</v>
      </c>
      <c r="C634" s="57">
        <v>45020</v>
      </c>
      <c r="D634" s="57">
        <v>45034</v>
      </c>
      <c r="E634" s="52" t="s">
        <v>63</v>
      </c>
      <c r="F634" s="52" t="s">
        <v>878</v>
      </c>
      <c r="G634" s="52" t="s">
        <v>1134</v>
      </c>
      <c r="H634" s="58"/>
      <c r="I634" s="58"/>
      <c r="J634" s="52" t="s">
        <v>1135</v>
      </c>
      <c r="K634" s="52" t="s">
        <v>79</v>
      </c>
      <c r="L634" s="54"/>
      <c r="M634" s="54"/>
      <c r="N634" s="54" t="s">
        <v>83</v>
      </c>
      <c r="O634" s="54"/>
      <c r="P634" s="54" t="s">
        <v>80</v>
      </c>
      <c r="Q634" s="53" t="s">
        <v>723</v>
      </c>
      <c r="R634" s="59"/>
    </row>
    <row r="635" spans="1:18" ht="101.5" x14ac:dyDescent="0.35">
      <c r="A635" s="40">
        <f t="shared" si="9"/>
        <v>634</v>
      </c>
      <c r="B635" s="59" t="s">
        <v>29</v>
      </c>
      <c r="C635" s="57">
        <v>45017</v>
      </c>
      <c r="D635" s="57">
        <v>45033</v>
      </c>
      <c r="E635" s="52" t="s">
        <v>863</v>
      </c>
      <c r="F635" s="52" t="s">
        <v>1136</v>
      </c>
      <c r="G635" s="52" t="s">
        <v>1137</v>
      </c>
      <c r="H635" s="58">
        <v>25719528.889830511</v>
      </c>
      <c r="I635" s="58">
        <v>25771038</v>
      </c>
      <c r="J635" s="52" t="s">
        <v>1138</v>
      </c>
      <c r="K635" s="52" t="s">
        <v>84</v>
      </c>
      <c r="L635" s="54"/>
      <c r="M635" s="54"/>
      <c r="N635" s="54" t="s">
        <v>83</v>
      </c>
      <c r="O635" s="54"/>
      <c r="P635" s="54" t="s">
        <v>80</v>
      </c>
      <c r="Q635" s="53"/>
      <c r="R635" s="59"/>
    </row>
    <row r="636" spans="1:18" ht="87" x14ac:dyDescent="0.35">
      <c r="A636" s="40">
        <f t="shared" si="9"/>
        <v>635</v>
      </c>
      <c r="B636" s="59" t="s">
        <v>27</v>
      </c>
      <c r="C636" s="57">
        <v>45020</v>
      </c>
      <c r="D636" s="57">
        <v>45033</v>
      </c>
      <c r="E636" s="52" t="s">
        <v>1139</v>
      </c>
      <c r="F636" s="52" t="s">
        <v>122</v>
      </c>
      <c r="G636" s="52" t="s">
        <v>1140</v>
      </c>
      <c r="H636" s="58"/>
      <c r="I636" s="58">
        <v>76120750</v>
      </c>
      <c r="J636" s="52" t="s">
        <v>1141</v>
      </c>
      <c r="K636" s="52" t="s">
        <v>82</v>
      </c>
      <c r="L636" s="54"/>
      <c r="M636" s="54"/>
      <c r="N636" s="54" t="s">
        <v>83</v>
      </c>
      <c r="O636" s="54"/>
      <c r="P636" s="54" t="s">
        <v>80</v>
      </c>
      <c r="Q636" s="61"/>
      <c r="R636" s="59"/>
    </row>
    <row r="637" spans="1:18" ht="72.5" x14ac:dyDescent="0.35">
      <c r="A637" s="40">
        <f t="shared" si="9"/>
        <v>636</v>
      </c>
      <c r="B637" s="59" t="s">
        <v>28</v>
      </c>
      <c r="C637" s="57">
        <v>45026</v>
      </c>
      <c r="D637" s="57">
        <v>45033</v>
      </c>
      <c r="E637" s="52" t="s">
        <v>173</v>
      </c>
      <c r="F637" s="52" t="s">
        <v>1142</v>
      </c>
      <c r="G637" s="52" t="s">
        <v>1143</v>
      </c>
      <c r="H637" s="58"/>
      <c r="I637" s="58"/>
      <c r="J637" s="52" t="s">
        <v>1144</v>
      </c>
      <c r="K637" s="52" t="s">
        <v>85</v>
      </c>
      <c r="L637" s="54"/>
      <c r="M637" s="54"/>
      <c r="N637" s="54" t="s">
        <v>83</v>
      </c>
      <c r="O637" s="54"/>
      <c r="P637" s="54" t="s">
        <v>80</v>
      </c>
      <c r="Q637" s="59" t="s">
        <v>750</v>
      </c>
      <c r="R637" s="59"/>
    </row>
    <row r="638" spans="1:18" ht="58" x14ac:dyDescent="0.35">
      <c r="A638" s="40">
        <f t="shared" si="9"/>
        <v>637</v>
      </c>
      <c r="B638" s="59" t="s">
        <v>28</v>
      </c>
      <c r="C638" s="57">
        <v>45026</v>
      </c>
      <c r="D638" s="57">
        <v>45033</v>
      </c>
      <c r="E638" s="52" t="s">
        <v>63</v>
      </c>
      <c r="F638" s="52" t="s">
        <v>60</v>
      </c>
      <c r="G638" s="52" t="s">
        <v>1145</v>
      </c>
      <c r="H638" s="58"/>
      <c r="I638" s="58"/>
      <c r="J638" s="52" t="s">
        <v>1146</v>
      </c>
      <c r="K638" s="52" t="s">
        <v>81</v>
      </c>
      <c r="L638" s="54"/>
      <c r="M638" s="54"/>
      <c r="N638" s="54" t="s">
        <v>83</v>
      </c>
      <c r="O638" s="54"/>
      <c r="P638" s="54" t="s">
        <v>80</v>
      </c>
      <c r="Q638" s="61" t="s">
        <v>1147</v>
      </c>
      <c r="R638" s="59"/>
    </row>
    <row r="639" spans="1:18" ht="58" x14ac:dyDescent="0.35">
      <c r="A639" s="40">
        <f t="shared" si="9"/>
        <v>638</v>
      </c>
      <c r="B639" s="59" t="s">
        <v>28</v>
      </c>
      <c r="C639" s="57">
        <v>45017</v>
      </c>
      <c r="D639" s="57">
        <v>45029</v>
      </c>
      <c r="E639" s="52" t="s">
        <v>105</v>
      </c>
      <c r="F639" s="52" t="s">
        <v>43</v>
      </c>
      <c r="G639" s="52" t="s">
        <v>1148</v>
      </c>
      <c r="H639" s="58"/>
      <c r="I639" s="58"/>
      <c r="J639" s="52" t="s">
        <v>1149</v>
      </c>
      <c r="K639" s="52" t="s">
        <v>82</v>
      </c>
      <c r="L639" s="54"/>
      <c r="M639" s="54"/>
      <c r="N639" s="54" t="s">
        <v>83</v>
      </c>
      <c r="O639" s="54"/>
      <c r="P639" s="54" t="s">
        <v>80</v>
      </c>
      <c r="Q639" s="59" t="s">
        <v>1150</v>
      </c>
      <c r="R639" s="59"/>
    </row>
    <row r="640" spans="1:18" ht="29" x14ac:dyDescent="0.35">
      <c r="A640" s="40">
        <f t="shared" si="9"/>
        <v>639</v>
      </c>
      <c r="B640" s="59" t="s">
        <v>27</v>
      </c>
      <c r="C640" s="57">
        <v>45017</v>
      </c>
      <c r="D640" s="55">
        <v>45029</v>
      </c>
      <c r="E640" s="52" t="s">
        <v>52</v>
      </c>
      <c r="F640" s="52" t="s">
        <v>43</v>
      </c>
      <c r="G640" s="52" t="s">
        <v>1151</v>
      </c>
      <c r="H640" s="58"/>
      <c r="I640" s="58">
        <v>15230030.399999999</v>
      </c>
      <c r="J640" s="52" t="s">
        <v>1152</v>
      </c>
      <c r="K640" s="52" t="s">
        <v>81</v>
      </c>
      <c r="L640" s="54"/>
      <c r="M640" s="54"/>
      <c r="N640" s="54" t="s">
        <v>83</v>
      </c>
      <c r="O640" s="54"/>
      <c r="P640" s="54" t="s">
        <v>80</v>
      </c>
      <c r="Q640" s="53" t="s">
        <v>1153</v>
      </c>
      <c r="R640" s="59"/>
    </row>
    <row r="641" spans="1:18" ht="101.5" x14ac:dyDescent="0.35">
      <c r="A641" s="40">
        <f t="shared" si="9"/>
        <v>640</v>
      </c>
      <c r="B641" s="59" t="s">
        <v>28</v>
      </c>
      <c r="C641" s="57">
        <v>45017</v>
      </c>
      <c r="D641" s="57">
        <v>45029</v>
      </c>
      <c r="E641" s="52" t="s">
        <v>96</v>
      </c>
      <c r="F641" s="52" t="s">
        <v>45</v>
      </c>
      <c r="G641" s="52" t="s">
        <v>1154</v>
      </c>
      <c r="H641" s="58"/>
      <c r="I641" s="58"/>
      <c r="J641" s="52" t="s">
        <v>1155</v>
      </c>
      <c r="K641" s="52" t="s">
        <v>81</v>
      </c>
      <c r="L641" s="54"/>
      <c r="M641" s="54"/>
      <c r="N641" s="54" t="s">
        <v>83</v>
      </c>
      <c r="O641" s="54"/>
      <c r="P641" s="54" t="s">
        <v>80</v>
      </c>
      <c r="Q641" s="53" t="s">
        <v>1156</v>
      </c>
      <c r="R641" s="59"/>
    </row>
    <row r="642" spans="1:18" ht="58" x14ac:dyDescent="0.35">
      <c r="A642" s="40">
        <f t="shared" ref="A642:A705" si="10">ROW()-1</f>
        <v>641</v>
      </c>
      <c r="B642" s="59" t="s">
        <v>28</v>
      </c>
      <c r="C642" s="57">
        <v>45017</v>
      </c>
      <c r="D642" s="57">
        <v>45027</v>
      </c>
      <c r="E642" s="52" t="s">
        <v>785</v>
      </c>
      <c r="F642" s="52" t="s">
        <v>111</v>
      </c>
      <c r="G642" s="52" t="s">
        <v>1157</v>
      </c>
      <c r="H642" s="58"/>
      <c r="I642" s="58"/>
      <c r="J642" s="52" t="s">
        <v>1158</v>
      </c>
      <c r="K642" s="52" t="s">
        <v>79</v>
      </c>
      <c r="L642" s="54"/>
      <c r="M642" s="54"/>
      <c r="N642" s="54" t="s">
        <v>83</v>
      </c>
      <c r="O642" s="54"/>
      <c r="P642" s="54" t="s">
        <v>80</v>
      </c>
      <c r="Q642" s="53" t="s">
        <v>799</v>
      </c>
      <c r="R642" s="59"/>
    </row>
    <row r="643" spans="1:18" ht="116" x14ac:dyDescent="0.35">
      <c r="A643" s="40">
        <f t="shared" si="10"/>
        <v>642</v>
      </c>
      <c r="B643" s="59" t="s">
        <v>29</v>
      </c>
      <c r="C643" s="57">
        <v>45017</v>
      </c>
      <c r="D643" s="57">
        <v>45027</v>
      </c>
      <c r="E643" s="52" t="s">
        <v>1159</v>
      </c>
      <c r="F643" s="52" t="s">
        <v>43</v>
      </c>
      <c r="G643" s="52" t="s">
        <v>1160</v>
      </c>
      <c r="H643" s="58">
        <v>82404800</v>
      </c>
      <c r="I643" s="58">
        <v>123606000</v>
      </c>
      <c r="J643" s="52" t="s">
        <v>1161</v>
      </c>
      <c r="K643" s="52" t="s">
        <v>81</v>
      </c>
      <c r="L643" s="54"/>
      <c r="M643" s="54"/>
      <c r="N643" s="54" t="s">
        <v>83</v>
      </c>
      <c r="O643" s="54"/>
      <c r="P643" s="54" t="s">
        <v>80</v>
      </c>
      <c r="Q643" s="59" t="s">
        <v>1162</v>
      </c>
      <c r="R643" s="59"/>
    </row>
    <row r="644" spans="1:18" ht="101.5" x14ac:dyDescent="0.35">
      <c r="A644" s="40">
        <f t="shared" si="10"/>
        <v>643</v>
      </c>
      <c r="B644" s="59" t="s">
        <v>28</v>
      </c>
      <c r="C644" s="57">
        <v>45017</v>
      </c>
      <c r="D644" s="57">
        <v>45027</v>
      </c>
      <c r="E644" s="52" t="s">
        <v>63</v>
      </c>
      <c r="F644" s="52" t="s">
        <v>89</v>
      </c>
      <c r="G644" s="52" t="s">
        <v>1163</v>
      </c>
      <c r="H644" s="58"/>
      <c r="I644" s="58"/>
      <c r="J644" s="52" t="s">
        <v>1164</v>
      </c>
      <c r="K644" s="52" t="s">
        <v>82</v>
      </c>
      <c r="L644" s="52"/>
      <c r="M644" s="54"/>
      <c r="N644" s="54" t="s">
        <v>83</v>
      </c>
      <c r="O644" s="54"/>
      <c r="P644" s="54" t="s">
        <v>80</v>
      </c>
      <c r="Q644" s="59"/>
      <c r="R644" s="59"/>
    </row>
    <row r="645" spans="1:18" ht="116" x14ac:dyDescent="0.35">
      <c r="A645" s="40">
        <f t="shared" si="10"/>
        <v>644</v>
      </c>
      <c r="B645" s="59" t="s">
        <v>28</v>
      </c>
      <c r="C645" s="57">
        <v>45017</v>
      </c>
      <c r="D645" s="55">
        <v>45026</v>
      </c>
      <c r="E645" s="52" t="s">
        <v>770</v>
      </c>
      <c r="F645" s="52" t="s">
        <v>111</v>
      </c>
      <c r="G645" s="52" t="s">
        <v>1165</v>
      </c>
      <c r="H645" s="58"/>
      <c r="I645" s="58"/>
      <c r="J645" s="52" t="s">
        <v>1166</v>
      </c>
      <c r="K645" s="54" t="s">
        <v>1167</v>
      </c>
      <c r="L645" s="54"/>
      <c r="M645" s="54"/>
      <c r="N645" s="54" t="s">
        <v>83</v>
      </c>
      <c r="O645" s="54"/>
      <c r="P645" s="54" t="s">
        <v>80</v>
      </c>
      <c r="Q645" s="59" t="s">
        <v>723</v>
      </c>
      <c r="R645" s="59"/>
    </row>
    <row r="646" spans="1:18" ht="348" x14ac:dyDescent="0.35">
      <c r="A646" s="40">
        <f t="shared" si="10"/>
        <v>645</v>
      </c>
      <c r="B646" s="59" t="s">
        <v>31</v>
      </c>
      <c r="C646" s="57">
        <v>45017</v>
      </c>
      <c r="D646" s="55">
        <v>45026</v>
      </c>
      <c r="E646" s="52" t="s">
        <v>88</v>
      </c>
      <c r="F646" s="52" t="s">
        <v>116</v>
      </c>
      <c r="G646" s="52" t="s">
        <v>1168</v>
      </c>
      <c r="H646" s="58">
        <v>17260075.420000002</v>
      </c>
      <c r="I646" s="58">
        <v>26121656.847457629</v>
      </c>
      <c r="J646" s="52" t="s">
        <v>1169</v>
      </c>
      <c r="K646" s="52" t="s">
        <v>79</v>
      </c>
      <c r="L646" s="54"/>
      <c r="M646" s="54"/>
      <c r="N646" s="54" t="s">
        <v>83</v>
      </c>
      <c r="O646" s="54"/>
      <c r="P646" s="54" t="s">
        <v>80</v>
      </c>
      <c r="Q646" s="59" t="s">
        <v>1170</v>
      </c>
      <c r="R646" s="59"/>
    </row>
    <row r="647" spans="1:18" ht="174" x14ac:dyDescent="0.35">
      <c r="A647" s="40">
        <f t="shared" si="10"/>
        <v>646</v>
      </c>
      <c r="B647" s="59" t="s">
        <v>28</v>
      </c>
      <c r="C647" s="57">
        <v>45017</v>
      </c>
      <c r="D647" s="57">
        <v>45026</v>
      </c>
      <c r="E647" s="52" t="s">
        <v>1171</v>
      </c>
      <c r="F647" s="52" t="s">
        <v>97</v>
      </c>
      <c r="G647" s="52" t="s">
        <v>1172</v>
      </c>
      <c r="H647" s="58"/>
      <c r="I647" s="58"/>
      <c r="J647" s="52" t="s">
        <v>1173</v>
      </c>
      <c r="K647" s="54" t="s">
        <v>79</v>
      </c>
      <c r="L647" s="54"/>
      <c r="M647" s="54"/>
      <c r="N647" s="54" t="s">
        <v>83</v>
      </c>
      <c r="O647" s="54"/>
      <c r="P647" s="54" t="s">
        <v>80</v>
      </c>
      <c r="Q647" s="62" t="s">
        <v>1174</v>
      </c>
      <c r="R647" s="59"/>
    </row>
    <row r="648" spans="1:18" ht="130.5" x14ac:dyDescent="0.35">
      <c r="A648" s="40">
        <f t="shared" si="10"/>
        <v>647</v>
      </c>
      <c r="B648" s="59" t="s">
        <v>31</v>
      </c>
      <c r="C648" s="57">
        <v>45017</v>
      </c>
      <c r="D648" s="57">
        <v>45026</v>
      </c>
      <c r="E648" s="52" t="s">
        <v>63</v>
      </c>
      <c r="F648" s="52" t="s">
        <v>60</v>
      </c>
      <c r="G648" s="54" t="s">
        <v>1175</v>
      </c>
      <c r="H648" s="58">
        <v>36728481.350000001</v>
      </c>
      <c r="I648" s="58">
        <v>37647823.728813559</v>
      </c>
      <c r="J648" s="52" t="s">
        <v>1176</v>
      </c>
      <c r="K648" s="52" t="s">
        <v>1177</v>
      </c>
      <c r="L648" s="54"/>
      <c r="M648" s="54"/>
      <c r="N648" s="54" t="s">
        <v>83</v>
      </c>
      <c r="O648" s="54"/>
      <c r="P648" s="54" t="s">
        <v>80</v>
      </c>
      <c r="Q648" s="59" t="s">
        <v>1178</v>
      </c>
      <c r="R648" s="59"/>
    </row>
    <row r="649" spans="1:18" ht="130.5" x14ac:dyDescent="0.35">
      <c r="A649" s="40">
        <f t="shared" si="10"/>
        <v>648</v>
      </c>
      <c r="B649" s="59" t="s">
        <v>31</v>
      </c>
      <c r="C649" s="57">
        <v>45020</v>
      </c>
      <c r="D649" s="57">
        <v>45026</v>
      </c>
      <c r="E649" s="52" t="s">
        <v>63</v>
      </c>
      <c r="F649" s="52" t="s">
        <v>60</v>
      </c>
      <c r="G649" s="52" t="s">
        <v>1179</v>
      </c>
      <c r="H649" s="58">
        <v>2090872.88</v>
      </c>
      <c r="I649" s="58">
        <v>2299967.7966101696</v>
      </c>
      <c r="J649" s="52" t="s">
        <v>1180</v>
      </c>
      <c r="K649" s="54" t="s">
        <v>81</v>
      </c>
      <c r="L649" s="54"/>
      <c r="M649" s="54"/>
      <c r="N649" s="54" t="s">
        <v>83</v>
      </c>
      <c r="O649" s="54"/>
      <c r="P649" s="54" t="s">
        <v>80</v>
      </c>
      <c r="Q649" s="59" t="s">
        <v>775</v>
      </c>
      <c r="R649" s="59"/>
    </row>
    <row r="650" spans="1:18" ht="87" x14ac:dyDescent="0.35">
      <c r="A650" s="40">
        <f t="shared" si="10"/>
        <v>649</v>
      </c>
      <c r="B650" s="59" t="s">
        <v>28</v>
      </c>
      <c r="C650" s="57">
        <v>45022</v>
      </c>
      <c r="D650" s="57">
        <v>45026</v>
      </c>
      <c r="E650" s="52" t="s">
        <v>63</v>
      </c>
      <c r="F650" s="52" t="s">
        <v>60</v>
      </c>
      <c r="G650" s="52" t="s">
        <v>1181</v>
      </c>
      <c r="H650" s="58"/>
      <c r="I650" s="58"/>
      <c r="J650" s="52" t="s">
        <v>1182</v>
      </c>
      <c r="K650" s="52" t="s">
        <v>81</v>
      </c>
      <c r="L650" s="52"/>
      <c r="M650" s="54"/>
      <c r="N650" s="52" t="s">
        <v>83</v>
      </c>
      <c r="O650" s="54"/>
      <c r="P650" s="54" t="s">
        <v>80</v>
      </c>
      <c r="Q650" s="52" t="s">
        <v>702</v>
      </c>
      <c r="R650" s="59"/>
    </row>
    <row r="651" spans="1:18" ht="145" x14ac:dyDescent="0.35">
      <c r="A651" s="40">
        <f t="shared" si="10"/>
        <v>650</v>
      </c>
      <c r="B651" s="59" t="s">
        <v>28</v>
      </c>
      <c r="C651" s="57">
        <v>45017</v>
      </c>
      <c r="D651" s="57">
        <v>45023</v>
      </c>
      <c r="E651" s="52" t="s">
        <v>866</v>
      </c>
      <c r="F651" s="52" t="s">
        <v>128</v>
      </c>
      <c r="G651" s="52" t="s">
        <v>1183</v>
      </c>
      <c r="H651" s="58"/>
      <c r="I651" s="58"/>
      <c r="J651" s="52" t="s">
        <v>1184</v>
      </c>
      <c r="K651" s="52" t="s">
        <v>82</v>
      </c>
      <c r="L651" s="54"/>
      <c r="M651" s="54"/>
      <c r="N651" s="54" t="s">
        <v>83</v>
      </c>
      <c r="O651" s="54"/>
      <c r="P651" s="54" t="s">
        <v>80</v>
      </c>
      <c r="Q651" s="62" t="s">
        <v>1185</v>
      </c>
      <c r="R651" s="59"/>
    </row>
    <row r="652" spans="1:18" ht="43.5" x14ac:dyDescent="0.35">
      <c r="A652" s="40">
        <f t="shared" si="10"/>
        <v>651</v>
      </c>
      <c r="B652" s="59" t="s">
        <v>28</v>
      </c>
      <c r="C652" s="57">
        <v>45017</v>
      </c>
      <c r="D652" s="57">
        <v>45022</v>
      </c>
      <c r="E652" s="52" t="s">
        <v>63</v>
      </c>
      <c r="F652" s="52" t="s">
        <v>60</v>
      </c>
      <c r="G652" s="52" t="s">
        <v>1186</v>
      </c>
      <c r="H652" s="58"/>
      <c r="I652" s="58"/>
      <c r="J652" s="52" t="s">
        <v>1187</v>
      </c>
      <c r="K652" s="52" t="s">
        <v>81</v>
      </c>
      <c r="L652" s="54"/>
      <c r="M652" s="54"/>
      <c r="N652" s="54" t="s">
        <v>83</v>
      </c>
      <c r="O652" s="54"/>
      <c r="P652" s="54" t="s">
        <v>80</v>
      </c>
      <c r="Q652" s="59" t="s">
        <v>723</v>
      </c>
      <c r="R652" s="59"/>
    </row>
    <row r="653" spans="1:18" ht="174" x14ac:dyDescent="0.35">
      <c r="A653" s="40">
        <f t="shared" si="10"/>
        <v>652</v>
      </c>
      <c r="B653" s="59" t="s">
        <v>28</v>
      </c>
      <c r="C653" s="57">
        <v>45017</v>
      </c>
      <c r="D653" s="57">
        <v>45021</v>
      </c>
      <c r="E653" s="52" t="s">
        <v>1188</v>
      </c>
      <c r="F653" s="52" t="s">
        <v>57</v>
      </c>
      <c r="G653" s="52" t="s">
        <v>1189</v>
      </c>
      <c r="H653" s="58"/>
      <c r="I653" s="58"/>
      <c r="J653" s="52" t="s">
        <v>1190</v>
      </c>
      <c r="K653" s="52" t="s">
        <v>81</v>
      </c>
      <c r="L653" s="54"/>
      <c r="M653" s="54"/>
      <c r="N653" s="54" t="s">
        <v>83</v>
      </c>
      <c r="O653" s="54"/>
      <c r="P653" s="54" t="s">
        <v>80</v>
      </c>
      <c r="Q653" s="59"/>
      <c r="R653" s="59"/>
    </row>
    <row r="654" spans="1:18" ht="159.5" x14ac:dyDescent="0.35">
      <c r="A654" s="40">
        <f t="shared" si="10"/>
        <v>653</v>
      </c>
      <c r="B654" s="59" t="s">
        <v>31</v>
      </c>
      <c r="C654" s="57">
        <v>45017</v>
      </c>
      <c r="D654" s="57">
        <v>45021</v>
      </c>
      <c r="E654" s="52" t="s">
        <v>63</v>
      </c>
      <c r="F654" s="52" t="s">
        <v>56</v>
      </c>
      <c r="G654" s="52" t="s">
        <v>1191</v>
      </c>
      <c r="H654" s="58"/>
      <c r="I654" s="58">
        <v>159286379.84106293</v>
      </c>
      <c r="J654" s="52" t="s">
        <v>1192</v>
      </c>
      <c r="K654" s="52" t="s">
        <v>79</v>
      </c>
      <c r="L654" s="54"/>
      <c r="M654" s="54"/>
      <c r="N654" s="54" t="s">
        <v>83</v>
      </c>
      <c r="O654" s="54"/>
      <c r="P654" s="54" t="s">
        <v>80</v>
      </c>
      <c r="Q654" s="53"/>
      <c r="R654" s="59"/>
    </row>
    <row r="655" spans="1:18" ht="101.5" x14ac:dyDescent="0.35">
      <c r="A655" s="40">
        <f t="shared" si="10"/>
        <v>654</v>
      </c>
      <c r="B655" s="59" t="s">
        <v>28</v>
      </c>
      <c r="C655" s="57">
        <v>45017</v>
      </c>
      <c r="D655" s="57">
        <v>45021</v>
      </c>
      <c r="E655" s="52" t="s">
        <v>61</v>
      </c>
      <c r="F655" s="52" t="s">
        <v>101</v>
      </c>
      <c r="G655" s="52" t="s">
        <v>1193</v>
      </c>
      <c r="H655" s="58"/>
      <c r="I655" s="58"/>
      <c r="J655" s="52" t="s">
        <v>1194</v>
      </c>
      <c r="K655" s="52" t="s">
        <v>85</v>
      </c>
      <c r="L655" s="52"/>
      <c r="M655" s="54"/>
      <c r="N655" s="54" t="s">
        <v>83</v>
      </c>
      <c r="O655" s="54"/>
      <c r="P655" s="54" t="s">
        <v>80</v>
      </c>
      <c r="Q655" s="69"/>
      <c r="R655" s="59"/>
    </row>
    <row r="656" spans="1:18" ht="87" x14ac:dyDescent="0.35">
      <c r="A656" s="40">
        <f t="shared" si="10"/>
        <v>655</v>
      </c>
      <c r="B656" s="59" t="s">
        <v>28</v>
      </c>
      <c r="C656" s="57">
        <v>45017</v>
      </c>
      <c r="D656" s="57">
        <v>45021</v>
      </c>
      <c r="E656" s="52" t="s">
        <v>61</v>
      </c>
      <c r="F656" s="52" t="s">
        <v>101</v>
      </c>
      <c r="G656" s="52" t="s">
        <v>1195</v>
      </c>
      <c r="H656" s="58"/>
      <c r="I656" s="58"/>
      <c r="J656" s="52" t="s">
        <v>1196</v>
      </c>
      <c r="K656" s="52" t="s">
        <v>85</v>
      </c>
      <c r="L656" s="52"/>
      <c r="M656" s="54"/>
      <c r="N656" s="54" t="s">
        <v>83</v>
      </c>
      <c r="O656" s="54"/>
      <c r="P656" s="54" t="s">
        <v>80</v>
      </c>
      <c r="Q656" s="53"/>
      <c r="R656" s="59"/>
    </row>
    <row r="657" spans="1:18" ht="58" x14ac:dyDescent="0.35">
      <c r="A657" s="40">
        <f t="shared" si="10"/>
        <v>656</v>
      </c>
      <c r="B657" s="59" t="s">
        <v>27</v>
      </c>
      <c r="C657" s="57">
        <v>45021</v>
      </c>
      <c r="D657" s="57">
        <v>45021</v>
      </c>
      <c r="E657" s="52" t="s">
        <v>692</v>
      </c>
      <c r="F657" s="52" t="s">
        <v>110</v>
      </c>
      <c r="G657" s="52">
        <v>1408706769</v>
      </c>
      <c r="H657" s="58"/>
      <c r="I657" s="58">
        <v>460000</v>
      </c>
      <c r="J657" s="52" t="s">
        <v>1197</v>
      </c>
      <c r="K657" s="52" t="s">
        <v>81</v>
      </c>
      <c r="L657" s="52"/>
      <c r="M657" s="54"/>
      <c r="N657" s="54" t="s">
        <v>83</v>
      </c>
      <c r="O657" s="54"/>
      <c r="P657" s="54" t="s">
        <v>80</v>
      </c>
      <c r="Q657" s="53"/>
      <c r="R657" s="59"/>
    </row>
    <row r="658" spans="1:18" ht="101.5" x14ac:dyDescent="0.35">
      <c r="A658" s="40">
        <f t="shared" si="10"/>
        <v>657</v>
      </c>
      <c r="B658" s="59" t="s">
        <v>27</v>
      </c>
      <c r="C658" s="57">
        <v>45017</v>
      </c>
      <c r="D658" s="57">
        <v>45020</v>
      </c>
      <c r="E658" s="52" t="s">
        <v>1198</v>
      </c>
      <c r="F658" s="52" t="s">
        <v>92</v>
      </c>
      <c r="G658" s="52" t="s">
        <v>1199</v>
      </c>
      <c r="H658" s="58"/>
      <c r="I658" s="58">
        <v>40531921.259999998</v>
      </c>
      <c r="J658" s="52" t="s">
        <v>1200</v>
      </c>
      <c r="K658" s="52" t="s">
        <v>81</v>
      </c>
      <c r="L658" s="54"/>
      <c r="M658" s="54"/>
      <c r="N658" s="54" t="s">
        <v>83</v>
      </c>
      <c r="O658" s="54"/>
      <c r="P658" s="54" t="s">
        <v>80</v>
      </c>
      <c r="Q658" s="62"/>
      <c r="R658" s="59"/>
    </row>
    <row r="659" spans="1:18" ht="188.5" x14ac:dyDescent="0.35">
      <c r="A659" s="40">
        <f t="shared" si="10"/>
        <v>658</v>
      </c>
      <c r="B659" s="59" t="s">
        <v>31</v>
      </c>
      <c r="C659" s="57">
        <v>45017</v>
      </c>
      <c r="D659" s="57">
        <v>45020</v>
      </c>
      <c r="E659" s="52" t="s">
        <v>88</v>
      </c>
      <c r="F659" s="52" t="s">
        <v>95</v>
      </c>
      <c r="G659" s="52" t="s">
        <v>1201</v>
      </c>
      <c r="H659" s="58">
        <v>38287260</v>
      </c>
      <c r="I659" s="58">
        <v>46039896.644904904</v>
      </c>
      <c r="J659" s="52" t="s">
        <v>1202</v>
      </c>
      <c r="K659" s="52" t="s">
        <v>85</v>
      </c>
      <c r="L659" s="54"/>
      <c r="M659" s="54"/>
      <c r="N659" s="54" t="s">
        <v>83</v>
      </c>
      <c r="O659" s="54"/>
      <c r="P659" s="54" t="s">
        <v>80</v>
      </c>
      <c r="Q659" s="53" t="s">
        <v>1203</v>
      </c>
      <c r="R659" s="59"/>
    </row>
    <row r="660" spans="1:18" ht="174" x14ac:dyDescent="0.35">
      <c r="A660" s="40">
        <f t="shared" si="10"/>
        <v>659</v>
      </c>
      <c r="B660" s="59" t="s">
        <v>31</v>
      </c>
      <c r="C660" s="57">
        <v>45017</v>
      </c>
      <c r="D660" s="57">
        <v>45019</v>
      </c>
      <c r="E660" s="52" t="s">
        <v>88</v>
      </c>
      <c r="F660" s="52" t="s">
        <v>120</v>
      </c>
      <c r="G660" s="52" t="s">
        <v>1204</v>
      </c>
      <c r="H660" s="58">
        <v>11680608.949999999</v>
      </c>
      <c r="I660" s="58">
        <v>13263242.02</v>
      </c>
      <c r="J660" s="52" t="s">
        <v>1205</v>
      </c>
      <c r="K660" s="52" t="s">
        <v>81</v>
      </c>
      <c r="L660" s="54"/>
      <c r="M660" s="54"/>
      <c r="N660" s="54" t="s">
        <v>83</v>
      </c>
      <c r="O660" s="54"/>
      <c r="P660" s="54" t="s">
        <v>80</v>
      </c>
      <c r="Q660" s="59" t="s">
        <v>1206</v>
      </c>
      <c r="R660" s="59"/>
    </row>
    <row r="661" spans="1:18" ht="101.5" x14ac:dyDescent="0.35">
      <c r="A661" s="40">
        <f t="shared" si="10"/>
        <v>660</v>
      </c>
      <c r="B661" s="59" t="s">
        <v>29</v>
      </c>
      <c r="C661" s="57">
        <v>45017</v>
      </c>
      <c r="D661" s="55">
        <v>45019</v>
      </c>
      <c r="E661" s="52" t="s">
        <v>88</v>
      </c>
      <c r="F661" s="52" t="s">
        <v>43</v>
      </c>
      <c r="G661" s="52" t="s">
        <v>1207</v>
      </c>
      <c r="H661" s="58">
        <v>39923859.23728814</v>
      </c>
      <c r="I661" s="58">
        <v>39923859.23728814</v>
      </c>
      <c r="J661" s="52" t="s">
        <v>1208</v>
      </c>
      <c r="K661" s="52" t="s">
        <v>81</v>
      </c>
      <c r="L661" s="54"/>
      <c r="M661" s="54"/>
      <c r="N661" s="54" t="s">
        <v>83</v>
      </c>
      <c r="O661" s="54"/>
      <c r="P661" s="54" t="s">
        <v>80</v>
      </c>
      <c r="Q661" s="59" t="s">
        <v>1209</v>
      </c>
      <c r="R661" s="59"/>
    </row>
    <row r="662" spans="1:18" ht="58" x14ac:dyDescent="0.35">
      <c r="A662" s="40">
        <f t="shared" si="10"/>
        <v>661</v>
      </c>
      <c r="B662" s="59" t="s">
        <v>33</v>
      </c>
      <c r="C662" s="57">
        <v>45017</v>
      </c>
      <c r="D662" s="55">
        <v>45019</v>
      </c>
      <c r="E662" s="52" t="s">
        <v>63</v>
      </c>
      <c r="F662" s="52" t="s">
        <v>60</v>
      </c>
      <c r="G662" s="52" t="s">
        <v>1210</v>
      </c>
      <c r="H662" s="58"/>
      <c r="I662" s="58">
        <v>12900000</v>
      </c>
      <c r="J662" s="52" t="s">
        <v>1211</v>
      </c>
      <c r="K662" s="52" t="s">
        <v>81</v>
      </c>
      <c r="L662" s="54"/>
      <c r="M662" s="54"/>
      <c r="N662" s="54" t="s">
        <v>83</v>
      </c>
      <c r="O662" s="54"/>
      <c r="P662" s="54" t="s">
        <v>80</v>
      </c>
      <c r="Q662" s="59"/>
      <c r="R662" s="59"/>
    </row>
    <row r="663" spans="1:18" ht="87" x14ac:dyDescent="0.35">
      <c r="A663" s="40">
        <f t="shared" si="10"/>
        <v>662</v>
      </c>
      <c r="B663" s="59" t="s">
        <v>31</v>
      </c>
      <c r="C663" s="57">
        <v>45017</v>
      </c>
      <c r="D663" s="55">
        <v>45019</v>
      </c>
      <c r="E663" s="52" t="s">
        <v>88</v>
      </c>
      <c r="F663" s="52" t="s">
        <v>43</v>
      </c>
      <c r="G663" s="52" t="s">
        <v>1212</v>
      </c>
      <c r="H663" s="58">
        <v>2175624.5762711866</v>
      </c>
      <c r="I663" s="58">
        <v>3006741.5254237289</v>
      </c>
      <c r="J663" s="52" t="s">
        <v>1213</v>
      </c>
      <c r="K663" s="52" t="s">
        <v>81</v>
      </c>
      <c r="L663" s="54"/>
      <c r="M663" s="54"/>
      <c r="N663" s="54" t="s">
        <v>83</v>
      </c>
      <c r="O663" s="54"/>
      <c r="P663" s="54" t="s">
        <v>80</v>
      </c>
      <c r="Q663" s="75" t="s">
        <v>760</v>
      </c>
      <c r="R663" s="59"/>
    </row>
    <row r="664" spans="1:18" ht="409.5" x14ac:dyDescent="0.35">
      <c r="A664" s="40">
        <f t="shared" si="10"/>
        <v>663</v>
      </c>
      <c r="B664" s="59" t="s">
        <v>31</v>
      </c>
      <c r="C664" s="57">
        <v>45017</v>
      </c>
      <c r="D664" s="57">
        <v>45019</v>
      </c>
      <c r="E664" s="52" t="s">
        <v>52</v>
      </c>
      <c r="F664" s="52" t="s">
        <v>43</v>
      </c>
      <c r="G664" s="52" t="s">
        <v>1214</v>
      </c>
      <c r="H664" s="58">
        <v>4925751.01</v>
      </c>
      <c r="I664" s="58">
        <v>5955768.0000000009</v>
      </c>
      <c r="J664" s="52" t="s">
        <v>1215</v>
      </c>
      <c r="K664" s="52" t="s">
        <v>81</v>
      </c>
      <c r="L664" s="54"/>
      <c r="M664" s="54"/>
      <c r="N664" s="54" t="s">
        <v>83</v>
      </c>
      <c r="O664" s="54"/>
      <c r="P664" s="54" t="s">
        <v>80</v>
      </c>
      <c r="Q664" s="59" t="s">
        <v>1216</v>
      </c>
      <c r="R664" s="59"/>
    </row>
    <row r="665" spans="1:18" ht="58" x14ac:dyDescent="0.35">
      <c r="A665" s="40">
        <f t="shared" si="10"/>
        <v>664</v>
      </c>
      <c r="B665" s="59" t="s">
        <v>29</v>
      </c>
      <c r="C665" s="57">
        <v>45017</v>
      </c>
      <c r="D665" s="57">
        <v>45017</v>
      </c>
      <c r="E665" s="52" t="s">
        <v>88</v>
      </c>
      <c r="F665" s="52" t="s">
        <v>43</v>
      </c>
      <c r="G665" s="52" t="s">
        <v>1217</v>
      </c>
      <c r="H665" s="58">
        <v>8352964.8305084752</v>
      </c>
      <c r="I665" s="58">
        <v>8352964.8305084752</v>
      </c>
      <c r="J665" s="52" t="s">
        <v>1218</v>
      </c>
      <c r="K665" s="52" t="s">
        <v>81</v>
      </c>
      <c r="L665" s="54"/>
      <c r="M665" s="54"/>
      <c r="N665" s="54" t="s">
        <v>83</v>
      </c>
      <c r="O665" s="54"/>
      <c r="P665" s="54" t="s">
        <v>80</v>
      </c>
      <c r="Q665" s="53"/>
      <c r="R665" s="59"/>
    </row>
    <row r="666" spans="1:18" ht="58" x14ac:dyDescent="0.35">
      <c r="A666" s="40">
        <f t="shared" si="10"/>
        <v>665</v>
      </c>
      <c r="B666" s="59" t="s">
        <v>29</v>
      </c>
      <c r="C666" s="57">
        <v>45017</v>
      </c>
      <c r="D666" s="57">
        <v>44982</v>
      </c>
      <c r="E666" s="52" t="s">
        <v>63</v>
      </c>
      <c r="F666" s="52" t="s">
        <v>65</v>
      </c>
      <c r="G666" s="52" t="s">
        <v>1219</v>
      </c>
      <c r="H666" s="58">
        <v>85256647.194915295</v>
      </c>
      <c r="I666" s="58">
        <v>109752662.420232</v>
      </c>
      <c r="J666" s="52" t="s">
        <v>1220</v>
      </c>
      <c r="K666" s="52" t="s">
        <v>82</v>
      </c>
      <c r="L666" s="54" t="s">
        <v>1221</v>
      </c>
      <c r="M666" s="54"/>
      <c r="N666" s="54" t="s">
        <v>83</v>
      </c>
      <c r="O666" s="54"/>
      <c r="P666" s="54" t="s">
        <v>80</v>
      </c>
      <c r="Q666" s="59"/>
      <c r="R666" s="59"/>
    </row>
    <row r="667" spans="1:18" ht="130.5" x14ac:dyDescent="0.35">
      <c r="A667" s="40">
        <f t="shared" si="10"/>
        <v>666</v>
      </c>
      <c r="B667" s="59" t="s">
        <v>29</v>
      </c>
      <c r="C667" s="57">
        <v>45017</v>
      </c>
      <c r="D667" s="57">
        <v>44956</v>
      </c>
      <c r="E667" s="52" t="s">
        <v>96</v>
      </c>
      <c r="F667" s="52" t="s">
        <v>45</v>
      </c>
      <c r="G667" s="52" t="s">
        <v>1222</v>
      </c>
      <c r="H667" s="58">
        <v>67544320</v>
      </c>
      <c r="I667" s="58">
        <v>67544320</v>
      </c>
      <c r="J667" s="52" t="s">
        <v>1223</v>
      </c>
      <c r="K667" s="52" t="s">
        <v>81</v>
      </c>
      <c r="L667" s="54" t="s">
        <v>86</v>
      </c>
      <c r="M667" s="54"/>
      <c r="N667" s="54"/>
      <c r="O667" s="54"/>
      <c r="P667" s="54" t="s">
        <v>80</v>
      </c>
      <c r="Q667" s="59" t="s">
        <v>1224</v>
      </c>
      <c r="R667" s="59"/>
    </row>
    <row r="668" spans="1:18" x14ac:dyDescent="0.35">
      <c r="A668" s="40">
        <f t="shared" si="10"/>
        <v>667</v>
      </c>
      <c r="B668" s="41"/>
      <c r="C668" s="42"/>
      <c r="D668" s="42"/>
      <c r="E668" s="43"/>
      <c r="F668" s="43"/>
      <c r="G668" s="52"/>
      <c r="H668" s="44"/>
      <c r="I668" s="44"/>
      <c r="J668" s="52"/>
      <c r="K668" s="52"/>
      <c r="L668" s="43"/>
      <c r="M668" s="43"/>
      <c r="N668" s="43"/>
      <c r="O668" s="43"/>
      <c r="P668" s="43"/>
      <c r="Q668" s="41"/>
      <c r="R668" s="41"/>
    </row>
    <row r="669" spans="1:18" x14ac:dyDescent="0.35">
      <c r="A669" s="40">
        <f t="shared" si="10"/>
        <v>668</v>
      </c>
      <c r="B669" s="41"/>
      <c r="C669" s="42"/>
      <c r="D669" s="42"/>
      <c r="E669" s="52"/>
      <c r="F669" s="52"/>
      <c r="G669" s="52"/>
      <c r="H669" s="44"/>
      <c r="I669" s="44"/>
      <c r="J669" s="52"/>
      <c r="K669" s="52"/>
      <c r="L669" s="41"/>
      <c r="M669" s="41"/>
      <c r="N669" s="41"/>
      <c r="O669" s="41"/>
      <c r="P669" s="41"/>
      <c r="Q669" s="41"/>
      <c r="R669" s="41"/>
    </row>
    <row r="670" spans="1:18" x14ac:dyDescent="0.35">
      <c r="A670" s="40">
        <f t="shared" si="10"/>
        <v>669</v>
      </c>
      <c r="B670" s="41"/>
      <c r="C670" s="42"/>
      <c r="D670" s="42"/>
      <c r="E670" s="52"/>
      <c r="F670" s="52"/>
      <c r="G670" s="43"/>
      <c r="H670" s="44"/>
      <c r="I670" s="44"/>
      <c r="J670" s="52"/>
      <c r="K670" s="52"/>
      <c r="L670" s="43"/>
      <c r="M670" s="43"/>
      <c r="N670" s="43"/>
      <c r="O670" s="43"/>
      <c r="P670" s="43"/>
      <c r="Q670" s="41"/>
      <c r="R670" s="41"/>
    </row>
    <row r="671" spans="1:18" x14ac:dyDescent="0.35">
      <c r="A671" s="40">
        <f t="shared" si="10"/>
        <v>670</v>
      </c>
      <c r="B671" s="41"/>
      <c r="C671" s="42"/>
      <c r="D671" s="42"/>
      <c r="E671" s="52"/>
      <c r="F671" s="43"/>
      <c r="G671" s="52"/>
      <c r="H671" s="44"/>
      <c r="I671" s="44"/>
      <c r="J671" s="52"/>
      <c r="K671" s="52"/>
      <c r="L671" s="53"/>
      <c r="M671" s="41"/>
      <c r="N671" s="41"/>
      <c r="O671" s="41"/>
      <c r="P671" s="41"/>
      <c r="Q671" s="41"/>
      <c r="R671" s="41"/>
    </row>
    <row r="672" spans="1:18" x14ac:dyDescent="0.35">
      <c r="A672" s="40">
        <f t="shared" si="10"/>
        <v>671</v>
      </c>
      <c r="B672" s="41"/>
      <c r="C672" s="42"/>
      <c r="D672" s="42"/>
      <c r="E672" s="52"/>
      <c r="F672" s="52"/>
      <c r="G672" s="52"/>
      <c r="H672" s="44"/>
      <c r="I672" s="44"/>
      <c r="J672" s="52"/>
      <c r="K672" s="52"/>
      <c r="L672" s="53"/>
      <c r="M672" s="41"/>
      <c r="N672" s="41"/>
      <c r="O672" s="41"/>
      <c r="P672" s="41"/>
      <c r="Q672" s="41"/>
      <c r="R672" s="41"/>
    </row>
    <row r="673" spans="1:18" x14ac:dyDescent="0.35">
      <c r="A673" s="40">
        <f t="shared" si="10"/>
        <v>672</v>
      </c>
      <c r="B673" s="41"/>
      <c r="C673" s="42"/>
      <c r="D673" s="42"/>
      <c r="E673" s="52"/>
      <c r="F673" s="52"/>
      <c r="G673" s="52"/>
      <c r="H673" s="44"/>
      <c r="I673" s="44"/>
      <c r="J673" s="52"/>
      <c r="K673" s="52"/>
      <c r="L673" s="43"/>
      <c r="M673" s="43"/>
      <c r="N673" s="43"/>
      <c r="O673" s="43"/>
      <c r="P673" s="43"/>
      <c r="Q673" s="53"/>
      <c r="R673" s="41"/>
    </row>
    <row r="674" spans="1:18" x14ac:dyDescent="0.35">
      <c r="A674" s="40">
        <f t="shared" si="10"/>
        <v>673</v>
      </c>
      <c r="B674" s="41"/>
      <c r="C674" s="42"/>
      <c r="D674" s="42"/>
      <c r="E674" s="52"/>
      <c r="F674" s="52"/>
      <c r="G674" s="52"/>
      <c r="H674" s="44"/>
      <c r="I674" s="44"/>
      <c r="J674" s="52"/>
      <c r="K674" s="52"/>
      <c r="L674" s="52"/>
      <c r="M674" s="41"/>
      <c r="N674" s="41"/>
      <c r="O674" s="41"/>
      <c r="P674" s="41"/>
      <c r="Q674" s="53"/>
      <c r="R674" s="41"/>
    </row>
    <row r="675" spans="1:18" x14ac:dyDescent="0.35">
      <c r="A675" s="40">
        <f t="shared" si="10"/>
        <v>674</v>
      </c>
      <c r="B675" s="41"/>
      <c r="C675" s="42"/>
      <c r="D675" s="42"/>
      <c r="E675" s="52"/>
      <c r="F675" s="52"/>
      <c r="G675" s="52"/>
      <c r="H675" s="44"/>
      <c r="I675" s="44"/>
      <c r="J675" s="52"/>
      <c r="K675" s="52"/>
      <c r="L675" s="43"/>
      <c r="M675" s="43"/>
      <c r="N675" s="43"/>
      <c r="O675" s="43"/>
      <c r="P675" s="43"/>
      <c r="Q675" s="53"/>
      <c r="R675" s="41"/>
    </row>
    <row r="676" spans="1:18" x14ac:dyDescent="0.35">
      <c r="A676" s="40">
        <f t="shared" si="10"/>
        <v>675</v>
      </c>
      <c r="B676" s="41"/>
      <c r="C676" s="42"/>
      <c r="D676" s="42"/>
      <c r="E676" s="52"/>
      <c r="F676" s="43"/>
      <c r="G676" s="52"/>
      <c r="H676" s="44"/>
      <c r="I676" s="44"/>
      <c r="J676" s="52"/>
      <c r="K676" s="52"/>
      <c r="L676" s="53"/>
      <c r="M676" s="41"/>
      <c r="N676" s="41"/>
      <c r="O676" s="41"/>
      <c r="P676" s="41"/>
      <c r="Q676" s="41"/>
      <c r="R676" s="41"/>
    </row>
    <row r="677" spans="1:18" x14ac:dyDescent="0.35">
      <c r="A677" s="40">
        <f t="shared" si="10"/>
        <v>676</v>
      </c>
      <c r="B677" s="41"/>
      <c r="C677" s="42"/>
      <c r="D677" s="42"/>
      <c r="E677" s="52"/>
      <c r="F677" s="52"/>
      <c r="G677" s="43"/>
      <c r="H677" s="44"/>
      <c r="I677" s="44"/>
      <c r="J677" s="52"/>
      <c r="K677" s="52"/>
      <c r="L677" s="43"/>
      <c r="M677" s="43"/>
      <c r="N677" s="43"/>
      <c r="O677" s="43"/>
      <c r="P677" s="43"/>
      <c r="Q677" s="41"/>
      <c r="R677" s="41"/>
    </row>
    <row r="678" spans="1:18" x14ac:dyDescent="0.35">
      <c r="A678" s="40">
        <f t="shared" si="10"/>
        <v>677</v>
      </c>
      <c r="B678" s="41"/>
      <c r="C678" s="42"/>
      <c r="D678" s="42"/>
      <c r="E678" s="52"/>
      <c r="F678" s="43"/>
      <c r="G678" s="52"/>
      <c r="H678" s="44"/>
      <c r="I678" s="44"/>
      <c r="J678" s="52"/>
      <c r="K678" s="52"/>
      <c r="L678" s="43"/>
      <c r="M678" s="43"/>
      <c r="N678" s="43"/>
      <c r="O678" s="43"/>
      <c r="P678" s="43"/>
      <c r="Q678" s="53"/>
      <c r="R678" s="41"/>
    </row>
    <row r="679" spans="1:18" x14ac:dyDescent="0.35">
      <c r="A679" s="40">
        <f t="shared" si="10"/>
        <v>678</v>
      </c>
      <c r="B679" s="41"/>
      <c r="C679" s="42"/>
      <c r="D679" s="55"/>
      <c r="E679" s="52"/>
      <c r="F679" s="52"/>
      <c r="G679" s="52"/>
      <c r="H679" s="44"/>
      <c r="I679" s="44"/>
      <c r="J679" s="52"/>
      <c r="K679" s="52"/>
      <c r="L679" s="43"/>
      <c r="M679" s="43"/>
      <c r="N679" s="43"/>
      <c r="O679" s="43"/>
      <c r="P679" s="43"/>
      <c r="Q679" s="41"/>
      <c r="R679" s="41"/>
    </row>
    <row r="680" spans="1:18" x14ac:dyDescent="0.35">
      <c r="A680" s="40">
        <f t="shared" si="10"/>
        <v>679</v>
      </c>
      <c r="B680" s="41"/>
      <c r="C680" s="42"/>
      <c r="D680" s="55"/>
      <c r="E680" s="52"/>
      <c r="F680" s="52"/>
      <c r="G680" s="52"/>
      <c r="H680" s="44"/>
      <c r="I680" s="44"/>
      <c r="J680" s="52"/>
      <c r="K680" s="52"/>
      <c r="L680" s="43"/>
      <c r="M680" s="43"/>
      <c r="N680" s="43"/>
      <c r="O680" s="43"/>
      <c r="P680" s="43"/>
      <c r="Q680" s="69"/>
      <c r="R680" s="41"/>
    </row>
    <row r="681" spans="1:18" x14ac:dyDescent="0.35">
      <c r="A681" s="40">
        <f t="shared" si="10"/>
        <v>680</v>
      </c>
      <c r="B681" s="41"/>
      <c r="C681" s="42"/>
      <c r="D681" s="42"/>
      <c r="E681" s="52"/>
      <c r="F681" s="52"/>
      <c r="G681" s="52"/>
      <c r="H681" s="44"/>
      <c r="I681" s="44"/>
      <c r="J681" s="52"/>
      <c r="K681" s="52"/>
      <c r="L681" s="43"/>
      <c r="M681" s="43"/>
      <c r="N681" s="43"/>
      <c r="O681" s="43"/>
      <c r="P681" s="43"/>
      <c r="Q681" s="41"/>
      <c r="R681" s="41"/>
    </row>
    <row r="682" spans="1:18" x14ac:dyDescent="0.35">
      <c r="A682" s="40">
        <f t="shared" si="10"/>
        <v>681</v>
      </c>
      <c r="B682" s="41"/>
      <c r="C682" s="42"/>
      <c r="D682" s="42"/>
      <c r="E682" s="52"/>
      <c r="F682" s="43"/>
      <c r="G682" s="52"/>
      <c r="H682" s="44"/>
      <c r="I682" s="56"/>
      <c r="J682" s="52"/>
      <c r="K682" s="52"/>
      <c r="L682" s="43"/>
      <c r="M682" s="43"/>
      <c r="N682" s="43"/>
      <c r="O682" s="43"/>
      <c r="P682" s="43"/>
      <c r="Q682" s="41"/>
      <c r="R682" s="41"/>
    </row>
    <row r="683" spans="1:18" x14ac:dyDescent="0.35">
      <c r="A683" s="40">
        <f t="shared" si="10"/>
        <v>682</v>
      </c>
      <c r="B683" s="41"/>
      <c r="C683" s="42"/>
      <c r="D683" s="42"/>
      <c r="E683" s="52"/>
      <c r="F683" s="43"/>
      <c r="G683" s="52"/>
      <c r="H683" s="44"/>
      <c r="I683" s="56"/>
      <c r="J683" s="52"/>
      <c r="K683" s="52"/>
      <c r="L683" s="43"/>
      <c r="M683" s="43"/>
      <c r="N683" s="43"/>
      <c r="O683" s="43"/>
      <c r="P683" s="43"/>
      <c r="Q683" s="41"/>
      <c r="R683" s="41"/>
    </row>
    <row r="684" spans="1:18" x14ac:dyDescent="0.35">
      <c r="A684" s="40">
        <f t="shared" si="10"/>
        <v>683</v>
      </c>
      <c r="B684" s="41"/>
      <c r="C684" s="42"/>
      <c r="D684" s="42"/>
      <c r="E684" s="52"/>
      <c r="F684" s="43"/>
      <c r="G684" s="52"/>
      <c r="H684" s="44"/>
      <c r="I684" s="44"/>
      <c r="J684" s="52"/>
      <c r="K684" s="52"/>
      <c r="L684" s="43"/>
      <c r="M684" s="43"/>
      <c r="N684" s="43"/>
      <c r="O684" s="43"/>
      <c r="P684" s="43"/>
      <c r="Q684" s="41"/>
      <c r="R684" s="41"/>
    </row>
    <row r="685" spans="1:18" x14ac:dyDescent="0.35">
      <c r="A685" s="40">
        <f t="shared" si="10"/>
        <v>684</v>
      </c>
      <c r="B685" s="41"/>
      <c r="C685" s="42"/>
      <c r="D685" s="42"/>
      <c r="E685" s="52"/>
      <c r="F685" s="52"/>
      <c r="G685" s="52"/>
      <c r="H685" s="44"/>
      <c r="I685" s="44"/>
      <c r="J685" s="52"/>
      <c r="K685" s="52"/>
      <c r="L685" s="43"/>
      <c r="M685" s="43"/>
      <c r="N685" s="43"/>
      <c r="O685" s="43"/>
      <c r="P685" s="43"/>
      <c r="Q685" s="41"/>
      <c r="R685" s="41"/>
    </row>
    <row r="686" spans="1:18" x14ac:dyDescent="0.35">
      <c r="A686" s="40">
        <f t="shared" si="10"/>
        <v>685</v>
      </c>
      <c r="B686" s="41"/>
      <c r="C686" s="42"/>
      <c r="D686" s="42"/>
      <c r="E686" s="52"/>
      <c r="F686" s="52"/>
      <c r="G686" s="43"/>
      <c r="H686" s="44"/>
      <c r="I686" s="44"/>
      <c r="J686" s="52"/>
      <c r="K686" s="43"/>
      <c r="L686" s="43"/>
      <c r="M686" s="43"/>
      <c r="N686" s="43"/>
      <c r="O686" s="43"/>
      <c r="P686" s="43"/>
      <c r="Q686" s="41"/>
      <c r="R686" s="41"/>
    </row>
    <row r="687" spans="1:18" x14ac:dyDescent="0.35">
      <c r="A687" s="40">
        <f t="shared" si="10"/>
        <v>686</v>
      </c>
      <c r="B687" s="41"/>
      <c r="C687" s="42"/>
      <c r="D687" s="42"/>
      <c r="E687" s="52"/>
      <c r="F687" s="43"/>
      <c r="G687" s="52"/>
      <c r="H687" s="44"/>
      <c r="I687" s="44"/>
      <c r="J687" s="52"/>
      <c r="K687" s="52"/>
      <c r="L687" s="43"/>
      <c r="M687" s="43"/>
      <c r="N687" s="43"/>
      <c r="O687" s="43"/>
      <c r="P687" s="43"/>
      <c r="Q687" s="41"/>
      <c r="R687" s="41"/>
    </row>
    <row r="688" spans="1:18" x14ac:dyDescent="0.35">
      <c r="A688" s="40">
        <f t="shared" si="10"/>
        <v>687</v>
      </c>
      <c r="B688" s="41"/>
      <c r="C688" s="42"/>
      <c r="D688" s="42"/>
      <c r="E688" s="52"/>
      <c r="F688" s="43"/>
      <c r="G688" s="52"/>
      <c r="H688" s="44"/>
      <c r="I688" s="44"/>
      <c r="J688" s="52"/>
      <c r="K688" s="52"/>
      <c r="L688" s="43"/>
      <c r="M688" s="43"/>
      <c r="N688" s="43"/>
      <c r="O688" s="43"/>
      <c r="P688" s="43"/>
      <c r="Q688" s="41"/>
      <c r="R688" s="41"/>
    </row>
    <row r="689" spans="1:18" x14ac:dyDescent="0.35">
      <c r="A689" s="40">
        <f t="shared" si="10"/>
        <v>688</v>
      </c>
      <c r="B689" s="41"/>
      <c r="C689" s="42"/>
      <c r="D689" s="42"/>
      <c r="E689" s="52"/>
      <c r="F689" s="52"/>
      <c r="G689" s="43"/>
      <c r="H689" s="44"/>
      <c r="I689" s="44"/>
      <c r="J689" s="52"/>
      <c r="K689" s="52"/>
      <c r="L689" s="43"/>
      <c r="M689" s="43"/>
      <c r="N689" s="43"/>
      <c r="O689" s="43"/>
      <c r="P689" s="43"/>
      <c r="Q689" s="41"/>
      <c r="R689" s="41"/>
    </row>
    <row r="690" spans="1:18" x14ac:dyDescent="0.35">
      <c r="A690" s="40">
        <f t="shared" si="10"/>
        <v>689</v>
      </c>
      <c r="B690" s="41"/>
      <c r="C690" s="42"/>
      <c r="D690" s="42"/>
      <c r="E690" s="52"/>
      <c r="F690" s="43"/>
      <c r="G690" s="52"/>
      <c r="H690" s="44"/>
      <c r="I690" s="44"/>
      <c r="J690" s="52"/>
      <c r="K690" s="52"/>
      <c r="L690" s="43"/>
      <c r="M690" s="43"/>
      <c r="N690" s="43"/>
      <c r="O690" s="43"/>
      <c r="P690" s="43"/>
      <c r="Q690" s="41"/>
      <c r="R690" s="41"/>
    </row>
    <row r="691" spans="1:18" x14ac:dyDescent="0.35">
      <c r="A691" s="40">
        <f t="shared" si="10"/>
        <v>690</v>
      </c>
      <c r="B691" s="41"/>
      <c r="C691" s="42"/>
      <c r="D691" s="42"/>
      <c r="E691" s="52"/>
      <c r="F691" s="43"/>
      <c r="G691" s="52"/>
      <c r="H691" s="44"/>
      <c r="I691" s="44"/>
      <c r="J691" s="52"/>
      <c r="K691" s="52"/>
      <c r="L691" s="52"/>
      <c r="M691" s="43"/>
      <c r="N691" s="43"/>
      <c r="O691" s="43"/>
      <c r="P691" s="43"/>
      <c r="Q691" s="41"/>
      <c r="R691" s="41"/>
    </row>
    <row r="692" spans="1:18" x14ac:dyDescent="0.35">
      <c r="A692" s="40">
        <f t="shared" si="10"/>
        <v>691</v>
      </c>
      <c r="B692" s="41"/>
      <c r="C692" s="42"/>
      <c r="D692" s="42"/>
      <c r="E692" s="52"/>
      <c r="F692" s="43"/>
      <c r="G692" s="43"/>
      <c r="H692" s="44"/>
      <c r="I692" s="44"/>
      <c r="J692" s="52"/>
      <c r="K692" s="52"/>
      <c r="L692" s="43"/>
      <c r="M692" s="43"/>
      <c r="N692" s="43"/>
      <c r="O692" s="43"/>
      <c r="P692" s="43"/>
      <c r="Q692" s="41"/>
      <c r="R692" s="41"/>
    </row>
    <row r="693" spans="1:18" x14ac:dyDescent="0.35">
      <c r="A693" s="40">
        <f t="shared" si="10"/>
        <v>692</v>
      </c>
      <c r="B693" s="41"/>
      <c r="C693" s="42"/>
      <c r="D693" s="42"/>
      <c r="E693" s="43"/>
      <c r="F693" s="43"/>
      <c r="G693" s="43"/>
      <c r="H693" s="44"/>
      <c r="I693" s="44"/>
      <c r="J693" s="43"/>
      <c r="K693" s="43"/>
      <c r="L693" s="43"/>
      <c r="M693" s="43"/>
      <c r="N693" s="43"/>
      <c r="O693" s="43"/>
      <c r="P693" s="43"/>
      <c r="Q693" s="64"/>
      <c r="R693" s="41"/>
    </row>
    <row r="694" spans="1:18" x14ac:dyDescent="0.35">
      <c r="A694" s="40">
        <f t="shared" si="10"/>
        <v>693</v>
      </c>
      <c r="B694" s="41"/>
      <c r="C694" s="42"/>
      <c r="D694" s="42"/>
      <c r="E694" s="52"/>
      <c r="F694" s="43"/>
      <c r="G694" s="52"/>
      <c r="H694" s="44"/>
      <c r="I694" s="44"/>
      <c r="J694" s="52"/>
      <c r="K694" s="52"/>
      <c r="L694" s="43"/>
      <c r="M694" s="43"/>
      <c r="N694" s="43"/>
      <c r="O694" s="43"/>
      <c r="P694" s="43"/>
      <c r="Q694" s="41"/>
      <c r="R694" s="41"/>
    </row>
    <row r="695" spans="1:18" x14ac:dyDescent="0.35">
      <c r="A695" s="40">
        <f t="shared" si="10"/>
        <v>694</v>
      </c>
      <c r="B695" s="41"/>
      <c r="C695" s="42"/>
      <c r="D695" s="42"/>
      <c r="E695" s="43"/>
      <c r="F695" s="43"/>
      <c r="G695" s="52"/>
      <c r="H695" s="44"/>
      <c r="I695" s="44"/>
      <c r="J695" s="52"/>
      <c r="K695" s="52"/>
      <c r="L695" s="43"/>
      <c r="M695" s="43"/>
      <c r="N695" s="43"/>
      <c r="O695" s="43"/>
      <c r="P695" s="43"/>
      <c r="Q695" s="41"/>
      <c r="R695" s="41"/>
    </row>
    <row r="696" spans="1:18" x14ac:dyDescent="0.35">
      <c r="A696" s="40">
        <f t="shared" si="10"/>
        <v>695</v>
      </c>
      <c r="B696" s="41"/>
      <c r="C696" s="42"/>
      <c r="D696" s="42"/>
      <c r="E696" s="52"/>
      <c r="F696" s="52"/>
      <c r="G696" s="52"/>
      <c r="H696" s="44"/>
      <c r="I696" s="44"/>
      <c r="J696" s="52"/>
      <c r="K696" s="52"/>
      <c r="L696" s="43"/>
      <c r="M696" s="43"/>
      <c r="N696" s="43"/>
      <c r="O696" s="43"/>
      <c r="P696" s="43"/>
      <c r="Q696" s="41"/>
      <c r="R696" s="41"/>
    </row>
    <row r="697" spans="1:18" x14ac:dyDescent="0.35">
      <c r="A697" s="40">
        <f t="shared" si="10"/>
        <v>696</v>
      </c>
      <c r="B697" s="41"/>
      <c r="C697" s="42"/>
      <c r="D697" s="42"/>
      <c r="E697" s="52"/>
      <c r="F697" s="52"/>
      <c r="G697" s="43"/>
      <c r="H697" s="44"/>
      <c r="I697" s="44"/>
      <c r="J697" s="52"/>
      <c r="K697" s="52"/>
      <c r="L697" s="43"/>
      <c r="M697" s="43"/>
      <c r="N697" s="43"/>
      <c r="O697" s="43"/>
      <c r="P697" s="43"/>
      <c r="Q697" s="41"/>
      <c r="R697" s="41"/>
    </row>
    <row r="698" spans="1:18" x14ac:dyDescent="0.35">
      <c r="A698" s="40">
        <f t="shared" si="10"/>
        <v>697</v>
      </c>
      <c r="B698" s="41"/>
      <c r="C698" s="42"/>
      <c r="D698" s="42"/>
      <c r="E698" s="52"/>
      <c r="F698" s="52"/>
      <c r="G698" s="43"/>
      <c r="H698" s="44"/>
      <c r="I698" s="44"/>
      <c r="J698" s="52"/>
      <c r="K698" s="52"/>
      <c r="L698" s="43"/>
      <c r="M698" s="43"/>
      <c r="N698" s="43"/>
      <c r="O698" s="43"/>
      <c r="P698" s="43"/>
      <c r="Q698" s="41"/>
      <c r="R698" s="41"/>
    </row>
    <row r="699" spans="1:18" x14ac:dyDescent="0.35">
      <c r="A699" s="40">
        <f t="shared" si="10"/>
        <v>698</v>
      </c>
      <c r="B699" s="41"/>
      <c r="C699" s="42"/>
      <c r="D699" s="42"/>
      <c r="E699" s="52"/>
      <c r="F699" s="43"/>
      <c r="G699" s="52"/>
      <c r="H699" s="44"/>
      <c r="I699" s="44"/>
      <c r="J699" s="52"/>
      <c r="K699" s="52"/>
      <c r="L699" s="43"/>
      <c r="M699" s="43"/>
      <c r="N699" s="43"/>
      <c r="O699" s="43"/>
      <c r="P699" s="43"/>
      <c r="Q699" s="41"/>
      <c r="R699" s="41"/>
    </row>
    <row r="700" spans="1:18" x14ac:dyDescent="0.35">
      <c r="A700" s="40">
        <f t="shared" si="10"/>
        <v>699</v>
      </c>
      <c r="B700" s="41"/>
      <c r="C700" s="42"/>
      <c r="D700" s="42"/>
      <c r="E700" s="52"/>
      <c r="F700" s="52"/>
      <c r="G700" s="52"/>
      <c r="H700" s="44"/>
      <c r="I700" s="44"/>
      <c r="J700" s="52"/>
      <c r="K700" s="52"/>
      <c r="L700" s="43"/>
      <c r="M700" s="43"/>
      <c r="N700" s="43"/>
      <c r="O700" s="43"/>
      <c r="P700" s="43"/>
      <c r="Q700" s="53"/>
      <c r="R700" s="41"/>
    </row>
    <row r="701" spans="1:18" x14ac:dyDescent="0.35">
      <c r="A701" s="40">
        <f t="shared" si="10"/>
        <v>700</v>
      </c>
      <c r="B701" s="41"/>
      <c r="C701" s="42"/>
      <c r="D701" s="42"/>
      <c r="E701" s="43"/>
      <c r="F701" s="43"/>
      <c r="G701" s="52"/>
      <c r="H701" s="44"/>
      <c r="I701" s="44"/>
      <c r="J701" s="52"/>
      <c r="K701" s="52"/>
      <c r="L701" s="43"/>
      <c r="M701" s="43"/>
      <c r="N701" s="43"/>
      <c r="O701" s="43"/>
      <c r="P701" s="43"/>
      <c r="Q701" s="41"/>
      <c r="R701" s="41"/>
    </row>
    <row r="702" spans="1:18" x14ac:dyDescent="0.35">
      <c r="A702" s="40">
        <f t="shared" si="10"/>
        <v>701</v>
      </c>
      <c r="B702" s="41"/>
      <c r="C702" s="42"/>
      <c r="D702" s="42"/>
      <c r="E702" s="52"/>
      <c r="F702" s="43"/>
      <c r="G702" s="52"/>
      <c r="H702" s="44"/>
      <c r="I702" s="44"/>
      <c r="J702" s="52"/>
      <c r="K702" s="52"/>
      <c r="L702" s="43"/>
      <c r="M702" s="43"/>
      <c r="N702" s="43"/>
      <c r="O702" s="43"/>
      <c r="P702" s="43"/>
      <c r="Q702" s="41"/>
      <c r="R702" s="41"/>
    </row>
    <row r="703" spans="1:18" x14ac:dyDescent="0.35">
      <c r="A703" s="40">
        <f t="shared" si="10"/>
        <v>702</v>
      </c>
      <c r="B703" s="41"/>
      <c r="C703" s="42"/>
      <c r="D703" s="42"/>
      <c r="E703" s="52"/>
      <c r="F703" s="52"/>
      <c r="G703" s="52"/>
      <c r="H703" s="44"/>
      <c r="I703" s="44"/>
      <c r="J703" s="52"/>
      <c r="K703" s="52"/>
      <c r="L703" s="43"/>
      <c r="M703" s="43"/>
      <c r="N703" s="43"/>
      <c r="O703" s="43"/>
      <c r="P703" s="43"/>
      <c r="Q703" s="41"/>
      <c r="R703" s="41"/>
    </row>
    <row r="704" spans="1:18" x14ac:dyDescent="0.35">
      <c r="A704" s="40">
        <f t="shared" si="10"/>
        <v>703</v>
      </c>
      <c r="B704" s="41"/>
      <c r="C704" s="42"/>
      <c r="D704" s="42"/>
      <c r="E704" s="52"/>
      <c r="F704" s="52"/>
      <c r="G704" s="43"/>
      <c r="H704" s="44"/>
      <c r="I704" s="44"/>
      <c r="J704" s="52"/>
      <c r="K704" s="52"/>
      <c r="L704" s="43"/>
      <c r="M704" s="43"/>
      <c r="N704" s="43"/>
      <c r="O704" s="43"/>
      <c r="P704" s="43"/>
      <c r="Q704" s="41"/>
      <c r="R704" s="41"/>
    </row>
    <row r="705" spans="1:18" x14ac:dyDescent="0.35">
      <c r="A705" s="40">
        <f t="shared" si="10"/>
        <v>704</v>
      </c>
      <c r="B705" s="41"/>
      <c r="C705" s="42"/>
      <c r="D705" s="42"/>
      <c r="E705" s="52"/>
      <c r="F705" s="43"/>
      <c r="G705" s="52"/>
      <c r="H705" s="44"/>
      <c r="I705" s="44"/>
      <c r="J705" s="52"/>
      <c r="K705" s="52"/>
      <c r="L705" s="52"/>
      <c r="M705" s="43"/>
      <c r="N705" s="43"/>
      <c r="O705" s="43"/>
      <c r="P705" s="43"/>
      <c r="Q705" s="41"/>
      <c r="R705" s="41"/>
    </row>
    <row r="706" spans="1:18" x14ac:dyDescent="0.35">
      <c r="A706" s="40">
        <f t="shared" ref="A706:A769" si="11">ROW()-1</f>
        <v>705</v>
      </c>
      <c r="B706" s="41"/>
      <c r="C706" s="42"/>
      <c r="D706" s="42"/>
      <c r="E706" s="52"/>
      <c r="F706" s="43"/>
      <c r="G706" s="52"/>
      <c r="H706" s="44"/>
      <c r="I706" s="44"/>
      <c r="J706" s="52"/>
      <c r="K706" s="52"/>
      <c r="L706" s="43"/>
      <c r="M706" s="43"/>
      <c r="N706" s="43"/>
      <c r="O706" s="43"/>
      <c r="P706" s="43"/>
      <c r="Q706" s="41"/>
      <c r="R706" s="41"/>
    </row>
    <row r="707" spans="1:18" x14ac:dyDescent="0.35">
      <c r="A707" s="40">
        <f t="shared" si="11"/>
        <v>706</v>
      </c>
      <c r="B707" s="41"/>
      <c r="C707" s="42"/>
      <c r="D707" s="42"/>
      <c r="E707" s="52"/>
      <c r="F707" s="43"/>
      <c r="G707" s="52"/>
      <c r="H707" s="44"/>
      <c r="I707" s="44"/>
      <c r="J707" s="52"/>
      <c r="K707" s="52"/>
      <c r="L707" s="43"/>
      <c r="M707" s="43"/>
      <c r="N707" s="43"/>
      <c r="O707" s="43"/>
      <c r="P707" s="43"/>
      <c r="Q707" s="41"/>
      <c r="R707" s="41"/>
    </row>
    <row r="708" spans="1:18" x14ac:dyDescent="0.35">
      <c r="A708" s="40">
        <f t="shared" si="11"/>
        <v>707</v>
      </c>
      <c r="B708" s="41"/>
      <c r="C708" s="42"/>
      <c r="D708" s="42"/>
      <c r="E708" s="52"/>
      <c r="F708" s="52"/>
      <c r="G708" s="43"/>
      <c r="H708" s="44"/>
      <c r="I708" s="44"/>
      <c r="J708" s="52"/>
      <c r="K708" s="52"/>
      <c r="L708" s="43"/>
      <c r="M708" s="43"/>
      <c r="N708" s="43"/>
      <c r="O708" s="43"/>
      <c r="P708" s="43"/>
      <c r="Q708" s="64"/>
      <c r="R708" s="41"/>
    </row>
    <row r="709" spans="1:18" x14ac:dyDescent="0.35">
      <c r="A709" s="40">
        <f t="shared" si="11"/>
        <v>708</v>
      </c>
      <c r="B709" s="41"/>
      <c r="C709" s="42"/>
      <c r="D709" s="42"/>
      <c r="E709" s="52"/>
      <c r="F709" s="43"/>
      <c r="G709" s="52"/>
      <c r="H709" s="44"/>
      <c r="I709" s="44"/>
      <c r="J709" s="52"/>
      <c r="K709" s="52"/>
      <c r="L709" s="52"/>
      <c r="M709" s="43"/>
      <c r="N709" s="52"/>
      <c r="O709" s="43"/>
      <c r="P709" s="43"/>
      <c r="Q709" s="41"/>
      <c r="R709" s="41"/>
    </row>
    <row r="710" spans="1:18" x14ac:dyDescent="0.35">
      <c r="A710" s="40">
        <f t="shared" si="11"/>
        <v>709</v>
      </c>
      <c r="B710" s="41"/>
      <c r="C710" s="42"/>
      <c r="D710" s="42"/>
      <c r="E710" s="52"/>
      <c r="F710" s="52"/>
      <c r="G710" s="52"/>
      <c r="H710" s="44"/>
      <c r="I710" s="44"/>
      <c r="J710" s="52"/>
      <c r="K710" s="52"/>
      <c r="L710" s="52"/>
      <c r="M710" s="54"/>
      <c r="N710" s="54"/>
      <c r="O710" s="43"/>
      <c r="P710" s="43"/>
      <c r="Q710" s="64"/>
      <c r="R710" s="41"/>
    </row>
    <row r="711" spans="1:18" x14ac:dyDescent="0.35">
      <c r="A711" s="40">
        <f t="shared" si="11"/>
        <v>710</v>
      </c>
      <c r="B711" s="41"/>
      <c r="C711" s="42"/>
      <c r="D711" s="42"/>
      <c r="E711" s="52"/>
      <c r="F711" s="52"/>
      <c r="G711" s="43"/>
      <c r="H711" s="44"/>
      <c r="I711" s="44"/>
      <c r="J711" s="52"/>
      <c r="K711" s="52"/>
      <c r="L711" s="52"/>
      <c r="M711" s="43"/>
      <c r="N711" s="43"/>
      <c r="O711" s="43"/>
      <c r="P711" s="43"/>
      <c r="Q711" s="41"/>
      <c r="R711" s="41"/>
    </row>
    <row r="712" spans="1:18" x14ac:dyDescent="0.35">
      <c r="A712" s="40">
        <f t="shared" si="11"/>
        <v>711</v>
      </c>
      <c r="B712" s="41"/>
      <c r="C712" s="42"/>
      <c r="D712" s="42"/>
      <c r="E712" s="52"/>
      <c r="F712" s="52"/>
      <c r="G712" s="43"/>
      <c r="H712" s="44"/>
      <c r="I712" s="44"/>
      <c r="J712" s="52"/>
      <c r="K712" s="52"/>
      <c r="L712" s="43"/>
      <c r="M712" s="43"/>
      <c r="N712" s="43"/>
      <c r="O712" s="43"/>
      <c r="P712" s="43"/>
      <c r="Q712" s="41"/>
      <c r="R712" s="41"/>
    </row>
    <row r="713" spans="1:18" x14ac:dyDescent="0.35">
      <c r="A713" s="40">
        <f t="shared" si="11"/>
        <v>712</v>
      </c>
      <c r="B713" s="41"/>
      <c r="C713" s="42"/>
      <c r="D713" s="42"/>
      <c r="E713" s="52"/>
      <c r="F713" s="52"/>
      <c r="G713" s="43"/>
      <c r="H713" s="44"/>
      <c r="I713" s="44"/>
      <c r="J713" s="52"/>
      <c r="K713" s="52"/>
      <c r="L713" s="52"/>
      <c r="M713" s="43"/>
      <c r="N713" s="43"/>
      <c r="O713" s="43"/>
      <c r="P713" s="43"/>
      <c r="Q713" s="41"/>
      <c r="R713" s="41"/>
    </row>
    <row r="714" spans="1:18" x14ac:dyDescent="0.35">
      <c r="A714" s="40">
        <f t="shared" si="11"/>
        <v>713</v>
      </c>
      <c r="B714" s="41"/>
      <c r="C714" s="42"/>
      <c r="D714" s="42"/>
      <c r="E714" s="52"/>
      <c r="F714" s="52"/>
      <c r="G714" s="43"/>
      <c r="H714" s="44"/>
      <c r="I714" s="44"/>
      <c r="J714" s="52"/>
      <c r="K714" s="52"/>
      <c r="L714" s="43"/>
      <c r="M714" s="43"/>
      <c r="N714" s="43"/>
      <c r="O714" s="43"/>
      <c r="P714" s="43"/>
      <c r="Q714" s="41"/>
      <c r="R714" s="41"/>
    </row>
    <row r="715" spans="1:18" x14ac:dyDescent="0.35">
      <c r="A715" s="40">
        <f t="shared" si="11"/>
        <v>714</v>
      </c>
      <c r="B715" s="41"/>
      <c r="C715" s="42"/>
      <c r="D715" s="55"/>
      <c r="E715" s="52"/>
      <c r="F715" s="43"/>
      <c r="G715" s="52"/>
      <c r="H715" s="44"/>
      <c r="I715" s="44"/>
      <c r="J715" s="52"/>
      <c r="K715" s="52"/>
      <c r="L715" s="52"/>
      <c r="M715" s="43"/>
      <c r="N715" s="43"/>
      <c r="O715" s="43"/>
      <c r="P715" s="43"/>
      <c r="Q715" s="41"/>
      <c r="R715" s="41"/>
    </row>
    <row r="716" spans="1:18" x14ac:dyDescent="0.35">
      <c r="A716" s="40">
        <f t="shared" si="11"/>
        <v>715</v>
      </c>
      <c r="B716" s="41"/>
      <c r="C716" s="42"/>
      <c r="D716" s="42"/>
      <c r="E716" s="52"/>
      <c r="F716" s="43"/>
      <c r="G716" s="52"/>
      <c r="H716" s="44"/>
      <c r="I716" s="44"/>
      <c r="J716" s="52"/>
      <c r="K716" s="52"/>
      <c r="L716" s="52"/>
      <c r="M716" s="43"/>
      <c r="N716" s="43"/>
      <c r="O716" s="43"/>
      <c r="P716" s="43"/>
      <c r="Q716" s="41"/>
      <c r="R716" s="41"/>
    </row>
    <row r="717" spans="1:18" x14ac:dyDescent="0.35">
      <c r="A717" s="40">
        <f t="shared" si="11"/>
        <v>716</v>
      </c>
      <c r="B717" s="41"/>
      <c r="C717" s="42"/>
      <c r="D717" s="42"/>
      <c r="E717" s="52"/>
      <c r="F717" s="52"/>
      <c r="G717" s="52"/>
      <c r="H717" s="44"/>
      <c r="I717" s="44"/>
      <c r="J717" s="52"/>
      <c r="K717" s="52"/>
      <c r="L717" s="52"/>
      <c r="M717" s="43"/>
      <c r="N717" s="43"/>
      <c r="O717" s="43"/>
      <c r="P717" s="43"/>
      <c r="Q717" s="41"/>
      <c r="R717" s="41"/>
    </row>
    <row r="718" spans="1:18" x14ac:dyDescent="0.35">
      <c r="A718" s="40">
        <f t="shared" si="11"/>
        <v>717</v>
      </c>
      <c r="B718" s="41"/>
      <c r="C718" s="42"/>
      <c r="D718" s="42"/>
      <c r="E718" s="52"/>
      <c r="F718" s="52"/>
      <c r="G718" s="43"/>
      <c r="H718" s="44"/>
      <c r="I718" s="44"/>
      <c r="J718" s="52"/>
      <c r="K718" s="52"/>
      <c r="L718" s="52"/>
      <c r="M718" s="43"/>
      <c r="N718" s="43"/>
      <c r="O718" s="43"/>
      <c r="P718" s="43"/>
      <c r="Q718" s="41"/>
      <c r="R718" s="41"/>
    </row>
    <row r="719" spans="1:18" x14ac:dyDescent="0.35">
      <c r="A719" s="40">
        <f t="shared" si="11"/>
        <v>718</v>
      </c>
      <c r="B719" s="41"/>
      <c r="C719" s="42"/>
      <c r="D719" s="42"/>
      <c r="E719" s="52"/>
      <c r="F719" s="52"/>
      <c r="G719" s="43"/>
      <c r="H719" s="44"/>
      <c r="I719" s="44"/>
      <c r="J719" s="52"/>
      <c r="K719" s="52"/>
      <c r="L719" s="52"/>
      <c r="M719" s="43"/>
      <c r="N719" s="43"/>
      <c r="O719" s="43"/>
      <c r="P719" s="43"/>
      <c r="Q719" s="41"/>
      <c r="R719" s="41"/>
    </row>
    <row r="720" spans="1:18" x14ac:dyDescent="0.35">
      <c r="A720" s="40">
        <f t="shared" si="11"/>
        <v>719</v>
      </c>
      <c r="B720" s="41"/>
      <c r="C720" s="42"/>
      <c r="D720" s="42"/>
      <c r="E720" s="52"/>
      <c r="F720" s="52"/>
      <c r="G720" s="43"/>
      <c r="H720" s="44"/>
      <c r="I720" s="44"/>
      <c r="J720" s="52"/>
      <c r="K720" s="52"/>
      <c r="L720" s="43"/>
      <c r="M720" s="43"/>
      <c r="N720" s="43"/>
      <c r="O720" s="43"/>
      <c r="P720" s="52"/>
      <c r="Q720" s="41"/>
      <c r="R720" s="41"/>
    </row>
    <row r="721" spans="1:18" x14ac:dyDescent="0.35">
      <c r="A721" s="40">
        <f t="shared" si="11"/>
        <v>720</v>
      </c>
      <c r="B721" s="41"/>
      <c r="C721" s="42"/>
      <c r="D721" s="42"/>
      <c r="E721" s="52"/>
      <c r="F721" s="43"/>
      <c r="G721" s="52"/>
      <c r="H721" s="44"/>
      <c r="I721" s="44"/>
      <c r="J721" s="52"/>
      <c r="K721" s="52"/>
      <c r="L721" s="52"/>
      <c r="M721" s="43"/>
      <c r="N721" s="43"/>
      <c r="O721" s="43"/>
      <c r="P721" s="43"/>
      <c r="Q721" s="41"/>
      <c r="R721" s="41"/>
    </row>
    <row r="722" spans="1:18" x14ac:dyDescent="0.35">
      <c r="A722" s="40">
        <f t="shared" si="11"/>
        <v>721</v>
      </c>
      <c r="B722" s="41"/>
      <c r="C722" s="42"/>
      <c r="D722" s="42"/>
      <c r="E722" s="52"/>
      <c r="F722" s="52"/>
      <c r="G722" s="43"/>
      <c r="H722" s="44"/>
      <c r="I722" s="44"/>
      <c r="J722" s="52"/>
      <c r="K722" s="52"/>
      <c r="L722" s="52"/>
      <c r="M722" s="43"/>
      <c r="N722" s="43"/>
      <c r="O722" s="43"/>
      <c r="P722" s="43"/>
      <c r="Q722" s="41"/>
      <c r="R722" s="41"/>
    </row>
    <row r="723" spans="1:18" x14ac:dyDescent="0.35">
      <c r="A723" s="40">
        <f t="shared" si="11"/>
        <v>722</v>
      </c>
      <c r="B723" s="41"/>
      <c r="C723" s="42"/>
      <c r="D723" s="42"/>
      <c r="E723" s="52"/>
      <c r="F723" s="43"/>
      <c r="G723" s="52"/>
      <c r="H723" s="44"/>
      <c r="I723" s="44"/>
      <c r="J723" s="52"/>
      <c r="K723" s="52"/>
      <c r="L723" s="52"/>
      <c r="M723" s="43"/>
      <c r="N723" s="43"/>
      <c r="O723" s="43"/>
      <c r="P723" s="43"/>
      <c r="Q723" s="41"/>
      <c r="R723" s="41"/>
    </row>
    <row r="724" spans="1:18" x14ac:dyDescent="0.35">
      <c r="A724" s="40">
        <f t="shared" si="11"/>
        <v>723</v>
      </c>
      <c r="B724" s="41"/>
      <c r="C724" s="42"/>
      <c r="D724" s="42"/>
      <c r="E724" s="52"/>
      <c r="F724" s="43"/>
      <c r="G724" s="52"/>
      <c r="H724" s="44"/>
      <c r="I724" s="44"/>
      <c r="J724" s="52"/>
      <c r="K724" s="52"/>
      <c r="L724" s="52"/>
      <c r="M724" s="43"/>
      <c r="N724" s="43"/>
      <c r="O724" s="43"/>
      <c r="P724" s="43"/>
      <c r="Q724" s="41"/>
      <c r="R724" s="41"/>
    </row>
    <row r="725" spans="1:18" x14ac:dyDescent="0.35">
      <c r="A725" s="40">
        <f t="shared" si="11"/>
        <v>724</v>
      </c>
      <c r="B725" s="41"/>
      <c r="C725" s="42"/>
      <c r="D725" s="42"/>
      <c r="E725" s="52"/>
      <c r="F725" s="43"/>
      <c r="G725" s="52"/>
      <c r="H725" s="44"/>
      <c r="I725" s="44"/>
      <c r="J725" s="52"/>
      <c r="K725" s="52"/>
      <c r="L725" s="52"/>
      <c r="M725" s="43"/>
      <c r="N725" s="43"/>
      <c r="O725" s="43"/>
      <c r="P725" s="43"/>
      <c r="Q725" s="41"/>
      <c r="R725" s="41"/>
    </row>
    <row r="726" spans="1:18" x14ac:dyDescent="0.35">
      <c r="A726" s="40">
        <f t="shared" si="11"/>
        <v>725</v>
      </c>
      <c r="B726" s="41"/>
      <c r="C726" s="42"/>
      <c r="D726" s="42"/>
      <c r="E726" s="52"/>
      <c r="F726" s="43"/>
      <c r="G726" s="52"/>
      <c r="H726" s="44"/>
      <c r="I726" s="44"/>
      <c r="J726" s="52"/>
      <c r="K726" s="52"/>
      <c r="L726" s="52"/>
      <c r="M726" s="43"/>
      <c r="N726" s="43"/>
      <c r="O726" s="43"/>
      <c r="P726" s="43"/>
      <c r="Q726" s="41"/>
      <c r="R726" s="41"/>
    </row>
    <row r="727" spans="1:18" x14ac:dyDescent="0.35">
      <c r="A727" s="40">
        <f t="shared" si="11"/>
        <v>726</v>
      </c>
      <c r="B727" s="41"/>
      <c r="C727" s="42"/>
      <c r="D727" s="42"/>
      <c r="E727" s="52"/>
      <c r="F727" s="43"/>
      <c r="G727" s="52"/>
      <c r="H727" s="44"/>
      <c r="I727" s="44"/>
      <c r="J727" s="52"/>
      <c r="K727" s="52"/>
      <c r="L727" s="52"/>
      <c r="M727" s="54"/>
      <c r="N727" s="52"/>
      <c r="O727" s="43"/>
      <c r="P727" s="43"/>
      <c r="Q727" s="53"/>
      <c r="R727" s="41"/>
    </row>
    <row r="728" spans="1:18" x14ac:dyDescent="0.35">
      <c r="A728" s="40">
        <f t="shared" si="11"/>
        <v>727</v>
      </c>
      <c r="B728" s="41"/>
      <c r="C728" s="42"/>
      <c r="D728" s="42"/>
      <c r="E728" s="52"/>
      <c r="F728" s="43"/>
      <c r="G728" s="52"/>
      <c r="H728" s="44"/>
      <c r="I728" s="44"/>
      <c r="J728" s="52"/>
      <c r="K728" s="52"/>
      <c r="L728" s="52"/>
      <c r="M728" s="43"/>
      <c r="N728" s="43"/>
      <c r="O728" s="43"/>
      <c r="P728" s="43"/>
      <c r="Q728" s="41"/>
      <c r="R728" s="41"/>
    </row>
    <row r="729" spans="1:18" x14ac:dyDescent="0.35">
      <c r="A729" s="40">
        <f t="shared" si="11"/>
        <v>728</v>
      </c>
      <c r="B729" s="41"/>
      <c r="C729" s="42"/>
      <c r="D729" s="42"/>
      <c r="E729" s="43"/>
      <c r="F729" s="43"/>
      <c r="G729" s="43"/>
      <c r="H729" s="44"/>
      <c r="I729" s="44"/>
      <c r="J729" s="43"/>
      <c r="K729" s="43"/>
      <c r="L729" s="52"/>
      <c r="M729" s="54"/>
      <c r="N729" s="54"/>
      <c r="O729" s="43"/>
      <c r="P729" s="43"/>
      <c r="Q729" s="41"/>
      <c r="R729" s="41"/>
    </row>
    <row r="730" spans="1:18" x14ac:dyDescent="0.35">
      <c r="A730" s="40">
        <f t="shared" si="11"/>
        <v>729</v>
      </c>
      <c r="B730" s="41"/>
      <c r="C730" s="42"/>
      <c r="D730" s="42"/>
      <c r="E730" s="52"/>
      <c r="F730" s="43"/>
      <c r="G730" s="43"/>
      <c r="H730" s="44"/>
      <c r="I730" s="44"/>
      <c r="J730" s="52"/>
      <c r="K730" s="52"/>
      <c r="L730" s="43"/>
      <c r="M730" s="43"/>
      <c r="N730" s="43"/>
      <c r="O730" s="43"/>
      <c r="P730" s="43"/>
      <c r="Q730" s="41"/>
      <c r="R730" s="41"/>
    </row>
    <row r="731" spans="1:18" x14ac:dyDescent="0.35">
      <c r="A731" s="40">
        <f t="shared" si="11"/>
        <v>730</v>
      </c>
      <c r="B731" s="41"/>
      <c r="C731" s="42"/>
      <c r="D731" s="42"/>
      <c r="E731" s="52"/>
      <c r="F731" s="52"/>
      <c r="G731" s="43"/>
      <c r="H731" s="44"/>
      <c r="I731" s="44"/>
      <c r="J731" s="52"/>
      <c r="K731" s="52"/>
      <c r="L731" s="43"/>
      <c r="M731" s="43"/>
      <c r="N731" s="43"/>
      <c r="O731" s="43"/>
      <c r="P731" s="43"/>
      <c r="Q731" s="41"/>
      <c r="R731" s="41"/>
    </row>
    <row r="732" spans="1:18" x14ac:dyDescent="0.35">
      <c r="A732" s="40">
        <f t="shared" si="11"/>
        <v>731</v>
      </c>
      <c r="B732" s="41"/>
      <c r="C732" s="42"/>
      <c r="D732" s="42"/>
      <c r="E732" s="52"/>
      <c r="F732" s="43"/>
      <c r="G732" s="52"/>
      <c r="H732" s="44"/>
      <c r="I732" s="44"/>
      <c r="J732" s="52"/>
      <c r="K732" s="52"/>
      <c r="L732" s="52"/>
      <c r="M732" s="54"/>
      <c r="N732" s="52"/>
      <c r="O732" s="43"/>
      <c r="P732" s="43"/>
      <c r="Q732" s="41"/>
      <c r="R732" s="41"/>
    </row>
    <row r="733" spans="1:18" x14ac:dyDescent="0.35">
      <c r="A733" s="40">
        <f t="shared" si="11"/>
        <v>732</v>
      </c>
      <c r="B733" s="41"/>
      <c r="C733" s="42"/>
      <c r="D733" s="42"/>
      <c r="E733" s="52"/>
      <c r="F733" s="43"/>
      <c r="G733" s="52"/>
      <c r="H733" s="44"/>
      <c r="I733" s="44"/>
      <c r="J733" s="52"/>
      <c r="K733" s="43"/>
      <c r="L733" s="43"/>
      <c r="M733" s="43"/>
      <c r="N733" s="43"/>
      <c r="O733" s="43"/>
      <c r="P733" s="43"/>
      <c r="Q733" s="41"/>
      <c r="R733" s="41"/>
    </row>
    <row r="734" spans="1:18" x14ac:dyDescent="0.35">
      <c r="A734" s="40">
        <f t="shared" si="11"/>
        <v>733</v>
      </c>
      <c r="B734" s="41"/>
      <c r="C734" s="42"/>
      <c r="D734" s="42"/>
      <c r="E734" s="43"/>
      <c r="F734" s="43"/>
      <c r="G734" s="43"/>
      <c r="H734" s="44"/>
      <c r="I734" s="44"/>
      <c r="J734" s="43"/>
      <c r="K734" s="43"/>
      <c r="L734" s="52"/>
      <c r="M734" s="54"/>
      <c r="N734" s="52"/>
      <c r="O734" s="43"/>
      <c r="P734" s="43"/>
      <c r="Q734" s="41"/>
      <c r="R734" s="41"/>
    </row>
    <row r="735" spans="1:18" x14ac:dyDescent="0.35">
      <c r="A735" s="40">
        <f t="shared" si="11"/>
        <v>734</v>
      </c>
      <c r="B735" s="41"/>
      <c r="C735" s="42"/>
      <c r="D735" s="42"/>
      <c r="E735" s="43"/>
      <c r="F735" s="43"/>
      <c r="G735" s="43"/>
      <c r="H735" s="44"/>
      <c r="I735" s="44"/>
      <c r="J735" s="43"/>
      <c r="K735" s="43"/>
      <c r="L735" s="52"/>
      <c r="M735" s="59"/>
      <c r="N735" s="54"/>
      <c r="O735" s="41"/>
      <c r="P735" s="41"/>
      <c r="Q735" s="41"/>
      <c r="R735" s="41"/>
    </row>
    <row r="736" spans="1:18" x14ac:dyDescent="0.35">
      <c r="A736" s="40">
        <f t="shared" si="11"/>
        <v>735</v>
      </c>
      <c r="B736" s="41"/>
      <c r="C736" s="42"/>
      <c r="D736" s="42"/>
      <c r="E736" s="52"/>
      <c r="F736" s="52"/>
      <c r="G736" s="52"/>
      <c r="H736" s="44"/>
      <c r="I736" s="44"/>
      <c r="J736" s="52"/>
      <c r="K736" s="52"/>
      <c r="L736" s="43"/>
      <c r="M736" s="43"/>
      <c r="N736" s="43"/>
      <c r="O736" s="43"/>
      <c r="P736" s="43"/>
      <c r="Q736" s="53"/>
      <c r="R736" s="41"/>
    </row>
    <row r="737" spans="1:18" x14ac:dyDescent="0.35">
      <c r="A737" s="40">
        <f t="shared" si="11"/>
        <v>736</v>
      </c>
      <c r="B737" s="41"/>
      <c r="C737" s="42"/>
      <c r="D737" s="42"/>
      <c r="E737" s="43"/>
      <c r="F737" s="43"/>
      <c r="G737" s="43"/>
      <c r="H737" s="44"/>
      <c r="I737" s="44"/>
      <c r="J737" s="43"/>
      <c r="K737" s="43"/>
      <c r="L737" s="52"/>
      <c r="M737" s="54"/>
      <c r="N737" s="54"/>
      <c r="O737" s="43"/>
      <c r="P737" s="43"/>
      <c r="Q737" s="41"/>
      <c r="R737" s="41"/>
    </row>
    <row r="738" spans="1:18" x14ac:dyDescent="0.35">
      <c r="A738" s="40">
        <f t="shared" si="11"/>
        <v>737</v>
      </c>
      <c r="B738" s="41"/>
      <c r="C738" s="42"/>
      <c r="D738" s="42"/>
      <c r="E738" s="52"/>
      <c r="F738" s="52"/>
      <c r="G738" s="52"/>
      <c r="H738" s="44"/>
      <c r="I738" s="44"/>
      <c r="J738" s="52"/>
      <c r="K738" s="52"/>
      <c r="L738" s="52"/>
      <c r="M738" s="54"/>
      <c r="N738" s="54"/>
      <c r="O738" s="43"/>
      <c r="P738" s="43"/>
      <c r="Q738" s="53"/>
      <c r="R738" s="41"/>
    </row>
    <row r="739" spans="1:18" x14ac:dyDescent="0.35">
      <c r="A739" s="40">
        <f t="shared" si="11"/>
        <v>738</v>
      </c>
      <c r="B739" s="41"/>
      <c r="C739" s="42"/>
      <c r="D739" s="42"/>
      <c r="E739" s="52"/>
      <c r="F739" s="43"/>
      <c r="G739" s="52"/>
      <c r="H739" s="44"/>
      <c r="I739" s="44"/>
      <c r="J739" s="52"/>
      <c r="K739" s="43"/>
      <c r="L739" s="52"/>
      <c r="M739" s="54"/>
      <c r="N739" s="54"/>
      <c r="O739" s="43"/>
      <c r="P739" s="43"/>
      <c r="Q739" s="41"/>
      <c r="R739" s="41"/>
    </row>
    <row r="740" spans="1:18" x14ac:dyDescent="0.35">
      <c r="A740" s="40">
        <f t="shared" si="11"/>
        <v>739</v>
      </c>
      <c r="B740" s="41"/>
      <c r="C740" s="42"/>
      <c r="D740" s="42"/>
      <c r="E740" s="52"/>
      <c r="F740" s="52"/>
      <c r="G740" s="52"/>
      <c r="H740" s="44"/>
      <c r="I740" s="44"/>
      <c r="J740" s="52"/>
      <c r="K740" s="52"/>
      <c r="L740" s="52"/>
      <c r="M740" s="54"/>
      <c r="N740" s="54"/>
      <c r="O740" s="43"/>
      <c r="P740" s="43"/>
      <c r="Q740" s="41"/>
      <c r="R740" s="41"/>
    </row>
    <row r="741" spans="1:18" x14ac:dyDescent="0.35">
      <c r="A741" s="40">
        <f t="shared" si="11"/>
        <v>740</v>
      </c>
      <c r="B741" s="41"/>
      <c r="C741" s="42"/>
      <c r="D741" s="42"/>
      <c r="E741" s="43"/>
      <c r="F741" s="43"/>
      <c r="G741" s="43"/>
      <c r="H741" s="44"/>
      <c r="I741" s="44"/>
      <c r="J741" s="43"/>
      <c r="K741" s="43"/>
      <c r="L741" s="52"/>
      <c r="M741" s="54"/>
      <c r="N741" s="54"/>
      <c r="O741" s="43"/>
      <c r="P741" s="43"/>
      <c r="Q741" s="41"/>
      <c r="R741" s="41"/>
    </row>
    <row r="742" spans="1:18" x14ac:dyDescent="0.35">
      <c r="A742" s="40">
        <f t="shared" si="11"/>
        <v>741</v>
      </c>
      <c r="B742" s="41"/>
      <c r="C742" s="42"/>
      <c r="D742" s="42"/>
      <c r="E742" s="52"/>
      <c r="F742" s="43"/>
      <c r="G742" s="43"/>
      <c r="H742" s="44"/>
      <c r="I742" s="44"/>
      <c r="J742" s="52"/>
      <c r="K742" s="52"/>
      <c r="L742" s="43"/>
      <c r="M742" s="43"/>
      <c r="N742" s="43"/>
      <c r="O742" s="43"/>
      <c r="P742" s="43"/>
      <c r="Q742" s="41"/>
      <c r="R742" s="41"/>
    </row>
    <row r="743" spans="1:18" x14ac:dyDescent="0.35">
      <c r="A743" s="40">
        <f t="shared" si="11"/>
        <v>742</v>
      </c>
      <c r="B743" s="41"/>
      <c r="C743" s="42"/>
      <c r="D743" s="42"/>
      <c r="E743" s="52"/>
      <c r="F743" s="52"/>
      <c r="G743" s="43"/>
      <c r="H743" s="44"/>
      <c r="I743" s="44"/>
      <c r="J743" s="52"/>
      <c r="K743" s="52"/>
      <c r="L743" s="52"/>
      <c r="M743" s="54"/>
      <c r="N743" s="54"/>
      <c r="O743" s="43"/>
      <c r="P743" s="43"/>
      <c r="Q743" s="41"/>
      <c r="R743" s="41"/>
    </row>
    <row r="744" spans="1:18" x14ac:dyDescent="0.35">
      <c r="A744" s="40">
        <f t="shared" si="11"/>
        <v>743</v>
      </c>
      <c r="B744" s="41"/>
      <c r="C744" s="42"/>
      <c r="D744" s="42"/>
      <c r="E744" s="52"/>
      <c r="F744" s="52"/>
      <c r="G744" s="52"/>
      <c r="H744" s="44"/>
      <c r="I744" s="44"/>
      <c r="J744" s="52"/>
      <c r="K744" s="52"/>
      <c r="L744" s="54"/>
      <c r="M744" s="54"/>
      <c r="N744" s="54"/>
      <c r="O744" s="43"/>
      <c r="P744" s="43"/>
      <c r="Q744" s="41"/>
      <c r="R744" s="41"/>
    </row>
    <row r="745" spans="1:18" x14ac:dyDescent="0.35">
      <c r="A745" s="40">
        <f t="shared" si="11"/>
        <v>744</v>
      </c>
      <c r="B745" s="41"/>
      <c r="C745" s="42"/>
      <c r="D745" s="42"/>
      <c r="E745" s="43"/>
      <c r="F745" s="43"/>
      <c r="G745" s="43"/>
      <c r="H745" s="44"/>
      <c r="I745" s="44"/>
      <c r="J745" s="43"/>
      <c r="K745" s="43"/>
      <c r="L745" s="43"/>
      <c r="M745" s="43"/>
      <c r="N745" s="43"/>
      <c r="O745" s="43"/>
      <c r="P745" s="43"/>
      <c r="Q745" s="41"/>
      <c r="R745" s="41"/>
    </row>
    <row r="746" spans="1:18" x14ac:dyDescent="0.35">
      <c r="A746" s="40">
        <f t="shared" si="11"/>
        <v>745</v>
      </c>
      <c r="B746" s="41"/>
      <c r="C746" s="42"/>
      <c r="D746" s="42"/>
      <c r="E746" s="43"/>
      <c r="F746" s="43"/>
      <c r="G746" s="43"/>
      <c r="H746" s="44"/>
      <c r="I746" s="44"/>
      <c r="J746" s="43"/>
      <c r="K746" s="43"/>
      <c r="L746" s="43"/>
      <c r="M746" s="43"/>
      <c r="N746" s="43"/>
      <c r="O746" s="43"/>
      <c r="P746" s="43"/>
      <c r="Q746" s="53"/>
      <c r="R746" s="41"/>
    </row>
    <row r="747" spans="1:18" x14ac:dyDescent="0.35">
      <c r="A747" s="40">
        <f t="shared" si="11"/>
        <v>746</v>
      </c>
      <c r="B747" s="41"/>
      <c r="C747" s="42"/>
      <c r="D747" s="42"/>
      <c r="E747" s="43"/>
      <c r="F747" s="43"/>
      <c r="G747" s="43"/>
      <c r="H747" s="44"/>
      <c r="I747" s="44"/>
      <c r="J747" s="43"/>
      <c r="K747" s="43"/>
      <c r="L747" s="43"/>
      <c r="M747" s="43"/>
      <c r="N747" s="43"/>
      <c r="O747" s="43"/>
      <c r="P747" s="43"/>
      <c r="Q747" s="41"/>
      <c r="R747" s="41"/>
    </row>
    <row r="748" spans="1:18" x14ac:dyDescent="0.35">
      <c r="A748" s="40">
        <f t="shared" si="11"/>
        <v>747</v>
      </c>
      <c r="B748" s="41"/>
      <c r="C748" s="42"/>
      <c r="D748" s="42"/>
      <c r="E748" s="43"/>
      <c r="F748" s="43"/>
      <c r="G748" s="43"/>
      <c r="H748" s="44"/>
      <c r="I748" s="44"/>
      <c r="J748" s="43"/>
      <c r="K748" s="43"/>
      <c r="L748" s="43"/>
      <c r="M748" s="43"/>
      <c r="N748" s="43"/>
      <c r="O748" s="43"/>
      <c r="P748" s="43"/>
      <c r="Q748" s="41"/>
      <c r="R748" s="53"/>
    </row>
    <row r="749" spans="1:18" x14ac:dyDescent="0.35">
      <c r="A749" s="40">
        <f t="shared" si="11"/>
        <v>748</v>
      </c>
      <c r="B749" s="41"/>
      <c r="C749" s="42"/>
      <c r="D749" s="42"/>
      <c r="E749" s="43"/>
      <c r="F749" s="43"/>
      <c r="G749" s="43"/>
      <c r="H749" s="44"/>
      <c r="I749" s="44"/>
      <c r="J749" s="43"/>
      <c r="K749" s="43"/>
      <c r="L749" s="43"/>
      <c r="M749" s="43"/>
      <c r="N749" s="43"/>
      <c r="O749" s="43"/>
      <c r="P749" s="43"/>
      <c r="Q749" s="41"/>
      <c r="R749" s="53"/>
    </row>
    <row r="750" spans="1:18" x14ac:dyDescent="0.35">
      <c r="A750" s="40">
        <f t="shared" si="11"/>
        <v>749</v>
      </c>
      <c r="B750" s="41"/>
      <c r="C750" s="42"/>
      <c r="D750" s="42"/>
      <c r="E750" s="43"/>
      <c r="F750" s="52"/>
      <c r="G750" s="43"/>
      <c r="H750" s="44"/>
      <c r="I750" s="44"/>
      <c r="J750" s="43"/>
      <c r="K750" s="43"/>
      <c r="L750" s="43"/>
      <c r="M750" s="43"/>
      <c r="N750" s="43"/>
      <c r="O750" s="43"/>
      <c r="P750" s="43"/>
      <c r="Q750" s="41"/>
      <c r="R750" s="41"/>
    </row>
    <row r="751" spans="1:18" x14ac:dyDescent="0.35">
      <c r="A751" s="40">
        <f t="shared" si="11"/>
        <v>750</v>
      </c>
      <c r="B751" s="41"/>
      <c r="C751" s="42"/>
      <c r="D751" s="42"/>
      <c r="E751" s="43"/>
      <c r="F751" s="43"/>
      <c r="G751" s="43"/>
      <c r="H751" s="44"/>
      <c r="I751" s="44"/>
      <c r="J751" s="43"/>
      <c r="K751" s="43"/>
      <c r="L751" s="43"/>
      <c r="M751" s="43"/>
      <c r="N751" s="43"/>
      <c r="O751" s="43"/>
      <c r="P751" s="43"/>
      <c r="Q751" s="41"/>
      <c r="R751" s="41"/>
    </row>
    <row r="752" spans="1:18" x14ac:dyDescent="0.35">
      <c r="A752" s="40">
        <f t="shared" si="11"/>
        <v>751</v>
      </c>
      <c r="B752" s="41"/>
      <c r="C752" s="42"/>
      <c r="D752" s="42"/>
      <c r="E752" s="52"/>
      <c r="F752" s="43"/>
      <c r="G752" s="43"/>
      <c r="H752" s="44"/>
      <c r="I752" s="44"/>
      <c r="J752" s="43"/>
      <c r="K752" s="43"/>
      <c r="L752" s="43"/>
      <c r="M752" s="43"/>
      <c r="N752" s="43"/>
      <c r="O752" s="43"/>
      <c r="P752" s="43"/>
      <c r="Q752" s="41"/>
      <c r="R752" s="41"/>
    </row>
    <row r="753" spans="1:18" x14ac:dyDescent="0.35">
      <c r="A753" s="40">
        <f t="shared" si="11"/>
        <v>752</v>
      </c>
      <c r="B753" s="41"/>
      <c r="C753" s="42"/>
      <c r="D753" s="42"/>
      <c r="E753" s="52"/>
      <c r="F753" s="43"/>
      <c r="G753" s="43"/>
      <c r="H753" s="44"/>
      <c r="I753" s="44"/>
      <c r="J753" s="43"/>
      <c r="K753" s="43"/>
      <c r="L753" s="43"/>
      <c r="M753" s="43"/>
      <c r="N753" s="43"/>
      <c r="O753" s="43"/>
      <c r="P753" s="43"/>
      <c r="Q753" s="41"/>
      <c r="R753" s="41"/>
    </row>
    <row r="754" spans="1:18" x14ac:dyDescent="0.35">
      <c r="A754" s="40">
        <f t="shared" si="11"/>
        <v>753</v>
      </c>
      <c r="B754" s="41"/>
      <c r="C754" s="42"/>
      <c r="D754" s="42"/>
      <c r="E754" s="43"/>
      <c r="F754" s="43"/>
      <c r="G754" s="43"/>
      <c r="H754" s="44"/>
      <c r="I754" s="44"/>
      <c r="J754" s="43"/>
      <c r="K754" s="43"/>
      <c r="L754" s="43"/>
      <c r="M754" s="43"/>
      <c r="N754" s="43"/>
      <c r="O754" s="43"/>
      <c r="P754" s="43"/>
      <c r="Q754" s="41"/>
      <c r="R754" s="41"/>
    </row>
    <row r="755" spans="1:18" x14ac:dyDescent="0.35">
      <c r="A755" s="40">
        <f t="shared" si="11"/>
        <v>754</v>
      </c>
      <c r="B755" s="41"/>
      <c r="C755" s="42"/>
      <c r="D755" s="42"/>
      <c r="E755" s="43"/>
      <c r="F755" s="43"/>
      <c r="G755" s="43"/>
      <c r="H755" s="44"/>
      <c r="I755" s="44"/>
      <c r="J755" s="43"/>
      <c r="K755" s="43"/>
      <c r="L755" s="43"/>
      <c r="M755" s="43"/>
      <c r="N755" s="43"/>
      <c r="O755" s="43"/>
      <c r="P755" s="43"/>
      <c r="Q755" s="41"/>
      <c r="R755" s="41"/>
    </row>
    <row r="756" spans="1:18" x14ac:dyDescent="0.35">
      <c r="A756" s="40">
        <f t="shared" si="11"/>
        <v>755</v>
      </c>
      <c r="B756" s="41"/>
      <c r="C756" s="42"/>
      <c r="D756" s="42"/>
      <c r="E756" s="43"/>
      <c r="F756" s="43"/>
      <c r="G756" s="43"/>
      <c r="H756" s="44"/>
      <c r="I756" s="44"/>
      <c r="J756" s="43"/>
      <c r="K756" s="43"/>
      <c r="L756" s="43"/>
      <c r="M756" s="43"/>
      <c r="N756" s="43"/>
      <c r="O756" s="43"/>
      <c r="P756" s="43"/>
      <c r="Q756" s="41"/>
      <c r="R756" s="41"/>
    </row>
    <row r="757" spans="1:18" x14ac:dyDescent="0.35">
      <c r="A757" s="40">
        <f t="shared" si="11"/>
        <v>756</v>
      </c>
      <c r="B757" s="41"/>
      <c r="C757" s="42"/>
      <c r="D757" s="42"/>
      <c r="E757" s="43"/>
      <c r="F757" s="43"/>
      <c r="G757" s="43"/>
      <c r="H757" s="44"/>
      <c r="I757" s="44"/>
      <c r="J757" s="43"/>
      <c r="K757" s="43"/>
      <c r="L757" s="43"/>
      <c r="M757" s="43"/>
      <c r="N757" s="43"/>
      <c r="O757" s="43"/>
      <c r="P757" s="43"/>
      <c r="Q757" s="41"/>
      <c r="R757" s="41"/>
    </row>
    <row r="758" spans="1:18" x14ac:dyDescent="0.35">
      <c r="A758" s="40">
        <f t="shared" si="11"/>
        <v>757</v>
      </c>
      <c r="B758" s="41"/>
      <c r="C758" s="42"/>
      <c r="D758" s="42"/>
      <c r="E758" s="43"/>
      <c r="F758" s="43"/>
      <c r="G758" s="43"/>
      <c r="H758" s="44"/>
      <c r="I758" s="44"/>
      <c r="J758" s="43"/>
      <c r="K758" s="43"/>
      <c r="L758" s="43"/>
      <c r="M758" s="43"/>
      <c r="N758" s="43"/>
      <c r="O758" s="43"/>
      <c r="P758" s="43"/>
      <c r="Q758" s="53"/>
      <c r="R758" s="41"/>
    </row>
    <row r="759" spans="1:18" x14ac:dyDescent="0.35">
      <c r="A759" s="40">
        <f t="shared" si="11"/>
        <v>758</v>
      </c>
      <c r="B759" s="41"/>
      <c r="C759" s="42"/>
      <c r="D759" s="42"/>
      <c r="E759" s="43"/>
      <c r="F759" s="43"/>
      <c r="G759" s="43"/>
      <c r="H759" s="44"/>
      <c r="I759" s="44"/>
      <c r="J759" s="43"/>
      <c r="K759" s="43"/>
      <c r="L759" s="43"/>
      <c r="M759" s="43"/>
      <c r="N759" s="43"/>
      <c r="O759" s="43"/>
      <c r="P759" s="43"/>
      <c r="Q759" s="53"/>
      <c r="R759" s="41"/>
    </row>
    <row r="760" spans="1:18" x14ac:dyDescent="0.35">
      <c r="A760" s="40">
        <f t="shared" si="11"/>
        <v>759</v>
      </c>
      <c r="B760" s="41"/>
      <c r="C760" s="42"/>
      <c r="D760" s="42"/>
      <c r="E760" s="43"/>
      <c r="F760" s="43"/>
      <c r="G760" s="43"/>
      <c r="H760" s="44"/>
      <c r="I760" s="44"/>
      <c r="J760" s="43"/>
      <c r="K760" s="43"/>
      <c r="L760" s="43"/>
      <c r="M760" s="43"/>
      <c r="N760" s="43"/>
      <c r="O760" s="43"/>
      <c r="P760" s="43"/>
      <c r="Q760" s="64"/>
      <c r="R760" s="53"/>
    </row>
    <row r="761" spans="1:18" x14ac:dyDescent="0.35">
      <c r="A761" s="40">
        <f t="shared" si="11"/>
        <v>760</v>
      </c>
      <c r="B761" s="41"/>
      <c r="C761" s="42"/>
      <c r="D761" s="42"/>
      <c r="E761" s="43"/>
      <c r="F761" s="43"/>
      <c r="G761" s="43"/>
      <c r="H761" s="44"/>
      <c r="I761" s="44"/>
      <c r="J761" s="43"/>
      <c r="K761" s="43"/>
      <c r="L761" s="43"/>
      <c r="M761" s="43"/>
      <c r="N761" s="43"/>
      <c r="O761" s="43"/>
      <c r="P761" s="43"/>
      <c r="Q761" s="64"/>
      <c r="R761" s="41"/>
    </row>
    <row r="762" spans="1:18" x14ac:dyDescent="0.35">
      <c r="A762" s="40">
        <f t="shared" si="11"/>
        <v>761</v>
      </c>
      <c r="B762" s="41"/>
      <c r="C762" s="42"/>
      <c r="D762" s="42"/>
      <c r="E762" s="43"/>
      <c r="F762" s="43"/>
      <c r="G762" s="43"/>
      <c r="H762" s="44"/>
      <c r="I762" s="44"/>
      <c r="J762" s="43"/>
      <c r="K762" s="43"/>
      <c r="L762" s="43"/>
      <c r="M762" s="43"/>
      <c r="N762" s="43"/>
      <c r="O762" s="43"/>
      <c r="P762" s="43"/>
      <c r="Q762" s="41"/>
      <c r="R762" s="41"/>
    </row>
    <row r="763" spans="1:18" x14ac:dyDescent="0.35">
      <c r="A763" s="40">
        <f t="shared" si="11"/>
        <v>762</v>
      </c>
      <c r="B763" s="41"/>
      <c r="C763" s="42"/>
      <c r="D763" s="42"/>
      <c r="E763" s="43"/>
      <c r="F763" s="43"/>
      <c r="G763" s="43"/>
      <c r="H763" s="44"/>
      <c r="I763" s="44"/>
      <c r="J763" s="43"/>
      <c r="K763" s="43"/>
      <c r="L763" s="43"/>
      <c r="M763" s="43"/>
      <c r="N763" s="43"/>
      <c r="O763" s="43"/>
      <c r="P763" s="43"/>
      <c r="Q763" s="41"/>
      <c r="R763" s="41"/>
    </row>
    <row r="764" spans="1:18" x14ac:dyDescent="0.35">
      <c r="A764" s="40">
        <f t="shared" si="11"/>
        <v>763</v>
      </c>
      <c r="B764" s="41"/>
      <c r="C764" s="42"/>
      <c r="D764" s="42"/>
      <c r="E764" s="43"/>
      <c r="F764" s="43"/>
      <c r="G764" s="43"/>
      <c r="H764" s="44"/>
      <c r="I764" s="44"/>
      <c r="J764" s="43"/>
      <c r="K764" s="43"/>
      <c r="L764" s="43"/>
      <c r="M764" s="43"/>
      <c r="N764" s="43"/>
      <c r="O764" s="43"/>
      <c r="P764" s="43"/>
      <c r="Q764" s="53"/>
      <c r="R764" s="41"/>
    </row>
    <row r="765" spans="1:18" x14ac:dyDescent="0.35">
      <c r="A765" s="40">
        <f t="shared" si="11"/>
        <v>764</v>
      </c>
      <c r="B765" s="41"/>
      <c r="C765" s="42"/>
      <c r="D765" s="42"/>
      <c r="E765" s="43"/>
      <c r="F765" s="43"/>
      <c r="G765" s="43"/>
      <c r="H765" s="44"/>
      <c r="I765" s="44"/>
      <c r="J765" s="52"/>
      <c r="K765" s="43"/>
      <c r="L765" s="43"/>
      <c r="M765" s="43"/>
      <c r="N765" s="43"/>
      <c r="O765" s="43"/>
      <c r="P765" s="43"/>
      <c r="Q765" s="41"/>
      <c r="R765" s="41"/>
    </row>
    <row r="766" spans="1:18" x14ac:dyDescent="0.35">
      <c r="A766" s="40">
        <f t="shared" si="11"/>
        <v>765</v>
      </c>
      <c r="B766" s="41"/>
      <c r="C766" s="42"/>
      <c r="D766" s="42"/>
      <c r="E766" s="43"/>
      <c r="F766" s="43"/>
      <c r="G766" s="43"/>
      <c r="H766" s="44"/>
      <c r="I766" s="44"/>
      <c r="J766" s="43"/>
      <c r="K766" s="43"/>
      <c r="L766" s="43"/>
      <c r="M766" s="43"/>
      <c r="N766" s="43"/>
      <c r="O766" s="43"/>
      <c r="P766" s="43"/>
      <c r="Q766" s="41"/>
      <c r="R766" s="41"/>
    </row>
    <row r="767" spans="1:18" x14ac:dyDescent="0.35">
      <c r="A767" s="40">
        <f t="shared" si="11"/>
        <v>766</v>
      </c>
      <c r="B767" s="41"/>
      <c r="C767" s="42"/>
      <c r="D767" s="42"/>
      <c r="E767" s="43"/>
      <c r="F767" s="43"/>
      <c r="G767" s="43"/>
      <c r="H767" s="44"/>
      <c r="I767" s="44"/>
      <c r="J767" s="43"/>
      <c r="K767" s="43"/>
      <c r="L767" s="43"/>
      <c r="M767" s="43"/>
      <c r="N767" s="43"/>
      <c r="O767" s="43"/>
      <c r="P767" s="43"/>
      <c r="Q767" s="41"/>
      <c r="R767" s="41"/>
    </row>
    <row r="768" spans="1:18" x14ac:dyDescent="0.35">
      <c r="A768" s="40">
        <f t="shared" si="11"/>
        <v>767</v>
      </c>
      <c r="B768" s="41"/>
      <c r="C768" s="42"/>
      <c r="D768" s="42"/>
      <c r="E768" s="43"/>
      <c r="F768" s="43"/>
      <c r="G768" s="43"/>
      <c r="H768" s="44"/>
      <c r="I768" s="44"/>
      <c r="J768" s="43"/>
      <c r="K768" s="43"/>
      <c r="L768" s="43"/>
      <c r="M768" s="43"/>
      <c r="N768" s="43"/>
      <c r="O768" s="43"/>
      <c r="P768" s="43"/>
      <c r="Q768" s="41"/>
      <c r="R768" s="41"/>
    </row>
    <row r="769" spans="1:18" x14ac:dyDescent="0.35">
      <c r="A769" s="40">
        <f t="shared" si="11"/>
        <v>768</v>
      </c>
      <c r="B769" s="41"/>
      <c r="C769" s="42"/>
      <c r="D769" s="42"/>
      <c r="E769" s="43"/>
      <c r="F769" s="43"/>
      <c r="G769" s="43"/>
      <c r="H769" s="44"/>
      <c r="I769" s="44"/>
      <c r="J769" s="43"/>
      <c r="K769" s="43"/>
      <c r="L769" s="43"/>
      <c r="M769" s="43"/>
      <c r="N769" s="43"/>
      <c r="O769" s="43"/>
      <c r="P769" s="43"/>
      <c r="Q769" s="41"/>
      <c r="R769" s="41"/>
    </row>
    <row r="770" spans="1:18" x14ac:dyDescent="0.35">
      <c r="A770" s="40">
        <f t="shared" ref="A770:A833" si="12">ROW()-1</f>
        <v>769</v>
      </c>
      <c r="B770" s="41"/>
      <c r="C770" s="42"/>
      <c r="D770" s="42"/>
      <c r="E770" s="43"/>
      <c r="F770" s="43"/>
      <c r="G770" s="43"/>
      <c r="H770" s="44"/>
      <c r="I770" s="44"/>
      <c r="J770" s="43"/>
      <c r="K770" s="43"/>
      <c r="L770" s="43"/>
      <c r="M770" s="43"/>
      <c r="N770" s="43"/>
      <c r="O770" s="43"/>
      <c r="P770" s="43"/>
      <c r="Q770" s="41"/>
      <c r="R770" s="41"/>
    </row>
    <row r="771" spans="1:18" x14ac:dyDescent="0.35">
      <c r="A771" s="40">
        <f t="shared" si="12"/>
        <v>770</v>
      </c>
      <c r="B771" s="41"/>
      <c r="C771" s="42"/>
      <c r="D771" s="42"/>
      <c r="E771" s="43"/>
      <c r="F771" s="43"/>
      <c r="G771" s="43"/>
      <c r="H771" s="44"/>
      <c r="I771" s="44"/>
      <c r="J771" s="43"/>
      <c r="K771" s="43"/>
      <c r="L771" s="43"/>
      <c r="M771" s="43"/>
      <c r="N771" s="43"/>
      <c r="O771" s="43"/>
      <c r="P771" s="43"/>
      <c r="Q771" s="41"/>
      <c r="R771" s="41"/>
    </row>
    <row r="772" spans="1:18" x14ac:dyDescent="0.35">
      <c r="A772" s="40">
        <f t="shared" si="12"/>
        <v>771</v>
      </c>
      <c r="B772" s="41"/>
      <c r="C772" s="42"/>
      <c r="D772" s="42"/>
      <c r="E772" s="43"/>
      <c r="F772" s="43"/>
      <c r="G772" s="43"/>
      <c r="H772" s="44"/>
      <c r="I772" s="44"/>
      <c r="J772" s="43"/>
      <c r="K772" s="43"/>
      <c r="L772" s="43"/>
      <c r="M772" s="43"/>
      <c r="N772" s="43"/>
      <c r="O772" s="43"/>
      <c r="P772" s="43"/>
      <c r="Q772" s="41"/>
      <c r="R772" s="41"/>
    </row>
    <row r="773" spans="1:18" x14ac:dyDescent="0.35">
      <c r="A773" s="40">
        <f t="shared" si="12"/>
        <v>772</v>
      </c>
      <c r="B773" s="41"/>
      <c r="C773" s="42"/>
      <c r="D773" s="42"/>
      <c r="E773" s="43"/>
      <c r="F773" s="43"/>
      <c r="G773" s="43"/>
      <c r="H773" s="44"/>
      <c r="I773" s="44"/>
      <c r="J773" s="43"/>
      <c r="K773" s="43"/>
      <c r="L773" s="43"/>
      <c r="M773" s="43"/>
      <c r="N773" s="43"/>
      <c r="O773" s="43"/>
      <c r="P773" s="43"/>
      <c r="Q773" s="41"/>
      <c r="R773" s="41"/>
    </row>
    <row r="774" spans="1:18" x14ac:dyDescent="0.35">
      <c r="A774" s="40">
        <f t="shared" si="12"/>
        <v>773</v>
      </c>
      <c r="B774" s="41"/>
      <c r="C774" s="42"/>
      <c r="D774" s="42"/>
      <c r="E774" s="43"/>
      <c r="F774" s="43"/>
      <c r="G774" s="43"/>
      <c r="H774" s="44"/>
      <c r="I774" s="44"/>
      <c r="J774" s="43"/>
      <c r="K774" s="43"/>
      <c r="L774" s="43"/>
      <c r="M774" s="43"/>
      <c r="N774" s="43"/>
      <c r="O774" s="43"/>
      <c r="P774" s="43"/>
      <c r="Q774" s="41"/>
      <c r="R774" s="41"/>
    </row>
    <row r="775" spans="1:18" x14ac:dyDescent="0.35">
      <c r="A775" s="40">
        <f t="shared" si="12"/>
        <v>774</v>
      </c>
      <c r="B775" s="41"/>
      <c r="C775" s="42"/>
      <c r="D775" s="42"/>
      <c r="E775" s="43"/>
      <c r="F775" s="43"/>
      <c r="G775" s="43"/>
      <c r="H775" s="44"/>
      <c r="I775" s="44"/>
      <c r="J775" s="43"/>
      <c r="K775" s="43"/>
      <c r="L775" s="43"/>
      <c r="M775" s="43"/>
      <c r="N775" s="43"/>
      <c r="O775" s="43"/>
      <c r="P775" s="43"/>
      <c r="Q775" s="41"/>
      <c r="R775" s="41"/>
    </row>
    <row r="776" spans="1:18" x14ac:dyDescent="0.35">
      <c r="A776" s="40">
        <f t="shared" si="12"/>
        <v>775</v>
      </c>
      <c r="B776" s="41"/>
      <c r="C776" s="42"/>
      <c r="D776" s="42"/>
      <c r="E776" s="43"/>
      <c r="F776" s="43"/>
      <c r="G776" s="43"/>
      <c r="H776" s="44"/>
      <c r="I776" s="44"/>
      <c r="J776" s="43"/>
      <c r="K776" s="43"/>
      <c r="L776" s="43"/>
      <c r="M776" s="43"/>
      <c r="N776" s="43"/>
      <c r="O776" s="43"/>
      <c r="P776" s="43"/>
      <c r="Q776" s="41"/>
      <c r="R776" s="41"/>
    </row>
    <row r="777" spans="1:18" x14ac:dyDescent="0.35">
      <c r="A777" s="40">
        <f t="shared" si="12"/>
        <v>776</v>
      </c>
      <c r="B777" s="41"/>
      <c r="C777" s="42"/>
      <c r="D777" s="42"/>
      <c r="E777" s="43"/>
      <c r="F777" s="43"/>
      <c r="G777" s="43"/>
      <c r="H777" s="44"/>
      <c r="I777" s="44"/>
      <c r="J777" s="43"/>
      <c r="K777" s="43"/>
      <c r="L777" s="43"/>
      <c r="M777" s="43"/>
      <c r="N777" s="43"/>
      <c r="O777" s="43"/>
      <c r="P777" s="43"/>
      <c r="Q777" s="41"/>
      <c r="R777" s="41"/>
    </row>
    <row r="778" spans="1:18" x14ac:dyDescent="0.35">
      <c r="A778" s="40">
        <f t="shared" si="12"/>
        <v>777</v>
      </c>
      <c r="B778" s="41"/>
      <c r="C778" s="42"/>
      <c r="D778" s="42"/>
      <c r="E778" s="43"/>
      <c r="F778" s="43"/>
      <c r="G778" s="43"/>
      <c r="H778" s="44"/>
      <c r="I778" s="44"/>
      <c r="J778" s="43"/>
      <c r="K778" s="43"/>
      <c r="L778" s="43"/>
      <c r="M778" s="43"/>
      <c r="N778" s="43"/>
      <c r="O778" s="43"/>
      <c r="P778" s="43"/>
      <c r="Q778" s="53"/>
      <c r="R778" s="41"/>
    </row>
    <row r="779" spans="1:18" x14ac:dyDescent="0.35">
      <c r="A779" s="40">
        <f t="shared" si="12"/>
        <v>778</v>
      </c>
      <c r="B779" s="41"/>
      <c r="C779" s="42"/>
      <c r="D779" s="42"/>
      <c r="E779" s="43"/>
      <c r="F779" s="43"/>
      <c r="G779" s="43"/>
      <c r="H779" s="44"/>
      <c r="I779" s="44"/>
      <c r="J779" s="43"/>
      <c r="K779" s="43"/>
      <c r="L779" s="43"/>
      <c r="M779" s="43"/>
      <c r="N779" s="43"/>
      <c r="O779" s="43"/>
      <c r="P779" s="43"/>
      <c r="Q779" s="41"/>
      <c r="R779" s="41"/>
    </row>
    <row r="780" spans="1:18" x14ac:dyDescent="0.35">
      <c r="A780" s="40">
        <f t="shared" si="12"/>
        <v>779</v>
      </c>
      <c r="B780" s="41"/>
      <c r="C780" s="42"/>
      <c r="D780" s="42"/>
      <c r="E780" s="43"/>
      <c r="F780" s="43"/>
      <c r="G780" s="43"/>
      <c r="H780" s="44"/>
      <c r="I780" s="44"/>
      <c r="J780" s="43"/>
      <c r="K780" s="43"/>
      <c r="L780" s="43"/>
      <c r="M780" s="43"/>
      <c r="N780" s="43"/>
      <c r="O780" s="43"/>
      <c r="P780" s="43"/>
      <c r="Q780" s="41"/>
      <c r="R780" s="41"/>
    </row>
    <row r="781" spans="1:18" x14ac:dyDescent="0.35">
      <c r="A781" s="40">
        <f t="shared" si="12"/>
        <v>780</v>
      </c>
      <c r="B781" s="41"/>
      <c r="C781" s="42"/>
      <c r="D781" s="42"/>
      <c r="E781" s="43"/>
      <c r="F781" s="43"/>
      <c r="G781" s="43"/>
      <c r="H781" s="44"/>
      <c r="I781" s="44"/>
      <c r="J781" s="43"/>
      <c r="K781" s="43"/>
      <c r="L781" s="43"/>
      <c r="M781" s="43"/>
      <c r="N781" s="43"/>
      <c r="O781" s="43"/>
      <c r="P781" s="43"/>
      <c r="Q781" s="41"/>
      <c r="R781" s="41"/>
    </row>
    <row r="782" spans="1:18" x14ac:dyDescent="0.35">
      <c r="A782" s="40">
        <f t="shared" si="12"/>
        <v>781</v>
      </c>
      <c r="B782" s="41"/>
      <c r="C782" s="42"/>
      <c r="D782" s="42"/>
      <c r="E782" s="43"/>
      <c r="F782" s="43"/>
      <c r="G782" s="43"/>
      <c r="H782" s="44"/>
      <c r="I782" s="44"/>
      <c r="J782" s="43"/>
      <c r="K782" s="43"/>
      <c r="L782" s="43"/>
      <c r="M782" s="43"/>
      <c r="N782" s="43"/>
      <c r="O782" s="43"/>
      <c r="P782" s="43"/>
      <c r="Q782" s="41"/>
      <c r="R782" s="41"/>
    </row>
    <row r="783" spans="1:18" x14ac:dyDescent="0.35">
      <c r="A783" s="40">
        <f t="shared" si="12"/>
        <v>782</v>
      </c>
      <c r="B783" s="41"/>
      <c r="C783" s="42"/>
      <c r="D783" s="42"/>
      <c r="E783" s="43"/>
      <c r="F783" s="43"/>
      <c r="G783" s="43"/>
      <c r="H783" s="44"/>
      <c r="I783" s="44"/>
      <c r="J783" s="43"/>
      <c r="K783" s="43"/>
      <c r="L783" s="43"/>
      <c r="M783" s="43"/>
      <c r="N783" s="43"/>
      <c r="O783" s="43"/>
      <c r="P783" s="43"/>
      <c r="Q783" s="41"/>
      <c r="R783" s="41"/>
    </row>
    <row r="784" spans="1:18" x14ac:dyDescent="0.35">
      <c r="A784" s="40">
        <f t="shared" si="12"/>
        <v>783</v>
      </c>
      <c r="B784" s="41"/>
      <c r="C784" s="42"/>
      <c r="D784" s="42"/>
      <c r="E784" s="43"/>
      <c r="F784" s="43"/>
      <c r="G784" s="43"/>
      <c r="H784" s="44"/>
      <c r="I784" s="44"/>
      <c r="J784" s="43"/>
      <c r="K784" s="43"/>
      <c r="L784" s="43"/>
      <c r="M784" s="43"/>
      <c r="N784" s="43"/>
      <c r="O784" s="43"/>
      <c r="P784" s="43"/>
      <c r="Q784" s="41"/>
      <c r="R784" s="41"/>
    </row>
    <row r="785" spans="1:18" x14ac:dyDescent="0.35">
      <c r="A785" s="40">
        <f t="shared" si="12"/>
        <v>784</v>
      </c>
      <c r="B785" s="41"/>
      <c r="C785" s="42"/>
      <c r="D785" s="42"/>
      <c r="E785" s="43"/>
      <c r="F785" s="43"/>
      <c r="G785" s="43"/>
      <c r="H785" s="44"/>
      <c r="I785" s="44"/>
      <c r="J785" s="43"/>
      <c r="K785" s="43"/>
      <c r="L785" s="43"/>
      <c r="M785" s="43"/>
      <c r="N785" s="43"/>
      <c r="O785" s="43"/>
      <c r="P785" s="43"/>
      <c r="Q785" s="41"/>
      <c r="R785" s="41"/>
    </row>
    <row r="786" spans="1:18" x14ac:dyDescent="0.35">
      <c r="A786" s="40">
        <f t="shared" si="12"/>
        <v>785</v>
      </c>
      <c r="B786" s="41"/>
      <c r="C786" s="42"/>
      <c r="D786" s="42"/>
      <c r="E786" s="43"/>
      <c r="F786" s="43"/>
      <c r="G786" s="43"/>
      <c r="H786" s="44"/>
      <c r="I786" s="44"/>
      <c r="J786" s="43"/>
      <c r="K786" s="43"/>
      <c r="L786" s="43"/>
      <c r="M786" s="43"/>
      <c r="N786" s="43"/>
      <c r="O786" s="43"/>
      <c r="P786" s="43"/>
      <c r="Q786" s="41"/>
      <c r="R786" s="41"/>
    </row>
    <row r="787" spans="1:18" x14ac:dyDescent="0.35">
      <c r="A787" s="40">
        <f t="shared" si="12"/>
        <v>786</v>
      </c>
      <c r="B787" s="41"/>
      <c r="C787" s="42"/>
      <c r="D787" s="42"/>
      <c r="E787" s="43"/>
      <c r="F787" s="43"/>
      <c r="G787" s="43"/>
      <c r="H787" s="44"/>
      <c r="I787" s="44"/>
      <c r="J787" s="43"/>
      <c r="K787" s="43"/>
      <c r="L787" s="43"/>
      <c r="M787" s="43"/>
      <c r="N787" s="43"/>
      <c r="O787" s="43"/>
      <c r="P787" s="43"/>
      <c r="Q787" s="41"/>
      <c r="R787" s="41"/>
    </row>
    <row r="788" spans="1:18" x14ac:dyDescent="0.35">
      <c r="A788" s="40">
        <f t="shared" si="12"/>
        <v>787</v>
      </c>
      <c r="B788" s="41"/>
      <c r="C788" s="42"/>
      <c r="D788" s="42"/>
      <c r="E788" s="43"/>
      <c r="F788" s="43"/>
      <c r="G788" s="43"/>
      <c r="H788" s="44"/>
      <c r="I788" s="44"/>
      <c r="J788" s="43"/>
      <c r="K788" s="43"/>
      <c r="L788" s="43"/>
      <c r="M788" s="43"/>
      <c r="N788" s="43"/>
      <c r="O788" s="43"/>
      <c r="P788" s="43"/>
      <c r="Q788" s="41"/>
      <c r="R788" s="41"/>
    </row>
    <row r="789" spans="1:18" x14ac:dyDescent="0.35">
      <c r="A789" s="40">
        <f t="shared" si="12"/>
        <v>788</v>
      </c>
      <c r="B789" s="41"/>
      <c r="C789" s="42"/>
      <c r="D789" s="42"/>
      <c r="E789" s="43"/>
      <c r="F789" s="43"/>
      <c r="G789" s="43"/>
      <c r="H789" s="44"/>
      <c r="I789" s="44"/>
      <c r="J789" s="43"/>
      <c r="K789" s="43"/>
      <c r="L789" s="43"/>
      <c r="M789" s="43"/>
      <c r="N789" s="43"/>
      <c r="O789" s="43"/>
      <c r="P789" s="43"/>
      <c r="Q789" s="41"/>
      <c r="R789" s="41"/>
    </row>
    <row r="790" spans="1:18" x14ac:dyDescent="0.35">
      <c r="A790" s="40">
        <f t="shared" si="12"/>
        <v>789</v>
      </c>
      <c r="B790" s="41"/>
      <c r="C790" s="42"/>
      <c r="D790" s="42"/>
      <c r="E790" s="43"/>
      <c r="F790" s="43"/>
      <c r="G790" s="43"/>
      <c r="H790" s="44"/>
      <c r="I790" s="44"/>
      <c r="J790" s="43"/>
      <c r="K790" s="43"/>
      <c r="L790" s="43"/>
      <c r="M790" s="43"/>
      <c r="N790" s="43"/>
      <c r="O790" s="43"/>
      <c r="P790" s="43"/>
      <c r="Q790" s="41"/>
      <c r="R790" s="41"/>
    </row>
    <row r="791" spans="1:18" x14ac:dyDescent="0.35">
      <c r="A791" s="40">
        <f t="shared" si="12"/>
        <v>790</v>
      </c>
      <c r="B791" s="41"/>
      <c r="C791" s="42"/>
      <c r="D791" s="42"/>
      <c r="E791" s="43"/>
      <c r="F791" s="43"/>
      <c r="G791" s="43"/>
      <c r="H791" s="44"/>
      <c r="I791" s="44"/>
      <c r="J791" s="43"/>
      <c r="K791" s="43"/>
      <c r="L791" s="41"/>
      <c r="M791" s="41"/>
      <c r="N791" s="41"/>
      <c r="O791" s="41"/>
      <c r="P791" s="41"/>
      <c r="Q791" s="53"/>
      <c r="R791" s="41"/>
    </row>
    <row r="792" spans="1:18" x14ac:dyDescent="0.35">
      <c r="A792" s="40">
        <f t="shared" si="12"/>
        <v>791</v>
      </c>
      <c r="B792" s="41"/>
      <c r="C792" s="42"/>
      <c r="D792" s="42"/>
      <c r="E792" s="43"/>
      <c r="F792" s="43"/>
      <c r="G792" s="43"/>
      <c r="H792" s="44"/>
      <c r="I792" s="44"/>
      <c r="J792" s="43"/>
      <c r="K792" s="43"/>
      <c r="L792" s="43"/>
      <c r="M792" s="43"/>
      <c r="N792" s="43"/>
      <c r="O792" s="43"/>
      <c r="P792" s="43"/>
      <c r="Q792" s="41"/>
      <c r="R792" s="41"/>
    </row>
    <row r="793" spans="1:18" x14ac:dyDescent="0.35">
      <c r="A793" s="40">
        <f t="shared" si="12"/>
        <v>792</v>
      </c>
      <c r="B793" s="41"/>
      <c r="C793" s="42"/>
      <c r="D793" s="42"/>
      <c r="E793" s="43"/>
      <c r="F793" s="43"/>
      <c r="G793" s="43"/>
      <c r="H793" s="44"/>
      <c r="I793" s="44"/>
      <c r="J793" s="43"/>
      <c r="K793" s="43"/>
      <c r="L793" s="43"/>
      <c r="M793" s="43"/>
      <c r="N793" s="43"/>
      <c r="O793" s="43"/>
      <c r="P793" s="43"/>
      <c r="Q793" s="41"/>
      <c r="R793" s="41"/>
    </row>
    <row r="794" spans="1:18" x14ac:dyDescent="0.35">
      <c r="A794" s="40">
        <f t="shared" si="12"/>
        <v>793</v>
      </c>
      <c r="B794" s="41"/>
      <c r="C794" s="42"/>
      <c r="D794" s="42"/>
      <c r="E794" s="43"/>
      <c r="F794" s="43"/>
      <c r="G794" s="43"/>
      <c r="H794" s="44"/>
      <c r="I794" s="44"/>
      <c r="J794" s="43"/>
      <c r="K794" s="43"/>
      <c r="L794" s="43"/>
      <c r="M794" s="43"/>
      <c r="N794" s="43"/>
      <c r="O794" s="43"/>
      <c r="P794" s="43"/>
      <c r="Q794" s="41"/>
      <c r="R794" s="41"/>
    </row>
    <row r="795" spans="1:18" x14ac:dyDescent="0.35">
      <c r="A795" s="40">
        <f t="shared" si="12"/>
        <v>794</v>
      </c>
      <c r="B795" s="41"/>
      <c r="C795" s="42"/>
      <c r="D795" s="42"/>
      <c r="E795" s="43"/>
      <c r="F795" s="43"/>
      <c r="G795" s="43"/>
      <c r="H795" s="44"/>
      <c r="I795" s="44"/>
      <c r="J795" s="43"/>
      <c r="K795" s="43"/>
      <c r="L795" s="43"/>
      <c r="M795" s="43"/>
      <c r="N795" s="43"/>
      <c r="O795" s="43"/>
      <c r="P795" s="43"/>
      <c r="Q795" s="53"/>
      <c r="R795" s="41"/>
    </row>
    <row r="796" spans="1:18" x14ac:dyDescent="0.35">
      <c r="A796" s="40">
        <f t="shared" si="12"/>
        <v>795</v>
      </c>
      <c r="B796" s="41"/>
      <c r="C796" s="42"/>
      <c r="D796" s="42"/>
      <c r="E796" s="43"/>
      <c r="F796" s="43"/>
      <c r="G796" s="43"/>
      <c r="H796" s="44"/>
      <c r="I796" s="44"/>
      <c r="J796" s="43"/>
      <c r="K796" s="43"/>
      <c r="L796" s="43"/>
      <c r="M796" s="43"/>
      <c r="N796" s="43"/>
      <c r="O796" s="43"/>
      <c r="P796" s="43"/>
      <c r="Q796" s="41"/>
      <c r="R796" s="41"/>
    </row>
    <row r="797" spans="1:18" x14ac:dyDescent="0.35">
      <c r="A797" s="40">
        <f t="shared" si="12"/>
        <v>796</v>
      </c>
      <c r="B797" s="41"/>
      <c r="C797" s="42"/>
      <c r="D797" s="42"/>
      <c r="E797" s="43"/>
      <c r="F797" s="43"/>
      <c r="G797" s="43"/>
      <c r="H797" s="44"/>
      <c r="I797" s="44"/>
      <c r="J797" s="43"/>
      <c r="K797" s="43"/>
      <c r="L797" s="43"/>
      <c r="M797" s="43"/>
      <c r="N797" s="43"/>
      <c r="O797" s="43"/>
      <c r="P797" s="43"/>
      <c r="Q797" s="41"/>
      <c r="R797" s="41"/>
    </row>
    <row r="798" spans="1:18" x14ac:dyDescent="0.35">
      <c r="A798" s="40">
        <f t="shared" si="12"/>
        <v>797</v>
      </c>
      <c r="B798" s="41"/>
      <c r="C798" s="42"/>
      <c r="D798" s="42"/>
      <c r="E798" s="43"/>
      <c r="F798" s="43"/>
      <c r="G798" s="43"/>
      <c r="H798" s="44"/>
      <c r="I798" s="44"/>
      <c r="J798" s="43"/>
      <c r="K798" s="43"/>
      <c r="L798" s="43"/>
      <c r="M798" s="43"/>
      <c r="N798" s="43"/>
      <c r="O798" s="43"/>
      <c r="P798" s="43"/>
      <c r="Q798" s="41"/>
      <c r="R798" s="41"/>
    </row>
    <row r="799" spans="1:18" x14ac:dyDescent="0.35">
      <c r="A799" s="40">
        <f t="shared" si="12"/>
        <v>798</v>
      </c>
      <c r="B799" s="41"/>
      <c r="C799" s="42"/>
      <c r="D799" s="42"/>
      <c r="E799" s="43"/>
      <c r="F799" s="43"/>
      <c r="G799" s="43"/>
      <c r="H799" s="44"/>
      <c r="I799" s="44"/>
      <c r="J799" s="43"/>
      <c r="K799" s="43"/>
      <c r="L799" s="43"/>
      <c r="M799" s="43"/>
      <c r="N799" s="43"/>
      <c r="O799" s="43"/>
      <c r="P799" s="43"/>
      <c r="Q799" s="64"/>
      <c r="R799" s="41"/>
    </row>
    <row r="800" spans="1:18" x14ac:dyDescent="0.35">
      <c r="A800" s="40">
        <f t="shared" si="12"/>
        <v>799</v>
      </c>
      <c r="B800" s="41"/>
      <c r="C800" s="42"/>
      <c r="D800" s="42"/>
      <c r="E800" s="43"/>
      <c r="F800" s="43"/>
      <c r="G800" s="43"/>
      <c r="H800" s="44"/>
      <c r="I800" s="44"/>
      <c r="J800" s="43"/>
      <c r="K800" s="43"/>
      <c r="L800" s="43"/>
      <c r="M800" s="43"/>
      <c r="N800" s="43"/>
      <c r="O800" s="43"/>
      <c r="P800" s="43"/>
      <c r="Q800" s="41"/>
      <c r="R800" s="41"/>
    </row>
    <row r="801" spans="1:18" x14ac:dyDescent="0.35">
      <c r="A801" s="40">
        <f t="shared" si="12"/>
        <v>800</v>
      </c>
      <c r="B801" s="41"/>
      <c r="C801" s="42"/>
      <c r="D801" s="42"/>
      <c r="E801" s="43"/>
      <c r="F801" s="43"/>
      <c r="G801" s="43"/>
      <c r="H801" s="44"/>
      <c r="I801" s="44"/>
      <c r="J801" s="43"/>
      <c r="K801" s="43"/>
      <c r="L801" s="43"/>
      <c r="M801" s="43"/>
      <c r="N801" s="43"/>
      <c r="O801" s="43"/>
      <c r="P801" s="43"/>
      <c r="Q801" s="41"/>
      <c r="R801" s="41"/>
    </row>
    <row r="802" spans="1:18" x14ac:dyDescent="0.35">
      <c r="A802" s="40">
        <f t="shared" si="12"/>
        <v>801</v>
      </c>
      <c r="B802" s="41"/>
      <c r="C802" s="42"/>
      <c r="D802" s="42"/>
      <c r="E802" s="43"/>
      <c r="F802" s="43"/>
      <c r="G802" s="43"/>
      <c r="H802" s="44"/>
      <c r="I802" s="44"/>
      <c r="J802" s="43"/>
      <c r="K802" s="43"/>
      <c r="L802" s="43"/>
      <c r="M802" s="43"/>
      <c r="N802" s="43"/>
      <c r="O802" s="43"/>
      <c r="P802" s="43"/>
      <c r="Q802" s="41"/>
      <c r="R802" s="41"/>
    </row>
    <row r="803" spans="1:18" x14ac:dyDescent="0.35">
      <c r="A803" s="40">
        <f t="shared" si="12"/>
        <v>802</v>
      </c>
      <c r="B803" s="41"/>
      <c r="C803" s="42"/>
      <c r="D803" s="42"/>
      <c r="E803" s="43"/>
      <c r="F803" s="43"/>
      <c r="G803" s="43"/>
      <c r="H803" s="44"/>
      <c r="I803" s="44"/>
      <c r="J803" s="43"/>
      <c r="K803" s="43"/>
      <c r="L803" s="43"/>
      <c r="M803" s="43"/>
      <c r="N803" s="43"/>
      <c r="O803" s="43"/>
      <c r="P803" s="43"/>
      <c r="Q803" s="41"/>
      <c r="R803" s="41"/>
    </row>
    <row r="804" spans="1:18" x14ac:dyDescent="0.35">
      <c r="A804" s="40">
        <f t="shared" si="12"/>
        <v>803</v>
      </c>
      <c r="B804" s="41"/>
      <c r="C804" s="42"/>
      <c r="D804" s="42"/>
      <c r="E804" s="43"/>
      <c r="F804" s="43"/>
      <c r="G804" s="43"/>
      <c r="H804" s="44"/>
      <c r="I804" s="44"/>
      <c r="J804" s="43"/>
      <c r="K804" s="43"/>
      <c r="L804" s="43"/>
      <c r="M804" s="43"/>
      <c r="N804" s="43"/>
      <c r="O804" s="43"/>
      <c r="P804" s="43"/>
      <c r="Q804" s="41"/>
      <c r="R804" s="41"/>
    </row>
    <row r="805" spans="1:18" x14ac:dyDescent="0.35">
      <c r="A805" s="40">
        <f t="shared" si="12"/>
        <v>804</v>
      </c>
      <c r="B805" s="41"/>
      <c r="C805" s="42"/>
      <c r="D805" s="42"/>
      <c r="E805" s="43"/>
      <c r="F805" s="43"/>
      <c r="G805" s="43"/>
      <c r="H805" s="44"/>
      <c r="I805" s="44"/>
      <c r="J805" s="43"/>
      <c r="K805" s="43"/>
      <c r="L805" s="43"/>
      <c r="M805" s="43"/>
      <c r="N805" s="43"/>
      <c r="O805" s="43"/>
      <c r="P805" s="43"/>
      <c r="Q805" s="41"/>
      <c r="R805" s="41"/>
    </row>
    <row r="806" spans="1:18" x14ac:dyDescent="0.35">
      <c r="A806" s="40">
        <f t="shared" si="12"/>
        <v>805</v>
      </c>
      <c r="B806" s="41"/>
      <c r="C806" s="42"/>
      <c r="D806" s="42"/>
      <c r="E806" s="43"/>
      <c r="F806" s="43"/>
      <c r="G806" s="43"/>
      <c r="H806" s="44"/>
      <c r="I806" s="44"/>
      <c r="J806" s="43"/>
      <c r="K806" s="43"/>
      <c r="L806" s="43"/>
      <c r="M806" s="43"/>
      <c r="N806" s="43"/>
      <c r="O806" s="43"/>
      <c r="P806" s="43"/>
      <c r="Q806" s="41"/>
      <c r="R806" s="41"/>
    </row>
    <row r="807" spans="1:18" x14ac:dyDescent="0.35">
      <c r="A807" s="40">
        <f t="shared" si="12"/>
        <v>806</v>
      </c>
      <c r="B807" s="41"/>
      <c r="C807" s="42"/>
      <c r="D807" s="42"/>
      <c r="E807" s="43"/>
      <c r="F807" s="43"/>
      <c r="G807" s="43"/>
      <c r="H807" s="44"/>
      <c r="I807" s="44"/>
      <c r="J807" s="43"/>
      <c r="K807" s="43"/>
      <c r="L807" s="43"/>
      <c r="M807" s="43"/>
      <c r="N807" s="43"/>
      <c r="O807" s="43"/>
      <c r="P807" s="43"/>
      <c r="Q807" s="41"/>
      <c r="R807" s="41"/>
    </row>
    <row r="808" spans="1:18" x14ac:dyDescent="0.35">
      <c r="A808" s="40">
        <f t="shared" si="12"/>
        <v>807</v>
      </c>
      <c r="B808" s="41"/>
      <c r="C808" s="42"/>
      <c r="D808" s="42"/>
      <c r="E808" s="43"/>
      <c r="F808" s="43"/>
      <c r="G808" s="43"/>
      <c r="H808" s="44"/>
      <c r="I808" s="44"/>
      <c r="J808" s="43"/>
      <c r="K808" s="43"/>
      <c r="L808" s="43"/>
      <c r="M808" s="43"/>
      <c r="N808" s="43"/>
      <c r="O808" s="43"/>
      <c r="P808" s="43"/>
      <c r="Q808" s="41"/>
      <c r="R808" s="41"/>
    </row>
    <row r="809" spans="1:18" x14ac:dyDescent="0.35">
      <c r="A809" s="40">
        <f t="shared" si="12"/>
        <v>808</v>
      </c>
      <c r="B809" s="41"/>
      <c r="C809" s="42"/>
      <c r="D809" s="42"/>
      <c r="E809" s="43"/>
      <c r="F809" s="43"/>
      <c r="G809" s="43"/>
      <c r="H809" s="44"/>
      <c r="I809" s="44"/>
      <c r="J809" s="43"/>
      <c r="K809" s="43"/>
      <c r="L809" s="43"/>
      <c r="M809" s="43"/>
      <c r="N809" s="43"/>
      <c r="O809" s="43"/>
      <c r="P809" s="43"/>
      <c r="Q809" s="41"/>
      <c r="R809" s="41"/>
    </row>
    <row r="810" spans="1:18" x14ac:dyDescent="0.35">
      <c r="A810" s="40">
        <f t="shared" si="12"/>
        <v>809</v>
      </c>
      <c r="B810" s="41"/>
      <c r="C810" s="42"/>
      <c r="D810" s="42"/>
      <c r="E810" s="43"/>
      <c r="F810" s="43"/>
      <c r="G810" s="43"/>
      <c r="H810" s="44"/>
      <c r="I810" s="44"/>
      <c r="J810" s="43"/>
      <c r="K810" s="43"/>
      <c r="L810" s="43"/>
      <c r="M810" s="43"/>
      <c r="N810" s="43"/>
      <c r="O810" s="43"/>
      <c r="P810" s="43"/>
      <c r="Q810" s="41"/>
      <c r="R810" s="41"/>
    </row>
    <row r="811" spans="1:18" x14ac:dyDescent="0.35">
      <c r="A811" s="40">
        <f t="shared" si="12"/>
        <v>810</v>
      </c>
      <c r="B811" s="41"/>
      <c r="C811" s="42"/>
      <c r="D811" s="42"/>
      <c r="E811" s="43"/>
      <c r="F811" s="43"/>
      <c r="G811" s="43"/>
      <c r="H811" s="44"/>
      <c r="I811" s="44"/>
      <c r="J811" s="43"/>
      <c r="K811" s="43"/>
      <c r="L811" s="43"/>
      <c r="M811" s="43"/>
      <c r="N811" s="43"/>
      <c r="O811" s="43"/>
      <c r="P811" s="43"/>
      <c r="Q811" s="41"/>
      <c r="R811" s="41"/>
    </row>
    <row r="812" spans="1:18" x14ac:dyDescent="0.35">
      <c r="A812" s="40">
        <f t="shared" si="12"/>
        <v>811</v>
      </c>
      <c r="B812" s="41"/>
      <c r="C812" s="42"/>
      <c r="D812" s="42"/>
      <c r="E812" s="43"/>
      <c r="F812" s="43"/>
      <c r="G812" s="43"/>
      <c r="H812" s="44"/>
      <c r="I812" s="44"/>
      <c r="J812" s="43"/>
      <c r="K812" s="43"/>
      <c r="L812" s="43"/>
      <c r="M812" s="43"/>
      <c r="N812" s="43"/>
      <c r="O812" s="43"/>
      <c r="P812" s="43"/>
      <c r="Q812" s="41"/>
      <c r="R812" s="41"/>
    </row>
    <row r="813" spans="1:18" x14ac:dyDescent="0.35">
      <c r="A813" s="40">
        <f t="shared" si="12"/>
        <v>812</v>
      </c>
      <c r="B813" s="41"/>
      <c r="C813" s="42"/>
      <c r="D813" s="42"/>
      <c r="E813" s="43"/>
      <c r="F813" s="43"/>
      <c r="G813" s="43"/>
      <c r="H813" s="44"/>
      <c r="I813" s="44"/>
      <c r="J813" s="43"/>
      <c r="K813" s="43"/>
      <c r="L813" s="43"/>
      <c r="M813" s="43"/>
      <c r="N813" s="43"/>
      <c r="O813" s="43"/>
      <c r="P813" s="43"/>
      <c r="Q813" s="41"/>
      <c r="R813" s="41"/>
    </row>
    <row r="814" spans="1:18" x14ac:dyDescent="0.35">
      <c r="A814" s="40">
        <f t="shared" si="12"/>
        <v>813</v>
      </c>
      <c r="B814" s="41"/>
      <c r="C814" s="42"/>
      <c r="D814" s="42"/>
      <c r="E814" s="43"/>
      <c r="F814" s="43"/>
      <c r="G814" s="43"/>
      <c r="H814" s="44"/>
      <c r="I814" s="44"/>
      <c r="J814" s="43"/>
      <c r="K814" s="43"/>
      <c r="L814" s="43"/>
      <c r="M814" s="43"/>
      <c r="N814" s="43"/>
      <c r="O814" s="43"/>
      <c r="P814" s="43"/>
      <c r="Q814" s="41"/>
      <c r="R814" s="41"/>
    </row>
    <row r="815" spans="1:18" x14ac:dyDescent="0.35">
      <c r="A815" s="40">
        <f t="shared" si="12"/>
        <v>814</v>
      </c>
      <c r="B815" s="41"/>
      <c r="C815" s="42"/>
      <c r="D815" s="42"/>
      <c r="E815" s="43"/>
      <c r="F815" s="43"/>
      <c r="G815" s="43"/>
      <c r="H815" s="44"/>
      <c r="I815" s="44"/>
      <c r="J815" s="43"/>
      <c r="K815" s="43"/>
      <c r="L815" s="43"/>
      <c r="M815" s="43"/>
      <c r="N815" s="43"/>
      <c r="O815" s="43"/>
      <c r="P815" s="43"/>
      <c r="Q815" s="41"/>
      <c r="R815" s="41"/>
    </row>
    <row r="816" spans="1:18" x14ac:dyDescent="0.35">
      <c r="A816" s="40">
        <f t="shared" si="12"/>
        <v>815</v>
      </c>
      <c r="B816" s="41"/>
      <c r="C816" s="42"/>
      <c r="D816" s="42"/>
      <c r="E816" s="43"/>
      <c r="F816" s="43"/>
      <c r="G816" s="43"/>
      <c r="H816" s="44"/>
      <c r="I816" s="44"/>
      <c r="J816" s="43"/>
      <c r="K816" s="43"/>
      <c r="L816" s="43"/>
      <c r="M816" s="43"/>
      <c r="N816" s="43"/>
      <c r="O816" s="43"/>
      <c r="P816" s="43"/>
      <c r="Q816" s="41"/>
      <c r="R816" s="41"/>
    </row>
    <row r="817" spans="1:18" x14ac:dyDescent="0.35">
      <c r="A817" s="40">
        <f t="shared" si="12"/>
        <v>816</v>
      </c>
      <c r="B817" s="41"/>
      <c r="C817" s="42"/>
      <c r="D817" s="42"/>
      <c r="E817" s="43"/>
      <c r="F817" s="43"/>
      <c r="G817" s="43"/>
      <c r="H817" s="44"/>
      <c r="I817" s="44"/>
      <c r="J817" s="43"/>
      <c r="K817" s="43"/>
      <c r="L817" s="43"/>
      <c r="M817" s="43"/>
      <c r="N817" s="43"/>
      <c r="O817" s="43"/>
      <c r="P817" s="43"/>
      <c r="Q817" s="41"/>
      <c r="R817" s="41"/>
    </row>
    <row r="818" spans="1:18" x14ac:dyDescent="0.35">
      <c r="A818" s="40">
        <f t="shared" si="12"/>
        <v>817</v>
      </c>
      <c r="B818" s="41"/>
      <c r="C818" s="42"/>
      <c r="D818" s="42"/>
      <c r="E818" s="43"/>
      <c r="F818" s="43"/>
      <c r="G818" s="43"/>
      <c r="H818" s="44"/>
      <c r="I818" s="44"/>
      <c r="J818" s="43"/>
      <c r="K818" s="43"/>
      <c r="L818" s="43"/>
      <c r="M818" s="43"/>
      <c r="N818" s="43"/>
      <c r="O818" s="43"/>
      <c r="P818" s="43"/>
      <c r="Q818" s="41"/>
      <c r="R818" s="41"/>
    </row>
    <row r="819" spans="1:18" x14ac:dyDescent="0.35">
      <c r="A819" s="40">
        <f t="shared" si="12"/>
        <v>818</v>
      </c>
      <c r="B819" s="41"/>
      <c r="C819" s="42"/>
      <c r="D819" s="42"/>
      <c r="E819" s="43"/>
      <c r="F819" s="43"/>
      <c r="G819" s="43"/>
      <c r="H819" s="44"/>
      <c r="I819" s="44"/>
      <c r="J819" s="43"/>
      <c r="K819" s="43"/>
      <c r="L819" s="43"/>
      <c r="M819" s="43"/>
      <c r="N819" s="43"/>
      <c r="O819" s="43"/>
      <c r="P819" s="43"/>
      <c r="Q819" s="41"/>
      <c r="R819" s="41"/>
    </row>
    <row r="820" spans="1:18" x14ac:dyDescent="0.35">
      <c r="A820" s="40">
        <f t="shared" si="12"/>
        <v>819</v>
      </c>
      <c r="B820" s="41"/>
      <c r="C820" s="42"/>
      <c r="D820" s="42"/>
      <c r="E820" s="43"/>
      <c r="F820" s="43"/>
      <c r="G820" s="43"/>
      <c r="H820" s="44"/>
      <c r="I820" s="44"/>
      <c r="J820" s="43"/>
      <c r="K820" s="43"/>
      <c r="L820" s="43"/>
      <c r="M820" s="43"/>
      <c r="N820" s="43"/>
      <c r="O820" s="43"/>
      <c r="P820" s="43"/>
      <c r="Q820" s="41"/>
      <c r="R820" s="41"/>
    </row>
    <row r="821" spans="1:18" x14ac:dyDescent="0.35">
      <c r="A821" s="40">
        <f t="shared" si="12"/>
        <v>820</v>
      </c>
      <c r="B821" s="41"/>
      <c r="C821" s="42"/>
      <c r="D821" s="42"/>
      <c r="E821" s="43"/>
      <c r="F821" s="43"/>
      <c r="G821" s="43"/>
      <c r="H821" s="44"/>
      <c r="I821" s="44"/>
      <c r="J821" s="43"/>
      <c r="K821" s="43"/>
      <c r="L821" s="43"/>
      <c r="M821" s="43"/>
      <c r="N821" s="43"/>
      <c r="O821" s="43"/>
      <c r="P821" s="43"/>
      <c r="Q821" s="41"/>
      <c r="R821" s="41"/>
    </row>
    <row r="822" spans="1:18" x14ac:dyDescent="0.35">
      <c r="A822" s="40">
        <f t="shared" si="12"/>
        <v>821</v>
      </c>
      <c r="B822" s="41"/>
      <c r="C822" s="42"/>
      <c r="D822" s="42"/>
      <c r="E822" s="43"/>
      <c r="F822" s="43"/>
      <c r="G822" s="43"/>
      <c r="H822" s="44"/>
      <c r="I822" s="44"/>
      <c r="J822" s="43"/>
      <c r="K822" s="43"/>
      <c r="L822" s="43"/>
      <c r="M822" s="43"/>
      <c r="N822" s="43"/>
      <c r="O822" s="43"/>
      <c r="P822" s="43"/>
      <c r="Q822" s="41"/>
      <c r="R822" s="41"/>
    </row>
    <row r="823" spans="1:18" x14ac:dyDescent="0.35">
      <c r="A823" s="40">
        <f t="shared" si="12"/>
        <v>822</v>
      </c>
      <c r="B823" s="41"/>
      <c r="C823" s="42"/>
      <c r="D823" s="42"/>
      <c r="E823" s="43"/>
      <c r="F823" s="43"/>
      <c r="G823" s="43"/>
      <c r="H823" s="44"/>
      <c r="I823" s="44"/>
      <c r="J823" s="43"/>
      <c r="K823" s="43"/>
      <c r="L823" s="43"/>
      <c r="M823" s="43"/>
      <c r="N823" s="43"/>
      <c r="O823" s="43"/>
      <c r="P823" s="43"/>
      <c r="Q823" s="41"/>
      <c r="R823" s="41"/>
    </row>
    <row r="824" spans="1:18" x14ac:dyDescent="0.35">
      <c r="A824" s="40">
        <f t="shared" si="12"/>
        <v>823</v>
      </c>
      <c r="B824" s="41"/>
      <c r="C824" s="42"/>
      <c r="D824" s="42"/>
      <c r="E824" s="43"/>
      <c r="F824" s="43"/>
      <c r="G824" s="43"/>
      <c r="H824" s="44"/>
      <c r="I824" s="44"/>
      <c r="J824" s="43"/>
      <c r="K824" s="43"/>
      <c r="L824" s="43"/>
      <c r="M824" s="43"/>
      <c r="N824" s="43"/>
      <c r="O824" s="43"/>
      <c r="P824" s="43"/>
      <c r="Q824" s="43"/>
      <c r="R824" s="43"/>
    </row>
    <row r="825" spans="1:18" x14ac:dyDescent="0.35">
      <c r="A825" s="40">
        <f t="shared" si="12"/>
        <v>824</v>
      </c>
      <c r="B825" s="41"/>
      <c r="C825" s="42"/>
      <c r="D825" s="42"/>
      <c r="E825" s="43"/>
      <c r="F825" s="43"/>
      <c r="G825" s="43"/>
      <c r="H825" s="44"/>
      <c r="I825" s="44"/>
      <c r="J825" s="43"/>
      <c r="K825" s="43"/>
      <c r="L825" s="43"/>
      <c r="M825" s="43"/>
      <c r="N825" s="43"/>
      <c r="O825" s="43"/>
      <c r="P825" s="43"/>
      <c r="Q825" s="41"/>
      <c r="R825" s="41"/>
    </row>
    <row r="826" spans="1:18" x14ac:dyDescent="0.35">
      <c r="A826" s="40">
        <f t="shared" si="12"/>
        <v>825</v>
      </c>
      <c r="B826" s="41"/>
      <c r="C826" s="42"/>
      <c r="D826" s="42"/>
      <c r="E826" s="43"/>
      <c r="F826" s="43"/>
      <c r="G826" s="43"/>
      <c r="H826" s="44"/>
      <c r="I826" s="44"/>
      <c r="J826" s="43"/>
      <c r="K826" s="43"/>
      <c r="L826" s="43"/>
      <c r="M826" s="43"/>
      <c r="N826" s="43"/>
      <c r="O826" s="43"/>
      <c r="P826" s="43"/>
      <c r="Q826" s="41"/>
      <c r="R826" s="41"/>
    </row>
    <row r="827" spans="1:18" x14ac:dyDescent="0.35">
      <c r="A827" s="40">
        <f t="shared" si="12"/>
        <v>826</v>
      </c>
      <c r="B827" s="41"/>
      <c r="C827" s="42"/>
      <c r="D827" s="42"/>
      <c r="E827" s="43"/>
      <c r="F827" s="43"/>
      <c r="G827" s="43"/>
      <c r="H827" s="44"/>
      <c r="I827" s="44"/>
      <c r="J827" s="43"/>
      <c r="K827" s="43"/>
      <c r="L827" s="43"/>
      <c r="M827" s="43"/>
      <c r="N827" s="43"/>
      <c r="O827" s="43"/>
      <c r="P827" s="43"/>
      <c r="Q827" s="43"/>
      <c r="R827" s="43"/>
    </row>
    <row r="828" spans="1:18" x14ac:dyDescent="0.35">
      <c r="A828" s="40">
        <f t="shared" si="12"/>
        <v>827</v>
      </c>
      <c r="B828" s="41"/>
      <c r="C828" s="42"/>
      <c r="D828" s="42"/>
      <c r="E828" s="43"/>
      <c r="F828" s="43"/>
      <c r="G828" s="43"/>
      <c r="H828" s="44"/>
      <c r="I828" s="44"/>
      <c r="J828" s="43"/>
      <c r="K828" s="43"/>
      <c r="L828" s="43"/>
      <c r="M828" s="43"/>
      <c r="N828" s="43"/>
      <c r="O828" s="43"/>
      <c r="P828" s="43"/>
      <c r="Q828" s="41"/>
      <c r="R828" s="41"/>
    </row>
    <row r="829" spans="1:18" x14ac:dyDescent="0.35">
      <c r="A829" s="40">
        <f t="shared" si="12"/>
        <v>828</v>
      </c>
      <c r="B829" s="41"/>
      <c r="C829" s="42"/>
      <c r="D829" s="42"/>
      <c r="E829" s="43"/>
      <c r="F829" s="43"/>
      <c r="G829" s="43"/>
      <c r="H829" s="44"/>
      <c r="I829" s="44"/>
      <c r="J829" s="43"/>
      <c r="K829" s="43"/>
      <c r="L829" s="43"/>
      <c r="M829" s="43"/>
      <c r="N829" s="43"/>
      <c r="O829" s="43"/>
      <c r="P829" s="43"/>
      <c r="Q829" s="43"/>
      <c r="R829" s="43"/>
    </row>
    <row r="830" spans="1:18" x14ac:dyDescent="0.35">
      <c r="A830" s="40">
        <f t="shared" si="12"/>
        <v>829</v>
      </c>
      <c r="B830" s="41"/>
      <c r="C830" s="42"/>
      <c r="D830" s="42"/>
      <c r="E830" s="43"/>
      <c r="F830" s="43"/>
      <c r="G830" s="43"/>
      <c r="H830" s="44"/>
      <c r="I830" s="44"/>
      <c r="J830" s="43"/>
      <c r="K830" s="43"/>
      <c r="L830" s="43"/>
      <c r="M830" s="43"/>
      <c r="N830" s="43"/>
      <c r="O830" s="43"/>
      <c r="P830" s="43"/>
      <c r="Q830" s="43"/>
      <c r="R830" s="43"/>
    </row>
    <row r="831" spans="1:18" x14ac:dyDescent="0.35">
      <c r="A831" s="40">
        <f t="shared" si="12"/>
        <v>830</v>
      </c>
      <c r="B831" s="41"/>
      <c r="C831" s="42"/>
      <c r="D831" s="42"/>
      <c r="E831" s="43"/>
      <c r="F831" s="43"/>
      <c r="G831" s="43"/>
      <c r="H831" s="44"/>
      <c r="I831" s="44"/>
      <c r="J831" s="43"/>
      <c r="K831" s="43"/>
      <c r="L831" s="43"/>
      <c r="M831" s="43"/>
      <c r="N831" s="43"/>
      <c r="O831" s="43"/>
      <c r="P831" s="43"/>
      <c r="Q831" s="41"/>
      <c r="R831" s="41"/>
    </row>
    <row r="832" spans="1:18" x14ac:dyDescent="0.35">
      <c r="A832" s="40">
        <f t="shared" si="12"/>
        <v>831</v>
      </c>
      <c r="B832" s="41"/>
      <c r="C832" s="42"/>
      <c r="D832" s="42"/>
      <c r="E832" s="43"/>
      <c r="F832" s="43"/>
      <c r="G832" s="43"/>
      <c r="H832" s="44"/>
      <c r="I832" s="44"/>
      <c r="J832" s="43"/>
      <c r="K832" s="43"/>
      <c r="L832" s="43"/>
      <c r="M832" s="43"/>
      <c r="N832" s="43"/>
      <c r="O832" s="43"/>
      <c r="P832" s="43"/>
      <c r="Q832" s="41"/>
      <c r="R832" s="41"/>
    </row>
    <row r="833" spans="1:18" x14ac:dyDescent="0.35">
      <c r="A833" s="40">
        <f t="shared" si="12"/>
        <v>832</v>
      </c>
      <c r="B833" s="41"/>
      <c r="C833" s="42"/>
      <c r="D833" s="42"/>
      <c r="E833" s="43"/>
      <c r="F833" s="43"/>
      <c r="G833" s="43"/>
      <c r="H833" s="44"/>
      <c r="I833" s="44"/>
      <c r="J833" s="43"/>
      <c r="K833" s="43"/>
      <c r="L833" s="43"/>
      <c r="M833" s="43"/>
      <c r="N833" s="43"/>
      <c r="O833" s="43"/>
      <c r="P833" s="43"/>
      <c r="Q833" s="43"/>
      <c r="R833" s="43"/>
    </row>
    <row r="834" spans="1:18" x14ac:dyDescent="0.35">
      <c r="A834" s="40">
        <f t="shared" ref="A834:A897" si="13">ROW()-1</f>
        <v>833</v>
      </c>
      <c r="B834" s="41"/>
      <c r="C834" s="42"/>
      <c r="D834" s="42"/>
      <c r="E834" s="43"/>
      <c r="F834" s="43"/>
      <c r="G834" s="43"/>
      <c r="H834" s="44"/>
      <c r="I834" s="44"/>
      <c r="J834" s="43"/>
      <c r="K834" s="43"/>
      <c r="L834" s="43"/>
      <c r="M834" s="43"/>
      <c r="N834" s="43"/>
      <c r="O834" s="43"/>
      <c r="P834" s="43"/>
      <c r="Q834" s="41"/>
      <c r="R834" s="41"/>
    </row>
    <row r="835" spans="1:18" x14ac:dyDescent="0.35">
      <c r="A835" s="40">
        <f t="shared" si="13"/>
        <v>834</v>
      </c>
      <c r="B835" s="41"/>
      <c r="C835" s="42"/>
      <c r="D835" s="42"/>
      <c r="E835" s="43"/>
      <c r="F835" s="43"/>
      <c r="G835" s="43"/>
      <c r="H835" s="44"/>
      <c r="I835" s="44"/>
      <c r="J835" s="43"/>
      <c r="K835" s="43"/>
      <c r="L835" s="43"/>
      <c r="M835" s="43"/>
      <c r="N835" s="43"/>
      <c r="O835" s="43"/>
      <c r="P835" s="43"/>
      <c r="Q835" s="43"/>
      <c r="R835" s="43"/>
    </row>
    <row r="836" spans="1:18" x14ac:dyDescent="0.35">
      <c r="A836" s="40">
        <f t="shared" si="13"/>
        <v>835</v>
      </c>
      <c r="B836" s="41"/>
      <c r="C836" s="42"/>
      <c r="D836" s="42"/>
      <c r="E836" s="43"/>
      <c r="F836" s="43"/>
      <c r="G836" s="43"/>
      <c r="H836" s="44"/>
      <c r="I836" s="44"/>
      <c r="J836" s="43"/>
      <c r="K836" s="43"/>
      <c r="L836" s="43"/>
      <c r="M836" s="43"/>
      <c r="N836" s="43"/>
      <c r="O836" s="43"/>
      <c r="P836" s="43"/>
      <c r="Q836" s="45"/>
      <c r="R836" s="43"/>
    </row>
    <row r="837" spans="1:18" x14ac:dyDescent="0.35">
      <c r="A837" s="40">
        <f t="shared" si="13"/>
        <v>836</v>
      </c>
      <c r="B837" s="41"/>
      <c r="C837" s="42"/>
      <c r="D837" s="42"/>
      <c r="E837" s="43"/>
      <c r="F837" s="43"/>
      <c r="G837" s="43"/>
      <c r="H837" s="44"/>
      <c r="I837" s="44"/>
      <c r="J837" s="43"/>
      <c r="K837" s="43"/>
      <c r="L837" s="43"/>
      <c r="M837" s="43"/>
      <c r="N837" s="43"/>
      <c r="O837" s="43"/>
      <c r="P837" s="43"/>
      <c r="Q837" s="41"/>
      <c r="R837" s="41"/>
    </row>
    <row r="838" spans="1:18" x14ac:dyDescent="0.35">
      <c r="A838" s="40">
        <f t="shared" si="13"/>
        <v>837</v>
      </c>
      <c r="B838" s="41"/>
      <c r="C838" s="42"/>
      <c r="D838" s="42"/>
      <c r="E838" s="43"/>
      <c r="F838" s="43"/>
      <c r="G838" s="43"/>
      <c r="H838" s="44"/>
      <c r="I838" s="44"/>
      <c r="J838" s="43"/>
      <c r="K838" s="43"/>
      <c r="L838" s="43"/>
      <c r="M838" s="43"/>
      <c r="N838" s="43"/>
      <c r="O838" s="43"/>
      <c r="P838" s="43"/>
      <c r="Q838" s="41"/>
      <c r="R838" s="41"/>
    </row>
    <row r="839" spans="1:18" x14ac:dyDescent="0.35">
      <c r="A839" s="40">
        <f t="shared" si="13"/>
        <v>838</v>
      </c>
      <c r="B839" s="41"/>
      <c r="C839" s="42"/>
      <c r="D839" s="42"/>
      <c r="E839" s="52"/>
      <c r="F839" s="43"/>
      <c r="G839" s="43"/>
      <c r="H839" s="44"/>
      <c r="I839" s="44"/>
      <c r="J839" s="43"/>
      <c r="K839" s="43"/>
      <c r="L839" s="43"/>
      <c r="M839" s="43"/>
      <c r="N839" s="43"/>
      <c r="O839" s="43"/>
      <c r="P839" s="43"/>
      <c r="Q839" s="43"/>
      <c r="R839" s="43"/>
    </row>
    <row r="840" spans="1:18" x14ac:dyDescent="0.35">
      <c r="A840" s="40">
        <f t="shared" si="13"/>
        <v>839</v>
      </c>
      <c r="B840" s="41"/>
      <c r="C840" s="42"/>
      <c r="D840" s="42"/>
      <c r="E840" s="43"/>
      <c r="F840" s="43"/>
      <c r="G840" s="43"/>
      <c r="H840" s="44"/>
      <c r="I840" s="44"/>
      <c r="J840" s="43"/>
      <c r="K840" s="43"/>
      <c r="L840" s="43"/>
      <c r="M840" s="43"/>
      <c r="N840" s="43"/>
      <c r="O840" s="43"/>
      <c r="P840" s="43"/>
      <c r="Q840" s="64"/>
      <c r="R840" s="41"/>
    </row>
    <row r="841" spans="1:18" x14ac:dyDescent="0.35">
      <c r="A841" s="40">
        <f t="shared" si="13"/>
        <v>840</v>
      </c>
      <c r="B841" s="41"/>
      <c r="C841" s="42"/>
      <c r="D841" s="42"/>
      <c r="E841" s="43"/>
      <c r="F841" s="43"/>
      <c r="G841" s="43"/>
      <c r="H841" s="44"/>
      <c r="I841" s="44"/>
      <c r="J841" s="43"/>
      <c r="K841" s="43"/>
      <c r="L841" s="43"/>
      <c r="M841" s="43"/>
      <c r="N841" s="43"/>
      <c r="O841" s="43"/>
      <c r="P841" s="43"/>
      <c r="Q841" s="41"/>
      <c r="R841" s="41"/>
    </row>
    <row r="842" spans="1:18" x14ac:dyDescent="0.35">
      <c r="A842" s="40">
        <f t="shared" si="13"/>
        <v>841</v>
      </c>
      <c r="B842" s="41"/>
      <c r="C842" s="42"/>
      <c r="D842" s="42"/>
      <c r="E842" s="43"/>
      <c r="F842" s="43"/>
      <c r="G842" s="43"/>
      <c r="H842" s="44"/>
      <c r="I842" s="44"/>
      <c r="J842" s="43"/>
      <c r="K842" s="43"/>
      <c r="L842" s="43"/>
      <c r="M842" s="43"/>
      <c r="N842" s="43"/>
      <c r="O842" s="43"/>
      <c r="P842" s="43"/>
      <c r="Q842" s="43"/>
      <c r="R842" s="41"/>
    </row>
    <row r="843" spans="1:18" x14ac:dyDescent="0.35">
      <c r="A843" s="40">
        <f t="shared" si="13"/>
        <v>842</v>
      </c>
      <c r="B843" s="41"/>
      <c r="C843" s="42"/>
      <c r="D843" s="42"/>
      <c r="E843" s="43"/>
      <c r="F843" s="43"/>
      <c r="G843" s="43"/>
      <c r="H843" s="44"/>
      <c r="I843" s="44"/>
      <c r="J843" s="43"/>
      <c r="K843" s="43"/>
      <c r="L843" s="43"/>
      <c r="M843" s="43"/>
      <c r="N843" s="43"/>
      <c r="O843" s="43"/>
      <c r="P843" s="43"/>
      <c r="Q843" s="41"/>
      <c r="R843" s="41"/>
    </row>
    <row r="844" spans="1:18" x14ac:dyDescent="0.35">
      <c r="A844" s="40">
        <f t="shared" si="13"/>
        <v>843</v>
      </c>
      <c r="B844" s="41"/>
      <c r="C844" s="42"/>
      <c r="D844" s="42"/>
      <c r="E844" s="43"/>
      <c r="F844" s="43"/>
      <c r="G844" s="43"/>
      <c r="H844" s="44"/>
      <c r="I844" s="44"/>
      <c r="J844" s="43"/>
      <c r="K844" s="43"/>
      <c r="L844" s="43"/>
      <c r="M844" s="43"/>
      <c r="N844" s="43"/>
      <c r="O844" s="43"/>
      <c r="P844" s="43"/>
      <c r="Q844" s="41"/>
      <c r="R844" s="41"/>
    </row>
    <row r="845" spans="1:18" x14ac:dyDescent="0.35">
      <c r="A845" s="40">
        <f t="shared" si="13"/>
        <v>844</v>
      </c>
      <c r="B845" s="41"/>
      <c r="C845" s="42"/>
      <c r="D845" s="42"/>
      <c r="E845" s="43"/>
      <c r="F845" s="43"/>
      <c r="G845" s="43"/>
      <c r="H845" s="44"/>
      <c r="I845" s="44"/>
      <c r="J845" s="43"/>
      <c r="K845" s="43"/>
      <c r="L845" s="43"/>
      <c r="M845" s="43"/>
      <c r="N845" s="43"/>
      <c r="O845" s="43"/>
      <c r="P845" s="43"/>
      <c r="Q845" s="41"/>
      <c r="R845" s="41"/>
    </row>
    <row r="846" spans="1:18" x14ac:dyDescent="0.35">
      <c r="A846" s="40">
        <f t="shared" si="13"/>
        <v>845</v>
      </c>
      <c r="B846" s="41"/>
      <c r="C846" s="42"/>
      <c r="D846" s="42"/>
      <c r="E846" s="43"/>
      <c r="F846" s="43"/>
      <c r="G846" s="43"/>
      <c r="H846" s="44"/>
      <c r="I846" s="44"/>
      <c r="J846" s="43"/>
      <c r="K846" s="43"/>
      <c r="L846" s="43"/>
      <c r="M846" s="43"/>
      <c r="N846" s="43"/>
      <c r="O846" s="43"/>
      <c r="P846" s="43"/>
      <c r="Q846" s="43"/>
      <c r="R846" s="43"/>
    </row>
    <row r="847" spans="1:18" x14ac:dyDescent="0.35">
      <c r="A847" s="40">
        <f t="shared" si="13"/>
        <v>846</v>
      </c>
      <c r="B847" s="41"/>
      <c r="C847" s="42"/>
      <c r="D847" s="42"/>
      <c r="E847" s="43"/>
      <c r="F847" s="43"/>
      <c r="G847" s="43"/>
      <c r="H847" s="44"/>
      <c r="I847" s="44"/>
      <c r="J847" s="43"/>
      <c r="K847" s="43"/>
      <c r="L847" s="43"/>
      <c r="M847" s="41"/>
      <c r="N847" s="43"/>
      <c r="O847" s="41"/>
      <c r="P847" s="43"/>
      <c r="Q847" s="64"/>
      <c r="R847" s="41"/>
    </row>
    <row r="848" spans="1:18" x14ac:dyDescent="0.35">
      <c r="A848" s="40">
        <f t="shared" si="13"/>
        <v>847</v>
      </c>
      <c r="B848" s="41"/>
      <c r="C848" s="42"/>
      <c r="D848" s="42"/>
      <c r="E848" s="43"/>
      <c r="F848" s="43"/>
      <c r="G848" s="43"/>
      <c r="H848" s="44"/>
      <c r="I848" s="44"/>
      <c r="J848" s="43"/>
      <c r="K848" s="43"/>
      <c r="L848" s="43"/>
      <c r="M848" s="43"/>
      <c r="N848" s="43"/>
      <c r="O848" s="43"/>
      <c r="P848" s="43"/>
      <c r="Q848" s="43"/>
      <c r="R848" s="43"/>
    </row>
    <row r="849" spans="1:18" x14ac:dyDescent="0.35">
      <c r="A849" s="40">
        <f t="shared" si="13"/>
        <v>848</v>
      </c>
      <c r="B849" s="41"/>
      <c r="C849" s="42"/>
      <c r="D849" s="42"/>
      <c r="E849" s="43"/>
      <c r="F849" s="43"/>
      <c r="G849" s="43"/>
      <c r="H849" s="44"/>
      <c r="I849" s="44"/>
      <c r="J849" s="43"/>
      <c r="K849" s="43"/>
      <c r="L849" s="43"/>
      <c r="M849" s="43"/>
      <c r="N849" s="43"/>
      <c r="O849" s="43"/>
      <c r="P849" s="43"/>
      <c r="Q849" s="43"/>
      <c r="R849" s="43"/>
    </row>
    <row r="850" spans="1:18" x14ac:dyDescent="0.35">
      <c r="A850" s="40">
        <f t="shared" si="13"/>
        <v>849</v>
      </c>
      <c r="B850" s="41"/>
      <c r="C850" s="42"/>
      <c r="D850" s="42"/>
      <c r="E850" s="43"/>
      <c r="F850" s="43"/>
      <c r="G850" s="43"/>
      <c r="H850" s="44"/>
      <c r="I850" s="44"/>
      <c r="J850" s="43"/>
      <c r="K850" s="43"/>
      <c r="L850" s="43"/>
      <c r="M850" s="43"/>
      <c r="N850" s="43"/>
      <c r="O850" s="43"/>
      <c r="P850" s="43"/>
      <c r="Q850" s="43"/>
      <c r="R850" s="43"/>
    </row>
    <row r="851" spans="1:18" x14ac:dyDescent="0.35">
      <c r="A851" s="40">
        <f t="shared" si="13"/>
        <v>850</v>
      </c>
      <c r="B851" s="41"/>
      <c r="C851" s="42"/>
      <c r="D851" s="42"/>
      <c r="E851" s="43"/>
      <c r="F851" s="43"/>
      <c r="G851" s="43"/>
      <c r="H851" s="44"/>
      <c r="I851" s="44"/>
      <c r="J851" s="43"/>
      <c r="K851" s="43"/>
      <c r="L851" s="43"/>
      <c r="M851" s="43"/>
      <c r="N851" s="43"/>
      <c r="O851" s="43"/>
      <c r="P851" s="43"/>
      <c r="Q851" s="43"/>
      <c r="R851" s="43"/>
    </row>
    <row r="852" spans="1:18" x14ac:dyDescent="0.35">
      <c r="A852" s="40">
        <f t="shared" si="13"/>
        <v>851</v>
      </c>
      <c r="B852" s="41"/>
      <c r="C852" s="42"/>
      <c r="D852" s="42"/>
      <c r="E852" s="43"/>
      <c r="F852" s="43"/>
      <c r="G852" s="43"/>
      <c r="H852" s="44"/>
      <c r="I852" s="44"/>
      <c r="J852" s="43"/>
      <c r="K852" s="43"/>
      <c r="L852" s="43"/>
      <c r="M852" s="43"/>
      <c r="N852" s="43"/>
      <c r="O852" s="43"/>
      <c r="P852" s="43"/>
      <c r="Q852" s="41"/>
      <c r="R852" s="41"/>
    </row>
    <row r="853" spans="1:18" x14ac:dyDescent="0.35">
      <c r="A853" s="40">
        <f t="shared" si="13"/>
        <v>852</v>
      </c>
      <c r="B853" s="41"/>
      <c r="C853" s="42"/>
      <c r="D853" s="42"/>
      <c r="E853" s="43"/>
      <c r="F853" s="43"/>
      <c r="G853" s="43"/>
      <c r="H853" s="44"/>
      <c r="I853" s="44"/>
      <c r="J853" s="43"/>
      <c r="K853" s="43"/>
      <c r="L853" s="43"/>
      <c r="M853" s="43"/>
      <c r="N853" s="43"/>
      <c r="O853" s="43"/>
      <c r="P853" s="43"/>
      <c r="Q853" s="41"/>
      <c r="R853" s="41"/>
    </row>
    <row r="854" spans="1:18" x14ac:dyDescent="0.35">
      <c r="A854" s="40">
        <f t="shared" si="13"/>
        <v>853</v>
      </c>
      <c r="B854" s="41"/>
      <c r="C854" s="42"/>
      <c r="D854" s="42"/>
      <c r="E854" s="43"/>
      <c r="F854" s="43"/>
      <c r="G854" s="43"/>
      <c r="H854" s="44"/>
      <c r="I854" s="44"/>
      <c r="J854" s="43"/>
      <c r="K854" s="43"/>
      <c r="L854" s="43"/>
      <c r="M854" s="43"/>
      <c r="N854" s="43"/>
      <c r="O854" s="43"/>
      <c r="P854" s="43"/>
      <c r="Q854" s="41"/>
      <c r="R854" s="41"/>
    </row>
    <row r="855" spans="1:18" x14ac:dyDescent="0.35">
      <c r="A855" s="40">
        <f t="shared" si="13"/>
        <v>854</v>
      </c>
      <c r="B855" s="41"/>
      <c r="C855" s="42"/>
      <c r="D855" s="42"/>
      <c r="E855" s="43"/>
      <c r="F855" s="43"/>
      <c r="G855" s="43"/>
      <c r="H855" s="44"/>
      <c r="I855" s="44"/>
      <c r="J855" s="43"/>
      <c r="K855" s="43"/>
      <c r="L855" s="43"/>
      <c r="M855" s="43"/>
      <c r="N855" s="43"/>
      <c r="O855" s="43"/>
      <c r="P855" s="43"/>
      <c r="Q855" s="43"/>
      <c r="R855" s="43"/>
    </row>
    <row r="856" spans="1:18" x14ac:dyDescent="0.35">
      <c r="A856" s="40">
        <f t="shared" si="13"/>
        <v>855</v>
      </c>
      <c r="B856" s="41"/>
      <c r="C856" s="42"/>
      <c r="D856" s="42"/>
      <c r="E856" s="43"/>
      <c r="F856" s="43"/>
      <c r="G856" s="43"/>
      <c r="H856" s="44"/>
      <c r="I856" s="44"/>
      <c r="J856" s="43"/>
      <c r="K856" s="43"/>
      <c r="L856" s="43"/>
      <c r="M856" s="43"/>
      <c r="N856" s="43"/>
      <c r="O856" s="43"/>
      <c r="P856" s="43"/>
      <c r="Q856" s="43"/>
      <c r="R856" s="43"/>
    </row>
    <row r="857" spans="1:18" x14ac:dyDescent="0.35">
      <c r="A857" s="40">
        <f t="shared" si="13"/>
        <v>856</v>
      </c>
      <c r="B857" s="41"/>
      <c r="C857" s="42"/>
      <c r="D857" s="42"/>
      <c r="E857" s="43"/>
      <c r="F857" s="43"/>
      <c r="G857" s="43"/>
      <c r="H857" s="44"/>
      <c r="I857" s="44"/>
      <c r="J857" s="43"/>
      <c r="K857" s="43"/>
      <c r="L857" s="43"/>
      <c r="M857" s="43"/>
      <c r="N857" s="43"/>
      <c r="O857" s="43"/>
      <c r="P857" s="43"/>
      <c r="Q857" s="41"/>
      <c r="R857" s="41"/>
    </row>
    <row r="858" spans="1:18" x14ac:dyDescent="0.35">
      <c r="A858" s="40">
        <f t="shared" si="13"/>
        <v>857</v>
      </c>
      <c r="B858" s="41"/>
      <c r="C858" s="42"/>
      <c r="D858" s="42"/>
      <c r="E858" s="43"/>
      <c r="F858" s="43"/>
      <c r="G858" s="43"/>
      <c r="H858" s="44"/>
      <c r="I858" s="44"/>
      <c r="J858" s="43"/>
      <c r="K858" s="43"/>
      <c r="L858" s="43"/>
      <c r="M858" s="43"/>
      <c r="N858" s="43"/>
      <c r="O858" s="43"/>
      <c r="P858" s="43"/>
      <c r="Q858" s="43"/>
      <c r="R858" s="43"/>
    </row>
    <row r="859" spans="1:18" x14ac:dyDescent="0.35">
      <c r="A859" s="40">
        <f t="shared" si="13"/>
        <v>858</v>
      </c>
      <c r="B859" s="41"/>
      <c r="C859" s="42"/>
      <c r="D859" s="42"/>
      <c r="E859" s="43"/>
      <c r="F859" s="43"/>
      <c r="G859" s="43"/>
      <c r="H859" s="44"/>
      <c r="I859" s="44"/>
      <c r="J859" s="43"/>
      <c r="K859" s="43"/>
      <c r="L859" s="43"/>
      <c r="M859" s="43"/>
      <c r="N859" s="43"/>
      <c r="O859" s="43"/>
      <c r="P859" s="43"/>
      <c r="Q859" s="41"/>
      <c r="R859" s="41"/>
    </row>
    <row r="860" spans="1:18" x14ac:dyDescent="0.35">
      <c r="A860" s="40">
        <f t="shared" si="13"/>
        <v>859</v>
      </c>
      <c r="B860" s="41"/>
      <c r="C860" s="42"/>
      <c r="D860" s="42"/>
      <c r="E860" s="43"/>
      <c r="F860" s="43"/>
      <c r="G860" s="43"/>
      <c r="H860" s="44"/>
      <c r="I860" s="44"/>
      <c r="J860" s="43"/>
      <c r="K860" s="43"/>
      <c r="L860" s="43"/>
      <c r="M860" s="43"/>
      <c r="N860" s="43"/>
      <c r="O860" s="43"/>
      <c r="P860" s="43"/>
      <c r="Q860" s="41"/>
      <c r="R860" s="41"/>
    </row>
    <row r="861" spans="1:18" x14ac:dyDescent="0.35">
      <c r="A861" s="40">
        <f t="shared" si="13"/>
        <v>860</v>
      </c>
      <c r="B861" s="41"/>
      <c r="C861" s="42"/>
      <c r="D861" s="42"/>
      <c r="E861" s="43"/>
      <c r="F861" s="43"/>
      <c r="G861" s="43"/>
      <c r="H861" s="44"/>
      <c r="I861" s="44"/>
      <c r="J861" s="43"/>
      <c r="K861" s="43"/>
      <c r="L861" s="43"/>
      <c r="M861" s="43"/>
      <c r="N861" s="43"/>
      <c r="O861" s="43"/>
      <c r="P861" s="43"/>
      <c r="Q861" s="41"/>
      <c r="R861" s="41"/>
    </row>
    <row r="862" spans="1:18" x14ac:dyDescent="0.35">
      <c r="A862" s="40">
        <f t="shared" si="13"/>
        <v>861</v>
      </c>
      <c r="B862" s="41"/>
      <c r="C862" s="42"/>
      <c r="D862" s="42"/>
      <c r="E862" s="43"/>
      <c r="F862" s="43"/>
      <c r="G862" s="43"/>
      <c r="H862" s="44"/>
      <c r="I862" s="44"/>
      <c r="J862" s="43"/>
      <c r="K862" s="43"/>
      <c r="L862" s="43"/>
      <c r="M862" s="43"/>
      <c r="N862" s="43"/>
      <c r="O862" s="43"/>
      <c r="P862" s="43"/>
      <c r="Q862" s="41"/>
      <c r="R862" s="41"/>
    </row>
    <row r="863" spans="1:18" x14ac:dyDescent="0.35">
      <c r="A863" s="40">
        <f t="shared" si="13"/>
        <v>862</v>
      </c>
      <c r="B863" s="41"/>
      <c r="C863" s="42"/>
      <c r="D863" s="42"/>
      <c r="E863" s="43"/>
      <c r="F863" s="43"/>
      <c r="G863" s="43"/>
      <c r="H863" s="44"/>
      <c r="I863" s="44"/>
      <c r="J863" s="52"/>
      <c r="K863" s="43"/>
      <c r="L863" s="43"/>
      <c r="M863" s="43"/>
      <c r="N863" s="43"/>
      <c r="O863" s="43"/>
      <c r="P863" s="43"/>
      <c r="Q863" s="43"/>
      <c r="R863" s="43"/>
    </row>
    <row r="864" spans="1:18" x14ac:dyDescent="0.35">
      <c r="A864" s="40">
        <f t="shared" si="13"/>
        <v>863</v>
      </c>
      <c r="B864" s="41"/>
      <c r="C864" s="42"/>
      <c r="D864" s="42"/>
      <c r="E864" s="43"/>
      <c r="F864" s="43"/>
      <c r="G864" s="43"/>
      <c r="H864" s="44"/>
      <c r="I864" s="44"/>
      <c r="J864" s="43"/>
      <c r="K864" s="43"/>
      <c r="L864" s="43"/>
      <c r="M864" s="43"/>
      <c r="N864" s="43"/>
      <c r="O864" s="43"/>
      <c r="P864" s="43"/>
      <c r="Q864" s="41"/>
      <c r="R864" s="41"/>
    </row>
    <row r="865" spans="1:18" x14ac:dyDescent="0.35">
      <c r="A865" s="40">
        <f t="shared" si="13"/>
        <v>864</v>
      </c>
      <c r="B865" s="41"/>
      <c r="C865" s="42"/>
      <c r="D865" s="42"/>
      <c r="E865" s="43"/>
      <c r="F865" s="43"/>
      <c r="G865" s="43"/>
      <c r="H865" s="44"/>
      <c r="I865" s="44"/>
      <c r="J865" s="43"/>
      <c r="K865" s="43"/>
      <c r="L865" s="43"/>
      <c r="M865" s="43"/>
      <c r="N865" s="43"/>
      <c r="O865" s="43"/>
      <c r="P865" s="43"/>
      <c r="Q865" s="41"/>
      <c r="R865" s="41"/>
    </row>
    <row r="866" spans="1:18" x14ac:dyDescent="0.35">
      <c r="A866" s="40">
        <f t="shared" si="13"/>
        <v>865</v>
      </c>
      <c r="B866" s="41"/>
      <c r="C866" s="42"/>
      <c r="D866" s="42"/>
      <c r="E866" s="43"/>
      <c r="F866" s="43"/>
      <c r="G866" s="43"/>
      <c r="H866" s="44"/>
      <c r="I866" s="44"/>
      <c r="J866" s="43"/>
      <c r="K866" s="43"/>
      <c r="L866" s="43"/>
      <c r="M866" s="43"/>
      <c r="N866" s="43"/>
      <c r="O866" s="43"/>
      <c r="P866" s="43"/>
      <c r="Q866" s="43"/>
      <c r="R866" s="43"/>
    </row>
    <row r="867" spans="1:18" x14ac:dyDescent="0.35">
      <c r="A867" s="40">
        <f t="shared" si="13"/>
        <v>866</v>
      </c>
      <c r="B867" s="41"/>
      <c r="C867" s="42"/>
      <c r="D867" s="42"/>
      <c r="E867" s="43"/>
      <c r="F867" s="43"/>
      <c r="G867" s="43"/>
      <c r="H867" s="44"/>
      <c r="I867" s="44"/>
      <c r="J867" s="43"/>
      <c r="K867" s="43"/>
      <c r="L867" s="43"/>
      <c r="M867" s="43"/>
      <c r="N867" s="43"/>
      <c r="O867" s="43"/>
      <c r="P867" s="43"/>
      <c r="Q867" s="43"/>
      <c r="R867" s="43"/>
    </row>
    <row r="868" spans="1:18" x14ac:dyDescent="0.35">
      <c r="A868" s="40">
        <f t="shared" si="13"/>
        <v>867</v>
      </c>
      <c r="B868" s="41"/>
      <c r="C868" s="42"/>
      <c r="D868" s="42"/>
      <c r="E868" s="43"/>
      <c r="F868" s="43"/>
      <c r="G868" s="43"/>
      <c r="H868" s="44"/>
      <c r="I868" s="44"/>
      <c r="J868" s="43"/>
      <c r="K868" s="43"/>
      <c r="L868" s="43"/>
      <c r="M868" s="43"/>
      <c r="N868" s="43"/>
      <c r="O868" s="43"/>
      <c r="P868" s="43"/>
      <c r="Q868" s="41"/>
      <c r="R868" s="41"/>
    </row>
    <row r="869" spans="1:18" x14ac:dyDescent="0.35">
      <c r="A869" s="40">
        <f t="shared" si="13"/>
        <v>868</v>
      </c>
      <c r="B869" s="41"/>
      <c r="C869" s="42"/>
      <c r="D869" s="42"/>
      <c r="E869" s="43"/>
      <c r="F869" s="43"/>
      <c r="G869" s="43"/>
      <c r="H869" s="44"/>
      <c r="I869" s="44"/>
      <c r="J869" s="43"/>
      <c r="K869" s="43"/>
      <c r="L869" s="43"/>
      <c r="M869" s="43"/>
      <c r="N869" s="43"/>
      <c r="O869" s="43"/>
      <c r="P869" s="43"/>
      <c r="Q869" s="43"/>
      <c r="R869" s="43"/>
    </row>
    <row r="870" spans="1:18" x14ac:dyDescent="0.35">
      <c r="A870" s="40">
        <f t="shared" si="13"/>
        <v>869</v>
      </c>
      <c r="B870" s="41"/>
      <c r="C870" s="42"/>
      <c r="D870" s="42"/>
      <c r="E870" s="43"/>
      <c r="F870" s="43"/>
      <c r="G870" s="43"/>
      <c r="H870" s="44"/>
      <c r="I870" s="44"/>
      <c r="J870" s="43"/>
      <c r="K870" s="43"/>
      <c r="L870" s="43"/>
      <c r="M870" s="43"/>
      <c r="N870" s="43"/>
      <c r="O870" s="43"/>
      <c r="P870" s="43"/>
      <c r="Q870" s="43"/>
      <c r="R870" s="43"/>
    </row>
    <row r="871" spans="1:18" x14ac:dyDescent="0.35">
      <c r="A871" s="40">
        <f t="shared" si="13"/>
        <v>870</v>
      </c>
      <c r="B871" s="41"/>
      <c r="C871" s="42"/>
      <c r="D871" s="42"/>
      <c r="E871" s="43"/>
      <c r="F871" s="43"/>
      <c r="G871" s="43"/>
      <c r="H871" s="44"/>
      <c r="I871" s="44"/>
      <c r="J871" s="43"/>
      <c r="K871" s="43"/>
      <c r="L871" s="43"/>
      <c r="M871" s="43"/>
      <c r="N871" s="43"/>
      <c r="O871" s="43"/>
      <c r="P871" s="43"/>
      <c r="Q871" s="41"/>
      <c r="R871" s="41"/>
    </row>
    <row r="872" spans="1:18" x14ac:dyDescent="0.35">
      <c r="A872" s="40">
        <f t="shared" si="13"/>
        <v>871</v>
      </c>
      <c r="B872" s="41"/>
      <c r="C872" s="42"/>
      <c r="D872" s="42"/>
      <c r="E872" s="43"/>
      <c r="F872" s="43"/>
      <c r="G872" s="43"/>
      <c r="H872" s="44"/>
      <c r="I872" s="44"/>
      <c r="J872" s="43"/>
      <c r="K872" s="43"/>
      <c r="L872" s="43"/>
      <c r="M872" s="41"/>
      <c r="N872" s="43"/>
      <c r="O872" s="41"/>
      <c r="P872" s="41"/>
      <c r="Q872" s="41"/>
      <c r="R872" s="41"/>
    </row>
    <row r="873" spans="1:18" x14ac:dyDescent="0.35">
      <c r="A873" s="40">
        <f t="shared" si="13"/>
        <v>872</v>
      </c>
      <c r="B873" s="41"/>
      <c r="C873" s="42"/>
      <c r="D873" s="42"/>
      <c r="E873" s="43"/>
      <c r="F873" s="43"/>
      <c r="G873" s="43"/>
      <c r="H873" s="44"/>
      <c r="I873" s="44"/>
      <c r="J873" s="43"/>
      <c r="K873" s="43"/>
      <c r="L873" s="43"/>
      <c r="M873" s="41"/>
      <c r="N873" s="43"/>
      <c r="O873" s="41"/>
      <c r="P873" s="43"/>
      <c r="Q873" s="41"/>
      <c r="R873" s="41"/>
    </row>
    <row r="874" spans="1:18" x14ac:dyDescent="0.35">
      <c r="A874" s="40">
        <f t="shared" si="13"/>
        <v>873</v>
      </c>
      <c r="B874" s="41"/>
      <c r="C874" s="42"/>
      <c r="D874" s="42"/>
      <c r="E874" s="43"/>
      <c r="F874" s="43"/>
      <c r="G874" s="43"/>
      <c r="H874" s="44"/>
      <c r="I874" s="44"/>
      <c r="J874" s="43"/>
      <c r="K874" s="43"/>
      <c r="L874" s="43"/>
      <c r="M874" s="43"/>
      <c r="N874" s="43"/>
      <c r="O874" s="43"/>
      <c r="P874" s="43"/>
      <c r="Q874" s="43"/>
      <c r="R874" s="43"/>
    </row>
    <row r="875" spans="1:18" x14ac:dyDescent="0.35">
      <c r="A875" s="40">
        <f t="shared" si="13"/>
        <v>874</v>
      </c>
      <c r="B875" s="41"/>
      <c r="C875" s="42"/>
      <c r="D875" s="42"/>
      <c r="E875" s="43"/>
      <c r="F875" s="43"/>
      <c r="G875" s="43"/>
      <c r="H875" s="44"/>
      <c r="I875" s="44"/>
      <c r="J875" s="43"/>
      <c r="K875" s="43"/>
      <c r="L875" s="43"/>
      <c r="M875" s="41"/>
      <c r="N875" s="43"/>
      <c r="O875" s="43"/>
      <c r="P875" s="43"/>
      <c r="Q875" s="41"/>
      <c r="R875" s="41"/>
    </row>
    <row r="876" spans="1:18" x14ac:dyDescent="0.35">
      <c r="A876" s="40">
        <f t="shared" si="13"/>
        <v>875</v>
      </c>
      <c r="B876" s="41"/>
      <c r="C876" s="42"/>
      <c r="D876" s="42"/>
      <c r="E876" s="43"/>
      <c r="F876" s="43"/>
      <c r="G876" s="43"/>
      <c r="H876" s="44"/>
      <c r="I876" s="44"/>
      <c r="J876" s="43"/>
      <c r="K876" s="43"/>
      <c r="L876" s="43"/>
      <c r="M876" s="43"/>
      <c r="N876" s="43"/>
      <c r="O876" s="43"/>
      <c r="P876" s="43"/>
      <c r="Q876" s="43"/>
      <c r="R876" s="43"/>
    </row>
    <row r="877" spans="1:18" x14ac:dyDescent="0.35">
      <c r="A877" s="40">
        <f t="shared" si="13"/>
        <v>876</v>
      </c>
      <c r="B877" s="41"/>
      <c r="C877" s="42"/>
      <c r="D877" s="42"/>
      <c r="E877" s="43"/>
      <c r="F877" s="41"/>
      <c r="G877" s="41"/>
      <c r="H877" s="44"/>
      <c r="I877" s="44"/>
      <c r="J877" s="41"/>
      <c r="K877" s="41"/>
      <c r="L877" s="43"/>
      <c r="M877" s="41"/>
      <c r="N877" s="43"/>
      <c r="O877" s="43"/>
      <c r="P877" s="43"/>
      <c r="Q877" s="41"/>
      <c r="R877" s="41"/>
    </row>
    <row r="878" spans="1:18" x14ac:dyDescent="0.35">
      <c r="A878" s="40">
        <f t="shared" si="13"/>
        <v>877</v>
      </c>
      <c r="B878" s="41"/>
      <c r="C878" s="42"/>
      <c r="D878" s="42"/>
      <c r="E878" s="43"/>
      <c r="F878" s="41"/>
      <c r="G878" s="41"/>
      <c r="H878" s="44"/>
      <c r="I878" s="44"/>
      <c r="J878" s="41"/>
      <c r="K878" s="41"/>
      <c r="L878" s="43"/>
      <c r="M878" s="41"/>
      <c r="N878" s="41"/>
      <c r="O878" s="41"/>
      <c r="P878" s="41"/>
      <c r="Q878" s="41"/>
      <c r="R878" s="41"/>
    </row>
    <row r="879" spans="1:18" x14ac:dyDescent="0.35">
      <c r="A879" s="40">
        <f t="shared" si="13"/>
        <v>878</v>
      </c>
      <c r="B879" s="41"/>
      <c r="C879" s="42"/>
      <c r="D879" s="42"/>
      <c r="E879" s="43"/>
      <c r="F879" s="41"/>
      <c r="G879" s="41"/>
      <c r="H879" s="44"/>
      <c r="I879" s="44"/>
      <c r="J879" s="41"/>
      <c r="K879" s="41"/>
      <c r="L879" s="41"/>
      <c r="M879" s="41"/>
      <c r="N879" s="41"/>
      <c r="O879" s="41"/>
      <c r="P879" s="41"/>
      <c r="Q879" s="41"/>
      <c r="R879" s="41"/>
    </row>
    <row r="880" spans="1:18" x14ac:dyDescent="0.35">
      <c r="A880" s="40">
        <f t="shared" si="13"/>
        <v>879</v>
      </c>
      <c r="B880" s="41"/>
      <c r="C880" s="42"/>
      <c r="D880" s="42"/>
      <c r="E880" s="43"/>
      <c r="F880" s="41"/>
      <c r="G880" s="41"/>
      <c r="H880" s="44"/>
      <c r="I880" s="44"/>
      <c r="J880" s="41"/>
      <c r="K880" s="43"/>
      <c r="L880" s="43"/>
      <c r="M880" s="43"/>
      <c r="N880" s="43"/>
      <c r="O880" s="43"/>
      <c r="P880" s="43"/>
      <c r="Q880" s="41"/>
      <c r="R880" s="41"/>
    </row>
    <row r="881" spans="1:18" x14ac:dyDescent="0.35">
      <c r="A881" s="40">
        <f t="shared" si="13"/>
        <v>880</v>
      </c>
      <c r="B881" s="41"/>
      <c r="C881" s="42"/>
      <c r="D881" s="42"/>
      <c r="E881" s="43"/>
      <c r="F881" s="43"/>
      <c r="G881" s="46"/>
      <c r="H881" s="44"/>
      <c r="I881" s="44"/>
      <c r="J881" s="43"/>
      <c r="K881" s="43"/>
      <c r="L881" s="43"/>
      <c r="M881" s="41"/>
      <c r="N881" s="41"/>
      <c r="O881" s="41"/>
      <c r="P881" s="41"/>
      <c r="Q881" s="41"/>
      <c r="R881" s="41"/>
    </row>
    <row r="882" spans="1:18" x14ac:dyDescent="0.35">
      <c r="A882" s="40">
        <f t="shared" si="13"/>
        <v>881</v>
      </c>
      <c r="B882" s="41"/>
      <c r="C882" s="42"/>
      <c r="D882" s="42"/>
      <c r="E882" s="47"/>
      <c r="F882" s="41"/>
      <c r="G882" s="41"/>
      <c r="H882" s="44"/>
      <c r="I882" s="44"/>
      <c r="J882" s="41"/>
      <c r="K882" s="41"/>
      <c r="L882" s="43"/>
      <c r="M882" s="41"/>
      <c r="N882" s="43"/>
      <c r="O882" s="41"/>
      <c r="P882" s="43"/>
      <c r="Q882" s="41"/>
      <c r="R882" s="41"/>
    </row>
    <row r="883" spans="1:18" x14ac:dyDescent="0.35">
      <c r="A883" s="40">
        <f t="shared" si="13"/>
        <v>882</v>
      </c>
      <c r="B883" s="41"/>
      <c r="C883" s="42"/>
      <c r="D883" s="42"/>
      <c r="E883" s="47"/>
      <c r="F883" s="41"/>
      <c r="G883" s="41"/>
      <c r="H883" s="44"/>
      <c r="I883" s="44"/>
      <c r="J883" s="41"/>
      <c r="K883" s="41"/>
      <c r="L883" s="43"/>
      <c r="M883" s="41"/>
      <c r="N883" s="43"/>
      <c r="O883" s="41"/>
      <c r="P883" s="43"/>
      <c r="Q883" s="41"/>
      <c r="R883" s="41"/>
    </row>
    <row r="884" spans="1:18" x14ac:dyDescent="0.35">
      <c r="A884" s="40">
        <f t="shared" si="13"/>
        <v>883</v>
      </c>
      <c r="B884" s="41"/>
      <c r="C884" s="48"/>
      <c r="D884" s="48"/>
      <c r="E884" s="47"/>
      <c r="F884" s="41"/>
      <c r="G884" s="41"/>
      <c r="H884" s="44"/>
      <c r="I884" s="44"/>
      <c r="J884" s="41"/>
      <c r="K884" s="41"/>
      <c r="L884" s="41"/>
      <c r="M884" s="41"/>
      <c r="N884" s="41"/>
      <c r="O884" s="41"/>
      <c r="P884" s="41"/>
      <c r="Q884" s="41"/>
      <c r="R884" s="41"/>
    </row>
    <row r="885" spans="1:18" x14ac:dyDescent="0.35">
      <c r="A885" s="40">
        <f t="shared" si="13"/>
        <v>884</v>
      </c>
      <c r="B885" s="41"/>
      <c r="C885" s="48"/>
      <c r="D885" s="48"/>
      <c r="E885" s="47"/>
      <c r="F885" s="41"/>
      <c r="G885" s="41"/>
      <c r="H885" s="44"/>
      <c r="I885" s="44"/>
      <c r="J885" s="41"/>
      <c r="K885" s="41"/>
      <c r="L885" s="41"/>
      <c r="M885" s="41"/>
      <c r="N885" s="41"/>
      <c r="O885" s="41"/>
      <c r="P885" s="41"/>
      <c r="Q885" s="41"/>
      <c r="R885" s="41"/>
    </row>
    <row r="886" spans="1:18" x14ac:dyDescent="0.35">
      <c r="A886" s="40">
        <f t="shared" si="13"/>
        <v>885</v>
      </c>
      <c r="B886" s="41"/>
      <c r="C886" s="48"/>
      <c r="D886" s="48"/>
      <c r="E886" s="47"/>
      <c r="F886" s="41"/>
      <c r="G886" s="41"/>
      <c r="H886" s="44"/>
      <c r="I886" s="44"/>
      <c r="J886" s="41"/>
      <c r="K886" s="41"/>
      <c r="L886" s="41"/>
      <c r="M886" s="41"/>
      <c r="N886" s="41"/>
      <c r="O886" s="41"/>
      <c r="P886" s="41"/>
      <c r="Q886" s="41"/>
      <c r="R886" s="41"/>
    </row>
    <row r="887" spans="1:18" x14ac:dyDescent="0.35">
      <c r="A887" s="40">
        <f t="shared" si="13"/>
        <v>886</v>
      </c>
      <c r="B887" s="41"/>
      <c r="C887" s="48"/>
      <c r="D887" s="48"/>
      <c r="E887" s="47"/>
      <c r="F887" s="41"/>
      <c r="G887" s="41"/>
      <c r="H887" s="44"/>
      <c r="I887" s="44"/>
      <c r="J887" s="41"/>
      <c r="K887" s="41"/>
      <c r="L887" s="41"/>
      <c r="M887" s="41"/>
      <c r="N887" s="41"/>
      <c r="O887" s="41"/>
      <c r="P887" s="41"/>
      <c r="Q887" s="41"/>
      <c r="R887" s="41"/>
    </row>
    <row r="888" spans="1:18" x14ac:dyDescent="0.35">
      <c r="A888" s="40">
        <f t="shared" si="13"/>
        <v>887</v>
      </c>
      <c r="B888" s="41"/>
      <c r="C888" s="42"/>
      <c r="D888" s="42"/>
      <c r="E888" s="43"/>
      <c r="F888" s="43"/>
      <c r="G888" s="43"/>
      <c r="H888" s="44"/>
      <c r="I888" s="44"/>
      <c r="J888" s="43"/>
      <c r="K888" s="43"/>
      <c r="L888" s="43"/>
      <c r="M888" s="43"/>
      <c r="N888" s="43"/>
      <c r="O888" s="43"/>
      <c r="P888" s="43"/>
      <c r="Q888" s="43"/>
      <c r="R888" s="43"/>
    </row>
    <row r="889" spans="1:18" x14ac:dyDescent="0.35">
      <c r="A889" s="40">
        <f t="shared" si="13"/>
        <v>888</v>
      </c>
      <c r="B889" s="41"/>
      <c r="C889" s="48"/>
      <c r="D889" s="48"/>
      <c r="E889" s="47"/>
      <c r="F889" s="41"/>
      <c r="G889" s="41"/>
      <c r="H889" s="44"/>
      <c r="I889" s="44"/>
      <c r="J889" s="41"/>
      <c r="K889" s="41"/>
      <c r="L889" s="41"/>
      <c r="M889" s="41"/>
      <c r="N889" s="41"/>
      <c r="O889" s="41"/>
      <c r="P889" s="41"/>
      <c r="Q889" s="41"/>
      <c r="R889" s="41"/>
    </row>
    <row r="890" spans="1:18" x14ac:dyDescent="0.35">
      <c r="A890" s="40">
        <f t="shared" si="13"/>
        <v>889</v>
      </c>
      <c r="B890" s="41"/>
      <c r="C890" s="42"/>
      <c r="D890" s="42"/>
      <c r="E890" s="43"/>
      <c r="F890" s="43"/>
      <c r="G890" s="43"/>
      <c r="H890" s="44"/>
      <c r="I890" s="44"/>
      <c r="J890" s="43"/>
      <c r="K890" s="43"/>
      <c r="L890" s="43"/>
      <c r="M890" s="43"/>
      <c r="N890" s="43"/>
      <c r="O890" s="43"/>
      <c r="P890" s="43"/>
      <c r="Q890" s="43"/>
      <c r="R890" s="43"/>
    </row>
    <row r="891" spans="1:18" x14ac:dyDescent="0.35">
      <c r="A891" s="40">
        <f t="shared" si="13"/>
        <v>890</v>
      </c>
      <c r="B891" s="41"/>
      <c r="C891" s="42"/>
      <c r="D891" s="42"/>
      <c r="E891" s="43"/>
      <c r="F891" s="43"/>
      <c r="G891" s="43"/>
      <c r="H891" s="44"/>
      <c r="I891" s="44"/>
      <c r="J891" s="43"/>
      <c r="K891" s="43"/>
      <c r="L891" s="43"/>
      <c r="M891" s="43"/>
      <c r="N891" s="43"/>
      <c r="O891" s="43"/>
      <c r="P891" s="43"/>
      <c r="Q891" s="43"/>
      <c r="R891" s="43"/>
    </row>
    <row r="892" spans="1:18" x14ac:dyDescent="0.35">
      <c r="A892" s="40">
        <f t="shared" si="13"/>
        <v>891</v>
      </c>
      <c r="B892" s="41"/>
      <c r="C892" s="42"/>
      <c r="D892" s="42"/>
      <c r="E892" s="43"/>
      <c r="F892" s="43"/>
      <c r="G892" s="43"/>
      <c r="H892" s="44"/>
      <c r="I892" s="44"/>
      <c r="J892" s="43"/>
      <c r="K892" s="43"/>
      <c r="L892" s="43"/>
      <c r="M892" s="43"/>
      <c r="N892" s="43"/>
      <c r="O892" s="43"/>
      <c r="P892" s="43"/>
      <c r="Q892" s="43"/>
      <c r="R892" s="43"/>
    </row>
    <row r="893" spans="1:18" x14ac:dyDescent="0.35">
      <c r="A893" s="40">
        <f t="shared" si="13"/>
        <v>892</v>
      </c>
      <c r="B893" s="41"/>
      <c r="C893" s="42"/>
      <c r="D893" s="42"/>
      <c r="E893" s="43"/>
      <c r="F893" s="43"/>
      <c r="G893" s="43"/>
      <c r="H893" s="44"/>
      <c r="I893" s="44"/>
      <c r="J893" s="43"/>
      <c r="K893" s="43"/>
      <c r="L893" s="43"/>
      <c r="M893" s="41"/>
      <c r="N893" s="43"/>
      <c r="O893" s="43"/>
      <c r="P893" s="43"/>
      <c r="Q893" s="43"/>
      <c r="R893" s="43"/>
    </row>
    <row r="894" spans="1:18" x14ac:dyDescent="0.35">
      <c r="A894" s="40">
        <f t="shared" si="13"/>
        <v>893</v>
      </c>
      <c r="B894" s="41"/>
      <c r="C894" s="42"/>
      <c r="D894" s="42"/>
      <c r="E894" s="43"/>
      <c r="F894" s="43"/>
      <c r="G894" s="43"/>
      <c r="H894" s="44"/>
      <c r="I894" s="44"/>
      <c r="J894" s="43"/>
      <c r="K894" s="43"/>
      <c r="L894" s="43"/>
      <c r="M894" s="41"/>
      <c r="N894" s="43"/>
      <c r="O894" s="43"/>
      <c r="P894" s="43"/>
      <c r="Q894" s="43"/>
      <c r="R894" s="43"/>
    </row>
    <row r="895" spans="1:18" x14ac:dyDescent="0.35">
      <c r="A895" s="40">
        <f t="shared" si="13"/>
        <v>894</v>
      </c>
      <c r="B895" s="41"/>
      <c r="C895" s="42"/>
      <c r="D895" s="42"/>
      <c r="E895" s="43"/>
      <c r="F895" s="43"/>
      <c r="G895" s="43"/>
      <c r="H895" s="44"/>
      <c r="I895" s="44"/>
      <c r="J895" s="43"/>
      <c r="K895" s="43"/>
      <c r="L895" s="43"/>
      <c r="M895" s="41"/>
      <c r="N895" s="43"/>
      <c r="O895" s="43"/>
      <c r="P895" s="43"/>
      <c r="Q895" s="43"/>
      <c r="R895" s="43"/>
    </row>
    <row r="896" spans="1:18" x14ac:dyDescent="0.35">
      <c r="A896" s="40">
        <f t="shared" si="13"/>
        <v>895</v>
      </c>
      <c r="B896" s="41"/>
      <c r="C896" s="42"/>
      <c r="D896" s="42"/>
      <c r="E896" s="43"/>
      <c r="F896" s="43"/>
      <c r="G896" s="43"/>
      <c r="H896" s="44"/>
      <c r="I896" s="44"/>
      <c r="J896" s="43"/>
      <c r="K896" s="43"/>
      <c r="L896" s="43"/>
      <c r="M896" s="41"/>
      <c r="N896" s="43"/>
      <c r="O896" s="43"/>
      <c r="P896" s="43"/>
      <c r="Q896" s="43"/>
      <c r="R896" s="43"/>
    </row>
    <row r="897" spans="1:18" x14ac:dyDescent="0.35">
      <c r="A897" s="40">
        <f t="shared" si="13"/>
        <v>896</v>
      </c>
      <c r="B897" s="41"/>
      <c r="C897" s="42"/>
      <c r="D897" s="42"/>
      <c r="E897" s="43"/>
      <c r="F897" s="43"/>
      <c r="G897" s="43"/>
      <c r="H897" s="44"/>
      <c r="I897" s="44"/>
      <c r="J897" s="43"/>
      <c r="K897" s="43"/>
      <c r="L897" s="43"/>
      <c r="M897" s="41"/>
      <c r="N897" s="43"/>
      <c r="O897" s="43"/>
      <c r="P897" s="43"/>
      <c r="Q897" s="43"/>
      <c r="R897" s="43"/>
    </row>
    <row r="898" spans="1:18" x14ac:dyDescent="0.35">
      <c r="A898" s="40">
        <f t="shared" ref="A898:A961" si="14">ROW()-1</f>
        <v>897</v>
      </c>
      <c r="B898" s="41"/>
      <c r="C898" s="42"/>
      <c r="D898" s="42"/>
      <c r="E898" s="43"/>
      <c r="F898" s="43"/>
      <c r="G898" s="43"/>
      <c r="H898" s="44"/>
      <c r="I898" s="44"/>
      <c r="J898" s="43"/>
      <c r="K898" s="43"/>
      <c r="L898" s="43"/>
      <c r="M898" s="41"/>
      <c r="N898" s="43"/>
      <c r="O898" s="43"/>
      <c r="P898" s="43"/>
      <c r="Q898" s="43"/>
      <c r="R898" s="43"/>
    </row>
    <row r="899" spans="1:18" x14ac:dyDescent="0.35">
      <c r="A899" s="40">
        <f t="shared" si="14"/>
        <v>898</v>
      </c>
      <c r="B899" s="41"/>
      <c r="C899" s="42"/>
      <c r="D899" s="42"/>
      <c r="E899" s="43"/>
      <c r="F899" s="43"/>
      <c r="G899" s="43"/>
      <c r="H899" s="44"/>
      <c r="I899" s="49"/>
      <c r="J899" s="43"/>
      <c r="K899" s="43"/>
      <c r="L899" s="43"/>
      <c r="M899" s="41"/>
      <c r="N899" s="43"/>
      <c r="O899" s="43"/>
      <c r="P899" s="43"/>
      <c r="Q899" s="43"/>
      <c r="R899" s="43"/>
    </row>
    <row r="900" spans="1:18" x14ac:dyDescent="0.35">
      <c r="A900" s="40">
        <f t="shared" si="14"/>
        <v>899</v>
      </c>
      <c r="B900" s="41"/>
      <c r="C900" s="42"/>
      <c r="D900" s="42"/>
      <c r="E900" s="43"/>
      <c r="F900" s="43"/>
      <c r="G900" s="43"/>
      <c r="H900" s="44"/>
      <c r="I900" s="44"/>
      <c r="J900" s="43"/>
      <c r="K900" s="43"/>
      <c r="L900" s="43"/>
      <c r="M900" s="41"/>
      <c r="N900" s="43"/>
      <c r="O900" s="43"/>
      <c r="P900" s="43"/>
      <c r="Q900" s="43"/>
      <c r="R900" s="43"/>
    </row>
    <row r="901" spans="1:18" x14ac:dyDescent="0.35">
      <c r="A901" s="40">
        <f t="shared" si="14"/>
        <v>900</v>
      </c>
      <c r="B901" s="41"/>
      <c r="C901" s="42"/>
      <c r="D901" s="42"/>
      <c r="E901" s="43"/>
      <c r="F901" s="43"/>
      <c r="G901" s="43"/>
      <c r="H901" s="44"/>
      <c r="I901" s="44"/>
      <c r="J901" s="43"/>
      <c r="K901" s="43"/>
      <c r="L901" s="43"/>
      <c r="M901" s="41"/>
      <c r="N901" s="43"/>
      <c r="O901" s="43"/>
      <c r="P901" s="43"/>
      <c r="Q901" s="43"/>
      <c r="R901" s="43"/>
    </row>
    <row r="902" spans="1:18" x14ac:dyDescent="0.35">
      <c r="A902" s="40">
        <f t="shared" si="14"/>
        <v>901</v>
      </c>
      <c r="B902" s="41"/>
      <c r="C902" s="42"/>
      <c r="D902" s="42"/>
      <c r="E902" s="43"/>
      <c r="F902" s="43"/>
      <c r="G902" s="43"/>
      <c r="H902" s="44"/>
      <c r="I902" s="44"/>
      <c r="J902" s="43"/>
      <c r="K902" s="43"/>
      <c r="L902" s="43"/>
      <c r="M902" s="41"/>
      <c r="N902" s="43"/>
      <c r="O902" s="43"/>
      <c r="P902" s="43"/>
      <c r="Q902" s="43"/>
      <c r="R902" s="43"/>
    </row>
    <row r="903" spans="1:18" x14ac:dyDescent="0.35">
      <c r="A903" s="40">
        <f t="shared" si="14"/>
        <v>902</v>
      </c>
      <c r="B903" s="41"/>
      <c r="C903" s="42"/>
      <c r="D903" s="42"/>
      <c r="E903" s="43"/>
      <c r="F903" s="43"/>
      <c r="G903" s="43"/>
      <c r="H903" s="44"/>
      <c r="I903" s="49"/>
      <c r="J903" s="43"/>
      <c r="K903" s="52"/>
      <c r="L903" s="43"/>
      <c r="M903" s="41"/>
      <c r="N903" s="43"/>
      <c r="O903" s="43"/>
      <c r="P903" s="43"/>
      <c r="Q903" s="43"/>
      <c r="R903" s="43"/>
    </row>
    <row r="904" spans="1:18" x14ac:dyDescent="0.35">
      <c r="A904" s="40">
        <f t="shared" si="14"/>
        <v>903</v>
      </c>
      <c r="B904" s="41"/>
      <c r="C904" s="42"/>
      <c r="D904" s="42"/>
      <c r="E904" s="43"/>
      <c r="F904" s="43"/>
      <c r="G904" s="43"/>
      <c r="H904" s="44"/>
      <c r="I904" s="44"/>
      <c r="J904" s="43"/>
      <c r="K904" s="52"/>
      <c r="L904" s="43"/>
      <c r="M904" s="41"/>
      <c r="N904" s="43"/>
      <c r="O904" s="43"/>
      <c r="P904" s="43"/>
      <c r="Q904" s="43"/>
      <c r="R904" s="43"/>
    </row>
    <row r="905" spans="1:18" x14ac:dyDescent="0.35">
      <c r="A905" s="40">
        <f t="shared" si="14"/>
        <v>904</v>
      </c>
      <c r="B905" s="41"/>
      <c r="C905" s="42"/>
      <c r="D905" s="42"/>
      <c r="E905" s="43"/>
      <c r="F905" s="43"/>
      <c r="G905" s="43"/>
      <c r="H905" s="44"/>
      <c r="I905" s="44"/>
      <c r="J905" s="43"/>
      <c r="K905" s="43"/>
      <c r="L905" s="43"/>
      <c r="M905" s="41"/>
      <c r="N905" s="43"/>
      <c r="O905" s="43"/>
      <c r="P905" s="43"/>
      <c r="Q905" s="43"/>
      <c r="R905" s="43"/>
    </row>
    <row r="906" spans="1:18" x14ac:dyDescent="0.35">
      <c r="A906" s="40">
        <f t="shared" si="14"/>
        <v>905</v>
      </c>
      <c r="B906" s="41"/>
      <c r="C906" s="42"/>
      <c r="D906" s="42"/>
      <c r="E906" s="43"/>
      <c r="F906" s="43"/>
      <c r="G906" s="43"/>
      <c r="H906" s="44"/>
      <c r="I906" s="44"/>
      <c r="J906" s="43"/>
      <c r="K906" s="43"/>
      <c r="L906" s="43"/>
      <c r="M906" s="41"/>
      <c r="N906" s="43"/>
      <c r="O906" s="43"/>
      <c r="P906" s="43"/>
      <c r="Q906" s="43"/>
      <c r="R906" s="43"/>
    </row>
    <row r="907" spans="1:18" x14ac:dyDescent="0.35">
      <c r="A907" s="40">
        <f t="shared" si="14"/>
        <v>906</v>
      </c>
      <c r="B907" s="41"/>
      <c r="C907" s="42"/>
      <c r="D907" s="42"/>
      <c r="E907" s="43"/>
      <c r="F907" s="43"/>
      <c r="G907" s="43"/>
      <c r="H907" s="44"/>
      <c r="I907" s="44"/>
      <c r="J907" s="43"/>
      <c r="K907" s="43"/>
      <c r="L907" s="43"/>
      <c r="M907" s="41"/>
      <c r="N907" s="43"/>
      <c r="O907" s="43"/>
      <c r="P907" s="43"/>
      <c r="Q907" s="43"/>
      <c r="R907" s="43"/>
    </row>
    <row r="908" spans="1:18" x14ac:dyDescent="0.35">
      <c r="A908" s="40">
        <f t="shared" si="14"/>
        <v>907</v>
      </c>
      <c r="B908" s="41"/>
      <c r="C908" s="42"/>
      <c r="D908" s="42"/>
      <c r="E908" s="43"/>
      <c r="F908" s="43"/>
      <c r="G908" s="43"/>
      <c r="H908" s="44"/>
      <c r="I908" s="44"/>
      <c r="J908" s="43"/>
      <c r="K908" s="43"/>
      <c r="L908" s="43"/>
      <c r="M908" s="41"/>
      <c r="N908" s="43"/>
      <c r="O908" s="43"/>
      <c r="P908" s="43"/>
      <c r="Q908" s="43"/>
      <c r="R908" s="43"/>
    </row>
    <row r="909" spans="1:18" x14ac:dyDescent="0.35">
      <c r="A909" s="40">
        <f t="shared" si="14"/>
        <v>908</v>
      </c>
      <c r="B909" s="41"/>
      <c r="C909" s="42"/>
      <c r="D909" s="42"/>
      <c r="E909" s="43"/>
      <c r="F909" s="43"/>
      <c r="G909" s="43"/>
      <c r="H909" s="44"/>
      <c r="I909" s="44"/>
      <c r="J909" s="43"/>
      <c r="K909" s="43"/>
      <c r="L909" s="43"/>
      <c r="M909" s="41"/>
      <c r="N909" s="43"/>
      <c r="O909" s="43"/>
      <c r="P909" s="43"/>
      <c r="Q909" s="43"/>
      <c r="R909" s="43"/>
    </row>
    <row r="910" spans="1:18" x14ac:dyDescent="0.35">
      <c r="A910" s="40">
        <f t="shared" si="14"/>
        <v>909</v>
      </c>
      <c r="B910" s="41"/>
      <c r="C910" s="42"/>
      <c r="D910" s="42"/>
      <c r="E910" s="43"/>
      <c r="F910" s="43"/>
      <c r="G910" s="43"/>
      <c r="H910" s="44"/>
      <c r="I910" s="44"/>
      <c r="J910" s="43"/>
      <c r="K910" s="43"/>
      <c r="L910" s="43"/>
      <c r="M910" s="41"/>
      <c r="N910" s="43"/>
      <c r="O910" s="43"/>
      <c r="P910" s="43"/>
      <c r="Q910" s="43"/>
      <c r="R910" s="43"/>
    </row>
    <row r="911" spans="1:18" x14ac:dyDescent="0.35">
      <c r="A911" s="40">
        <f t="shared" si="14"/>
        <v>910</v>
      </c>
      <c r="B911" s="41"/>
      <c r="C911" s="42"/>
      <c r="D911" s="42"/>
      <c r="E911" s="43"/>
      <c r="F911" s="43"/>
      <c r="G911" s="43"/>
      <c r="H911" s="44"/>
      <c r="I911" s="44"/>
      <c r="J911" s="43"/>
      <c r="K911" s="43"/>
      <c r="L911" s="43"/>
      <c r="M911" s="41"/>
      <c r="N911" s="43"/>
      <c r="O911" s="43"/>
      <c r="P911" s="43"/>
      <c r="Q911" s="43"/>
      <c r="R911" s="43"/>
    </row>
    <row r="912" spans="1:18" x14ac:dyDescent="0.35">
      <c r="A912" s="40">
        <f t="shared" si="14"/>
        <v>911</v>
      </c>
      <c r="B912" s="41"/>
      <c r="C912" s="42"/>
      <c r="D912" s="42"/>
      <c r="E912" s="43"/>
      <c r="F912" s="43"/>
      <c r="G912" s="43"/>
      <c r="H912" s="44"/>
      <c r="I912" s="44"/>
      <c r="J912" s="43"/>
      <c r="K912" s="43"/>
      <c r="L912" s="43"/>
      <c r="M912" s="41"/>
      <c r="N912" s="43"/>
      <c r="O912" s="43"/>
      <c r="P912" s="43"/>
      <c r="Q912" s="43"/>
      <c r="R912" s="43"/>
    </row>
    <row r="913" spans="1:18" x14ac:dyDescent="0.35">
      <c r="A913" s="40">
        <f t="shared" si="14"/>
        <v>912</v>
      </c>
      <c r="B913" s="41"/>
      <c r="C913" s="42"/>
      <c r="D913" s="42"/>
      <c r="E913" s="43"/>
      <c r="F913" s="43"/>
      <c r="G913" s="43"/>
      <c r="H913" s="44"/>
      <c r="I913" s="44"/>
      <c r="J913" s="43"/>
      <c r="K913" s="43"/>
      <c r="L913" s="43"/>
      <c r="M913" s="41"/>
      <c r="N913" s="43"/>
      <c r="O913" s="43"/>
      <c r="P913" s="43"/>
      <c r="Q913" s="43"/>
      <c r="R913" s="43"/>
    </row>
    <row r="914" spans="1:18" x14ac:dyDescent="0.35">
      <c r="A914" s="40">
        <f t="shared" si="14"/>
        <v>913</v>
      </c>
      <c r="B914" s="41"/>
      <c r="C914" s="42"/>
      <c r="D914" s="42"/>
      <c r="E914" s="43"/>
      <c r="F914" s="43"/>
      <c r="G914" s="43"/>
      <c r="H914" s="44"/>
      <c r="I914" s="44"/>
      <c r="J914" s="43"/>
      <c r="K914" s="43"/>
      <c r="L914" s="43"/>
      <c r="M914" s="41"/>
      <c r="N914" s="43"/>
      <c r="O914" s="43"/>
      <c r="P914" s="43"/>
      <c r="Q914" s="43"/>
      <c r="R914" s="43"/>
    </row>
    <row r="915" spans="1:18" x14ac:dyDescent="0.35">
      <c r="A915" s="40">
        <f t="shared" si="14"/>
        <v>914</v>
      </c>
      <c r="B915" s="41"/>
      <c r="C915" s="42"/>
      <c r="D915" s="42"/>
      <c r="E915" s="43"/>
      <c r="F915" s="43"/>
      <c r="G915" s="43"/>
      <c r="H915" s="44"/>
      <c r="I915" s="44"/>
      <c r="J915" s="43"/>
      <c r="K915" s="43"/>
      <c r="L915" s="43"/>
      <c r="M915" s="41"/>
      <c r="N915" s="43"/>
      <c r="O915" s="43"/>
      <c r="P915" s="43"/>
      <c r="Q915" s="45"/>
      <c r="R915" s="43"/>
    </row>
    <row r="916" spans="1:18" x14ac:dyDescent="0.35">
      <c r="A916" s="40">
        <f t="shared" si="14"/>
        <v>915</v>
      </c>
      <c r="B916" s="41"/>
      <c r="C916" s="42"/>
      <c r="D916" s="42"/>
      <c r="E916" s="43"/>
      <c r="F916" s="43"/>
      <c r="G916" s="43"/>
      <c r="H916" s="44"/>
      <c r="I916" s="44"/>
      <c r="J916" s="43"/>
      <c r="K916" s="43"/>
      <c r="L916" s="43"/>
      <c r="M916" s="41"/>
      <c r="N916" s="43"/>
      <c r="O916" s="43"/>
      <c r="P916" s="43"/>
      <c r="Q916" s="43"/>
      <c r="R916" s="43"/>
    </row>
    <row r="917" spans="1:18" x14ac:dyDescent="0.35">
      <c r="A917" s="40">
        <f t="shared" si="14"/>
        <v>916</v>
      </c>
      <c r="B917" s="41"/>
      <c r="C917" s="42"/>
      <c r="D917" s="42"/>
      <c r="E917" s="43"/>
      <c r="F917" s="43"/>
      <c r="G917" s="43"/>
      <c r="H917" s="44"/>
      <c r="I917" s="50"/>
      <c r="J917" s="43"/>
      <c r="K917" s="43"/>
      <c r="L917" s="43"/>
      <c r="M917" s="41"/>
      <c r="N917" s="43"/>
      <c r="O917" s="43"/>
      <c r="P917" s="43"/>
      <c r="Q917" s="43"/>
      <c r="R917" s="43"/>
    </row>
    <row r="918" spans="1:18" x14ac:dyDescent="0.35">
      <c r="A918" s="40">
        <f t="shared" si="14"/>
        <v>917</v>
      </c>
      <c r="B918" s="41"/>
      <c r="C918" s="42"/>
      <c r="D918" s="42"/>
      <c r="E918" s="43"/>
      <c r="F918" s="43"/>
      <c r="G918" s="43"/>
      <c r="H918" s="44"/>
      <c r="I918" s="49"/>
      <c r="J918" s="43"/>
      <c r="K918" s="43"/>
      <c r="L918" s="43"/>
      <c r="M918" s="43"/>
      <c r="N918" s="43"/>
      <c r="O918" s="43"/>
      <c r="P918" s="43"/>
      <c r="Q918" s="43"/>
      <c r="R918" s="43"/>
    </row>
    <row r="919" spans="1:18" x14ac:dyDescent="0.35">
      <c r="A919" s="40">
        <f t="shared" si="14"/>
        <v>918</v>
      </c>
      <c r="B919" s="41"/>
      <c r="C919" s="42"/>
      <c r="D919" s="42"/>
      <c r="E919" s="43"/>
      <c r="F919" s="43"/>
      <c r="G919" s="43"/>
      <c r="H919" s="44"/>
      <c r="I919" s="49"/>
      <c r="J919" s="43"/>
      <c r="K919" s="43"/>
      <c r="L919" s="43"/>
      <c r="M919" s="41"/>
      <c r="N919" s="43"/>
      <c r="O919" s="43"/>
      <c r="P919" s="43"/>
      <c r="Q919" s="43"/>
      <c r="R919" s="43"/>
    </row>
    <row r="920" spans="1:18" x14ac:dyDescent="0.35">
      <c r="A920" s="40">
        <f t="shared" si="14"/>
        <v>919</v>
      </c>
      <c r="B920" s="41"/>
      <c r="C920" s="42"/>
      <c r="D920" s="42"/>
      <c r="E920" s="43"/>
      <c r="F920" s="43"/>
      <c r="G920" s="43"/>
      <c r="H920" s="44"/>
      <c r="I920" s="50"/>
      <c r="J920" s="43"/>
      <c r="K920" s="43"/>
      <c r="L920" s="43"/>
      <c r="M920" s="41"/>
      <c r="N920" s="43"/>
      <c r="O920" s="43"/>
      <c r="P920" s="43"/>
      <c r="Q920" s="43"/>
      <c r="R920" s="43"/>
    </row>
    <row r="921" spans="1:18" x14ac:dyDescent="0.35">
      <c r="A921" s="40">
        <f t="shared" si="14"/>
        <v>920</v>
      </c>
      <c r="B921" s="41"/>
      <c r="C921" s="42"/>
      <c r="D921" s="42"/>
      <c r="E921" s="43"/>
      <c r="F921" s="43"/>
      <c r="G921" s="43"/>
      <c r="H921" s="44"/>
      <c r="I921" s="44"/>
      <c r="J921" s="43"/>
      <c r="K921" s="43"/>
      <c r="L921" s="43"/>
      <c r="M921" s="41"/>
      <c r="N921" s="43"/>
      <c r="O921" s="43"/>
      <c r="P921" s="43"/>
      <c r="Q921" s="43"/>
      <c r="R921" s="43"/>
    </row>
    <row r="922" spans="1:18" x14ac:dyDescent="0.35">
      <c r="A922" s="40">
        <f t="shared" si="14"/>
        <v>921</v>
      </c>
      <c r="B922" s="41"/>
      <c r="C922" s="42"/>
      <c r="D922" s="42"/>
      <c r="E922" s="43"/>
      <c r="F922" s="43"/>
      <c r="G922" s="43"/>
      <c r="H922" s="44"/>
      <c r="I922" s="50"/>
      <c r="J922" s="43"/>
      <c r="K922" s="43"/>
      <c r="L922" s="43"/>
      <c r="M922" s="43"/>
      <c r="N922" s="43"/>
      <c r="O922" s="43"/>
      <c r="P922" s="43"/>
      <c r="Q922" s="43"/>
      <c r="R922" s="43"/>
    </row>
    <row r="923" spans="1:18" x14ac:dyDescent="0.35">
      <c r="A923" s="40">
        <f t="shared" si="14"/>
        <v>922</v>
      </c>
      <c r="B923" s="41"/>
      <c r="C923" s="42"/>
      <c r="D923" s="42"/>
      <c r="E923" s="43"/>
      <c r="F923" s="43"/>
      <c r="G923" s="43"/>
      <c r="H923" s="44"/>
      <c r="I923" s="44"/>
      <c r="J923" s="43"/>
      <c r="K923" s="43"/>
      <c r="L923" s="43"/>
      <c r="M923" s="43"/>
      <c r="N923" s="43"/>
      <c r="O923" s="43"/>
      <c r="P923" s="43"/>
      <c r="Q923" s="43"/>
      <c r="R923" s="43"/>
    </row>
    <row r="924" spans="1:18" x14ac:dyDescent="0.35">
      <c r="A924" s="40">
        <f t="shared" si="14"/>
        <v>923</v>
      </c>
      <c r="B924" s="41"/>
      <c r="C924" s="42"/>
      <c r="D924" s="42"/>
      <c r="E924" s="43"/>
      <c r="F924" s="43"/>
      <c r="G924" s="43"/>
      <c r="H924" s="44"/>
      <c r="I924" s="44"/>
      <c r="J924" s="43"/>
      <c r="K924" s="43"/>
      <c r="L924" s="43"/>
      <c r="M924" s="41"/>
      <c r="N924" s="43"/>
      <c r="O924" s="43"/>
      <c r="P924" s="43"/>
      <c r="Q924" s="43"/>
      <c r="R924" s="43"/>
    </row>
    <row r="925" spans="1:18" x14ac:dyDescent="0.35">
      <c r="A925" s="40">
        <f t="shared" si="14"/>
        <v>924</v>
      </c>
      <c r="B925" s="41"/>
      <c r="C925" s="42"/>
      <c r="D925" s="42"/>
      <c r="E925" s="43"/>
      <c r="F925" s="43"/>
      <c r="G925" s="43"/>
      <c r="H925" s="44"/>
      <c r="I925" s="49"/>
      <c r="J925" s="43"/>
      <c r="K925" s="43"/>
      <c r="L925" s="43"/>
      <c r="M925" s="41"/>
      <c r="N925" s="43"/>
      <c r="O925" s="43"/>
      <c r="P925" s="43"/>
      <c r="Q925" s="43"/>
      <c r="R925" s="43"/>
    </row>
    <row r="926" spans="1:18" x14ac:dyDescent="0.35">
      <c r="A926" s="40">
        <f t="shared" si="14"/>
        <v>925</v>
      </c>
      <c r="B926" s="41"/>
      <c r="C926" s="42"/>
      <c r="D926" s="42"/>
      <c r="E926" s="43"/>
      <c r="F926" s="43"/>
      <c r="G926" s="43"/>
      <c r="H926" s="44"/>
      <c r="I926" s="44"/>
      <c r="J926" s="43"/>
      <c r="K926" s="43"/>
      <c r="L926" s="43"/>
      <c r="M926" s="43"/>
      <c r="N926" s="43"/>
      <c r="O926" s="43"/>
      <c r="P926" s="43"/>
      <c r="Q926" s="43"/>
      <c r="R926" s="43"/>
    </row>
    <row r="927" spans="1:18" x14ac:dyDescent="0.35">
      <c r="A927" s="40">
        <f t="shared" si="14"/>
        <v>926</v>
      </c>
      <c r="B927" s="41"/>
      <c r="C927" s="42"/>
      <c r="D927" s="42"/>
      <c r="E927" s="43"/>
      <c r="F927" s="43"/>
      <c r="G927" s="43"/>
      <c r="H927" s="44"/>
      <c r="I927" s="44"/>
      <c r="J927" s="43"/>
      <c r="K927" s="43"/>
      <c r="L927" s="43"/>
      <c r="M927" s="43"/>
      <c r="N927" s="43"/>
      <c r="O927" s="43"/>
      <c r="P927" s="43"/>
      <c r="Q927" s="43"/>
      <c r="R927" s="43"/>
    </row>
    <row r="928" spans="1:18" x14ac:dyDescent="0.35">
      <c r="A928" s="40">
        <f t="shared" si="14"/>
        <v>927</v>
      </c>
      <c r="B928" s="41"/>
      <c r="C928" s="42"/>
      <c r="D928" s="42"/>
      <c r="E928" s="43"/>
      <c r="F928" s="43"/>
      <c r="G928" s="43"/>
      <c r="H928" s="44"/>
      <c r="I928" s="49"/>
      <c r="J928" s="43"/>
      <c r="K928" s="43"/>
      <c r="L928" s="43"/>
      <c r="M928" s="43"/>
      <c r="N928" s="43"/>
      <c r="O928" s="43"/>
      <c r="P928" s="43"/>
      <c r="Q928" s="43"/>
      <c r="R928" s="43"/>
    </row>
    <row r="929" spans="1:18" x14ac:dyDescent="0.35">
      <c r="A929" s="40">
        <f t="shared" si="14"/>
        <v>928</v>
      </c>
      <c r="B929" s="41"/>
      <c r="C929" s="42"/>
      <c r="D929" s="42"/>
      <c r="E929" s="43"/>
      <c r="F929" s="43"/>
      <c r="G929" s="43"/>
      <c r="H929" s="44"/>
      <c r="I929" s="44"/>
      <c r="J929" s="43"/>
      <c r="K929" s="43"/>
      <c r="L929" s="43"/>
      <c r="M929" s="43"/>
      <c r="N929" s="43"/>
      <c r="O929" s="43"/>
      <c r="P929" s="43"/>
      <c r="Q929" s="43"/>
      <c r="R929" s="43"/>
    </row>
    <row r="930" spans="1:18" x14ac:dyDescent="0.35">
      <c r="A930" s="40">
        <f t="shared" si="14"/>
        <v>929</v>
      </c>
      <c r="B930" s="41"/>
      <c r="C930" s="42"/>
      <c r="D930" s="42"/>
      <c r="E930" s="43"/>
      <c r="F930" s="43"/>
      <c r="G930" s="43"/>
      <c r="H930" s="44"/>
      <c r="I930" s="49"/>
      <c r="J930" s="43"/>
      <c r="K930" s="43"/>
      <c r="L930" s="43"/>
      <c r="M930" s="43"/>
      <c r="N930" s="43"/>
      <c r="O930" s="43"/>
      <c r="P930" s="43"/>
      <c r="Q930" s="43"/>
      <c r="R930" s="43"/>
    </row>
    <row r="931" spans="1:18" x14ac:dyDescent="0.35">
      <c r="A931" s="40">
        <f t="shared" si="14"/>
        <v>930</v>
      </c>
      <c r="B931" s="41"/>
      <c r="C931" s="42"/>
      <c r="D931" s="42"/>
      <c r="E931" s="43"/>
      <c r="F931" s="43"/>
      <c r="G931" s="43"/>
      <c r="H931" s="44"/>
      <c r="I931" s="49"/>
      <c r="J931" s="43"/>
      <c r="K931" s="43"/>
      <c r="L931" s="43"/>
      <c r="M931" s="43"/>
      <c r="N931" s="43"/>
      <c r="O931" s="43"/>
      <c r="P931" s="43"/>
      <c r="Q931" s="43"/>
      <c r="R931" s="43"/>
    </row>
    <row r="932" spans="1:18" x14ac:dyDescent="0.35">
      <c r="A932" s="40">
        <f t="shared" si="14"/>
        <v>931</v>
      </c>
      <c r="B932" s="41"/>
      <c r="C932" s="42"/>
      <c r="D932" s="42"/>
      <c r="E932" s="43"/>
      <c r="F932" s="43"/>
      <c r="G932" s="43"/>
      <c r="H932" s="44"/>
      <c r="I932" s="50"/>
      <c r="J932" s="43"/>
      <c r="K932" s="43"/>
      <c r="L932" s="43"/>
      <c r="M932" s="43"/>
      <c r="N932" s="43"/>
      <c r="O932" s="43"/>
      <c r="P932" s="43"/>
      <c r="Q932" s="43"/>
      <c r="R932" s="43"/>
    </row>
    <row r="933" spans="1:18" x14ac:dyDescent="0.35">
      <c r="A933" s="40">
        <f t="shared" si="14"/>
        <v>932</v>
      </c>
      <c r="B933" s="41"/>
      <c r="C933" s="42"/>
      <c r="D933" s="42"/>
      <c r="E933" s="43"/>
      <c r="F933" s="43"/>
      <c r="G933" s="43"/>
      <c r="H933" s="44"/>
      <c r="I933" s="50"/>
      <c r="J933" s="43"/>
      <c r="K933" s="43"/>
      <c r="L933" s="43"/>
      <c r="M933" s="43"/>
      <c r="N933" s="43"/>
      <c r="O933" s="43"/>
      <c r="P933" s="43"/>
      <c r="Q933" s="43"/>
      <c r="R933" s="43"/>
    </row>
    <row r="934" spans="1:18" x14ac:dyDescent="0.35">
      <c r="A934" s="40">
        <f t="shared" si="14"/>
        <v>933</v>
      </c>
      <c r="B934" s="41"/>
      <c r="C934" s="42"/>
      <c r="D934" s="42"/>
      <c r="E934" s="43"/>
      <c r="F934" s="43"/>
      <c r="G934" s="43"/>
      <c r="H934" s="44"/>
      <c r="I934" s="44"/>
      <c r="J934" s="43"/>
      <c r="K934" s="43"/>
      <c r="L934" s="43"/>
      <c r="M934" s="43"/>
      <c r="N934" s="43"/>
      <c r="O934" s="43"/>
      <c r="P934" s="43"/>
      <c r="Q934" s="43"/>
      <c r="R934" s="43"/>
    </row>
    <row r="935" spans="1:18" x14ac:dyDescent="0.35">
      <c r="A935" s="40">
        <f t="shared" si="14"/>
        <v>934</v>
      </c>
      <c r="B935" s="41"/>
      <c r="C935" s="42"/>
      <c r="D935" s="42"/>
      <c r="E935" s="43"/>
      <c r="F935" s="43"/>
      <c r="G935" s="43"/>
      <c r="H935" s="44"/>
      <c r="I935" s="44"/>
      <c r="J935" s="43"/>
      <c r="K935" s="43"/>
      <c r="L935" s="43"/>
      <c r="M935" s="43"/>
      <c r="N935" s="43"/>
      <c r="O935" s="43"/>
      <c r="P935" s="43"/>
      <c r="Q935" s="43"/>
      <c r="R935" s="43"/>
    </row>
    <row r="936" spans="1:18" x14ac:dyDescent="0.35">
      <c r="A936" s="40">
        <f t="shared" si="14"/>
        <v>935</v>
      </c>
      <c r="B936" s="41"/>
      <c r="C936" s="42"/>
      <c r="D936" s="42"/>
      <c r="E936" s="43"/>
      <c r="F936" s="43"/>
      <c r="G936" s="43"/>
      <c r="H936" s="44"/>
      <c r="I936" s="44"/>
      <c r="J936" s="43"/>
      <c r="K936" s="43"/>
      <c r="L936" s="43"/>
      <c r="M936" s="43"/>
      <c r="N936" s="43"/>
      <c r="O936" s="43"/>
      <c r="P936" s="43"/>
      <c r="Q936" s="43"/>
      <c r="R936" s="43"/>
    </row>
    <row r="937" spans="1:18" x14ac:dyDescent="0.35">
      <c r="A937" s="40">
        <f t="shared" si="14"/>
        <v>936</v>
      </c>
      <c r="B937" s="41"/>
      <c r="C937" s="42"/>
      <c r="D937" s="42"/>
      <c r="E937" s="43"/>
      <c r="F937" s="43"/>
      <c r="G937" s="43"/>
      <c r="H937" s="44"/>
      <c r="I937" s="44"/>
      <c r="J937" s="43"/>
      <c r="K937" s="43"/>
      <c r="L937" s="43"/>
      <c r="M937" s="43"/>
      <c r="N937" s="43"/>
      <c r="O937" s="43"/>
      <c r="P937" s="43"/>
      <c r="Q937" s="43"/>
      <c r="R937" s="43"/>
    </row>
    <row r="938" spans="1:18" x14ac:dyDescent="0.35">
      <c r="A938" s="40">
        <f t="shared" si="14"/>
        <v>937</v>
      </c>
      <c r="B938" s="41"/>
      <c r="C938" s="42"/>
      <c r="D938" s="42"/>
      <c r="E938" s="43"/>
      <c r="F938" s="43"/>
      <c r="G938" s="43"/>
      <c r="H938" s="44"/>
      <c r="I938" s="49"/>
      <c r="J938" s="43"/>
      <c r="K938" s="43"/>
      <c r="L938" s="43"/>
      <c r="M938" s="43"/>
      <c r="N938" s="43"/>
      <c r="O938" s="43"/>
      <c r="P938" s="43"/>
      <c r="Q938" s="43"/>
      <c r="R938" s="43"/>
    </row>
    <row r="939" spans="1:18" x14ac:dyDescent="0.35">
      <c r="A939" s="40">
        <f t="shared" si="14"/>
        <v>938</v>
      </c>
      <c r="B939" s="41"/>
      <c r="C939" s="42"/>
      <c r="D939" s="42"/>
      <c r="E939" s="43"/>
      <c r="F939" s="43"/>
      <c r="G939" s="43"/>
      <c r="H939" s="44"/>
      <c r="I939" s="49"/>
      <c r="J939" s="43"/>
      <c r="K939" s="43"/>
      <c r="L939" s="43"/>
      <c r="M939" s="43"/>
      <c r="N939" s="43"/>
      <c r="O939" s="43"/>
      <c r="P939" s="43"/>
      <c r="Q939" s="43"/>
      <c r="R939" s="43"/>
    </row>
    <row r="940" spans="1:18" x14ac:dyDescent="0.35">
      <c r="A940" s="40">
        <f t="shared" si="14"/>
        <v>939</v>
      </c>
      <c r="B940" s="41"/>
      <c r="C940" s="42"/>
      <c r="D940" s="42"/>
      <c r="E940" s="43"/>
      <c r="F940" s="43"/>
      <c r="G940" s="43"/>
      <c r="H940" s="44"/>
      <c r="I940" s="44"/>
      <c r="J940" s="43"/>
      <c r="K940" s="43"/>
      <c r="L940" s="43"/>
      <c r="M940" s="43"/>
      <c r="N940" s="43"/>
      <c r="O940" s="43"/>
      <c r="P940" s="43"/>
      <c r="Q940" s="43"/>
      <c r="R940" s="43"/>
    </row>
    <row r="941" spans="1:18" x14ac:dyDescent="0.35">
      <c r="A941" s="40">
        <f t="shared" si="14"/>
        <v>940</v>
      </c>
      <c r="B941" s="41"/>
      <c r="C941" s="42"/>
      <c r="D941" s="42"/>
      <c r="E941" s="43"/>
      <c r="F941" s="43"/>
      <c r="G941" s="43"/>
      <c r="H941" s="44"/>
      <c r="I941" s="50"/>
      <c r="J941" s="43"/>
      <c r="K941" s="43"/>
      <c r="L941" s="43"/>
      <c r="M941" s="43"/>
      <c r="N941" s="43"/>
      <c r="O941" s="43"/>
      <c r="P941" s="43"/>
      <c r="Q941" s="43"/>
      <c r="R941" s="43"/>
    </row>
    <row r="942" spans="1:18" x14ac:dyDescent="0.35">
      <c r="A942" s="40">
        <f t="shared" si="14"/>
        <v>941</v>
      </c>
      <c r="B942" s="41"/>
      <c r="C942" s="42"/>
      <c r="D942" s="42"/>
      <c r="E942" s="43"/>
      <c r="F942" s="43"/>
      <c r="G942" s="43"/>
      <c r="H942" s="44"/>
      <c r="I942" s="50"/>
      <c r="J942" s="43"/>
      <c r="K942" s="43"/>
      <c r="L942" s="43"/>
      <c r="M942" s="43"/>
      <c r="N942" s="43"/>
      <c r="O942" s="43"/>
      <c r="P942" s="43"/>
      <c r="Q942" s="43"/>
      <c r="R942" s="43"/>
    </row>
    <row r="943" spans="1:18" x14ac:dyDescent="0.35">
      <c r="A943" s="40">
        <f t="shared" si="14"/>
        <v>942</v>
      </c>
      <c r="B943" s="41"/>
      <c r="C943" s="42"/>
      <c r="D943" s="42"/>
      <c r="E943" s="43"/>
      <c r="F943" s="43"/>
      <c r="G943" s="43"/>
      <c r="H943" s="44"/>
      <c r="I943" s="50"/>
      <c r="J943" s="43"/>
      <c r="K943" s="43"/>
      <c r="L943" s="43"/>
      <c r="M943" s="43"/>
      <c r="N943" s="43"/>
      <c r="O943" s="43"/>
      <c r="P943" s="43"/>
      <c r="Q943" s="43"/>
      <c r="R943" s="43"/>
    </row>
    <row r="944" spans="1:18" x14ac:dyDescent="0.35">
      <c r="A944" s="40">
        <f t="shared" si="14"/>
        <v>943</v>
      </c>
      <c r="B944" s="41"/>
      <c r="C944" s="42"/>
      <c r="D944" s="42"/>
      <c r="E944" s="43"/>
      <c r="F944" s="43"/>
      <c r="G944" s="43"/>
      <c r="H944" s="44"/>
      <c r="I944" s="49"/>
      <c r="J944" s="43"/>
      <c r="K944" s="43"/>
      <c r="L944" s="43"/>
      <c r="M944" s="43"/>
      <c r="N944" s="43"/>
      <c r="O944" s="43"/>
      <c r="P944" s="43"/>
      <c r="Q944" s="45"/>
      <c r="R944" s="43"/>
    </row>
    <row r="945" spans="1:18" x14ac:dyDescent="0.35">
      <c r="A945" s="40">
        <f t="shared" si="14"/>
        <v>944</v>
      </c>
      <c r="B945" s="41"/>
      <c r="C945" s="42"/>
      <c r="D945" s="42"/>
      <c r="E945" s="43"/>
      <c r="F945" s="43"/>
      <c r="G945" s="43"/>
      <c r="H945" s="44"/>
      <c r="I945" s="44"/>
      <c r="J945" s="43"/>
      <c r="K945" s="43"/>
      <c r="L945" s="43"/>
      <c r="M945" s="43"/>
      <c r="N945" s="43"/>
      <c r="O945" s="43"/>
      <c r="P945" s="43"/>
      <c r="Q945" s="43"/>
      <c r="R945" s="43"/>
    </row>
    <row r="946" spans="1:18" x14ac:dyDescent="0.35">
      <c r="A946" s="40">
        <f t="shared" si="14"/>
        <v>945</v>
      </c>
      <c r="B946" s="41"/>
      <c r="C946" s="42"/>
      <c r="D946" s="42"/>
      <c r="E946" s="43"/>
      <c r="F946" s="43"/>
      <c r="G946" s="43"/>
      <c r="H946" s="44"/>
      <c r="I946" s="50"/>
      <c r="J946" s="43"/>
      <c r="K946" s="43"/>
      <c r="L946" s="43"/>
      <c r="M946" s="43"/>
      <c r="N946" s="43"/>
      <c r="O946" s="43"/>
      <c r="P946" s="43"/>
      <c r="Q946" s="43"/>
      <c r="R946" s="43"/>
    </row>
    <row r="947" spans="1:18" x14ac:dyDescent="0.35">
      <c r="A947" s="40">
        <f t="shared" si="14"/>
        <v>946</v>
      </c>
      <c r="B947" s="41"/>
      <c r="C947" s="42"/>
      <c r="D947" s="42"/>
      <c r="E947" s="43"/>
      <c r="F947" s="43"/>
      <c r="G947" s="43"/>
      <c r="H947" s="44"/>
      <c r="I947" s="49"/>
      <c r="J947" s="43"/>
      <c r="K947" s="43"/>
      <c r="L947" s="43"/>
      <c r="M947" s="41"/>
      <c r="N947" s="43"/>
      <c r="O947" s="43"/>
      <c r="P947" s="43"/>
      <c r="Q947" s="43"/>
      <c r="R947" s="43"/>
    </row>
    <row r="948" spans="1:18" x14ac:dyDescent="0.35">
      <c r="A948" s="40">
        <f t="shared" si="14"/>
        <v>947</v>
      </c>
      <c r="B948" s="41"/>
      <c r="C948" s="42"/>
      <c r="D948" s="42"/>
      <c r="E948" s="43"/>
      <c r="F948" s="43"/>
      <c r="G948" s="43"/>
      <c r="H948" s="44"/>
      <c r="I948" s="49"/>
      <c r="J948" s="43"/>
      <c r="K948" s="43"/>
      <c r="L948" s="43"/>
      <c r="M948" s="41"/>
      <c r="N948" s="43"/>
      <c r="O948" s="43"/>
      <c r="P948" s="43"/>
      <c r="Q948" s="43"/>
      <c r="R948" s="43"/>
    </row>
    <row r="949" spans="1:18" x14ac:dyDescent="0.35">
      <c r="A949" s="40">
        <f t="shared" si="14"/>
        <v>948</v>
      </c>
      <c r="B949" s="41"/>
      <c r="C949" s="42"/>
      <c r="D949" s="42"/>
      <c r="E949" s="43"/>
      <c r="F949" s="43"/>
      <c r="G949" s="43"/>
      <c r="H949" s="44"/>
      <c r="I949" s="49"/>
      <c r="J949" s="43"/>
      <c r="K949" s="43"/>
      <c r="L949" s="43"/>
      <c r="M949" s="41"/>
      <c r="N949" s="43"/>
      <c r="O949" s="43"/>
      <c r="P949" s="43"/>
      <c r="Q949" s="43"/>
      <c r="R949" s="43"/>
    </row>
    <row r="950" spans="1:18" x14ac:dyDescent="0.35">
      <c r="A950" s="40">
        <f t="shared" si="14"/>
        <v>949</v>
      </c>
      <c r="B950" s="41"/>
      <c r="C950" s="42"/>
      <c r="D950" s="42"/>
      <c r="E950" s="43"/>
      <c r="F950" s="43"/>
      <c r="G950" s="43"/>
      <c r="H950" s="44"/>
      <c r="I950" s="50"/>
      <c r="J950" s="43"/>
      <c r="K950" s="43"/>
      <c r="L950" s="43"/>
      <c r="M950" s="41"/>
      <c r="N950" s="43"/>
      <c r="O950" s="43"/>
      <c r="P950" s="43"/>
      <c r="Q950" s="45"/>
      <c r="R950" s="43"/>
    </row>
    <row r="951" spans="1:18" x14ac:dyDescent="0.35">
      <c r="A951" s="40">
        <f t="shared" si="14"/>
        <v>950</v>
      </c>
      <c r="B951" s="41"/>
      <c r="C951" s="42"/>
      <c r="D951" s="42"/>
      <c r="E951" s="43"/>
      <c r="F951" s="43"/>
      <c r="G951" s="43"/>
      <c r="H951" s="44"/>
      <c r="I951" s="50"/>
      <c r="J951" s="43"/>
      <c r="K951" s="43"/>
      <c r="L951" s="43"/>
      <c r="M951" s="41"/>
      <c r="N951" s="43"/>
      <c r="O951" s="43"/>
      <c r="P951" s="43"/>
      <c r="Q951" s="43"/>
      <c r="R951" s="43"/>
    </row>
    <row r="952" spans="1:18" x14ac:dyDescent="0.35">
      <c r="A952" s="40">
        <f t="shared" si="14"/>
        <v>951</v>
      </c>
      <c r="B952" s="41"/>
      <c r="C952" s="42"/>
      <c r="D952" s="42"/>
      <c r="E952" s="43"/>
      <c r="F952" s="43"/>
      <c r="G952" s="43"/>
      <c r="H952" s="44"/>
      <c r="I952" s="49"/>
      <c r="J952" s="43"/>
      <c r="K952" s="43"/>
      <c r="L952" s="43"/>
      <c r="M952" s="43"/>
      <c r="N952" s="41"/>
      <c r="O952" s="43"/>
      <c r="P952" s="43"/>
      <c r="Q952" s="43"/>
      <c r="R952" s="43"/>
    </row>
    <row r="953" spans="1:18" x14ac:dyDescent="0.35">
      <c r="A953" s="40">
        <f t="shared" si="14"/>
        <v>952</v>
      </c>
      <c r="B953" s="41"/>
      <c r="C953" s="42"/>
      <c r="D953" s="42"/>
      <c r="E953" s="43"/>
      <c r="F953" s="43"/>
      <c r="G953" s="43"/>
      <c r="H953" s="44"/>
      <c r="I953" s="49"/>
      <c r="J953" s="43"/>
      <c r="K953" s="43"/>
      <c r="L953" s="43"/>
      <c r="M953" s="41"/>
      <c r="N953" s="43"/>
      <c r="O953" s="43"/>
      <c r="P953" s="43"/>
      <c r="Q953" s="45"/>
      <c r="R953" s="43"/>
    </row>
    <row r="954" spans="1:18" x14ac:dyDescent="0.35">
      <c r="A954" s="40">
        <f t="shared" si="14"/>
        <v>953</v>
      </c>
      <c r="B954" s="41"/>
      <c r="C954" s="42"/>
      <c r="D954" s="42"/>
      <c r="E954" s="43"/>
      <c r="F954" s="43"/>
      <c r="G954" s="43"/>
      <c r="H954" s="44"/>
      <c r="I954" s="44"/>
      <c r="J954" s="43"/>
      <c r="K954" s="43"/>
      <c r="L954" s="43"/>
      <c r="M954" s="43"/>
      <c r="N954" s="41"/>
      <c r="O954" s="43"/>
      <c r="P954" s="43"/>
      <c r="Q954" s="43"/>
      <c r="R954" s="43"/>
    </row>
    <row r="955" spans="1:18" x14ac:dyDescent="0.35">
      <c r="A955" s="40">
        <f t="shared" si="14"/>
        <v>954</v>
      </c>
      <c r="B955" s="41"/>
      <c r="C955" s="42"/>
      <c r="D955" s="42"/>
      <c r="E955" s="43"/>
      <c r="F955" s="43"/>
      <c r="G955" s="43"/>
      <c r="H955" s="44"/>
      <c r="I955" s="44"/>
      <c r="J955" s="43"/>
      <c r="K955" s="43"/>
      <c r="L955" s="43"/>
      <c r="M955" s="43"/>
      <c r="N955" s="41"/>
      <c r="O955" s="43"/>
      <c r="P955" s="43"/>
      <c r="Q955" s="43"/>
      <c r="R955" s="43"/>
    </row>
    <row r="956" spans="1:18" x14ac:dyDescent="0.35">
      <c r="A956" s="40">
        <f t="shared" si="14"/>
        <v>955</v>
      </c>
      <c r="B956" s="41"/>
      <c r="C956" s="42"/>
      <c r="D956" s="42"/>
      <c r="E956" s="43"/>
      <c r="F956" s="43"/>
      <c r="G956" s="43"/>
      <c r="H956" s="44"/>
      <c r="I956" s="44"/>
      <c r="J956" s="43"/>
      <c r="K956" s="43"/>
      <c r="L956" s="43"/>
      <c r="M956" s="43"/>
      <c r="N956" s="43"/>
      <c r="O956" s="43"/>
      <c r="P956" s="43"/>
      <c r="Q956" s="43"/>
      <c r="R956" s="43"/>
    </row>
    <row r="957" spans="1:18" x14ac:dyDescent="0.35">
      <c r="A957" s="40">
        <f t="shared" si="14"/>
        <v>956</v>
      </c>
      <c r="B957" s="41"/>
      <c r="C957" s="42"/>
      <c r="D957" s="42"/>
      <c r="E957" s="43"/>
      <c r="F957" s="43"/>
      <c r="G957" s="43"/>
      <c r="H957" s="44"/>
      <c r="I957" s="44"/>
      <c r="J957" s="43"/>
      <c r="K957" s="43"/>
      <c r="L957" s="43"/>
      <c r="M957" s="43"/>
      <c r="N957" s="43"/>
      <c r="O957" s="43"/>
      <c r="P957" s="43"/>
      <c r="Q957" s="43"/>
      <c r="R957" s="43"/>
    </row>
    <row r="958" spans="1:18" x14ac:dyDescent="0.35">
      <c r="A958" s="40">
        <f t="shared" si="14"/>
        <v>957</v>
      </c>
      <c r="B958" s="41"/>
      <c r="C958" s="42"/>
      <c r="D958" s="42"/>
      <c r="E958" s="43"/>
      <c r="F958" s="43"/>
      <c r="G958" s="43"/>
      <c r="H958" s="44"/>
      <c r="I958" s="49"/>
      <c r="J958" s="43"/>
      <c r="K958" s="43"/>
      <c r="L958" s="43"/>
      <c r="M958" s="43"/>
      <c r="N958" s="43"/>
      <c r="O958" s="43"/>
      <c r="P958" s="43"/>
      <c r="Q958" s="43"/>
      <c r="R958" s="43"/>
    </row>
    <row r="959" spans="1:18" x14ac:dyDescent="0.35">
      <c r="A959" s="40">
        <f t="shared" si="14"/>
        <v>958</v>
      </c>
      <c r="B959" s="41"/>
      <c r="C959" s="42"/>
      <c r="D959" s="42"/>
      <c r="E959" s="43"/>
      <c r="F959" s="43"/>
      <c r="G959" s="43"/>
      <c r="H959" s="44"/>
      <c r="I959" s="44"/>
      <c r="J959" s="43"/>
      <c r="K959" s="43"/>
      <c r="L959" s="43"/>
      <c r="M959" s="43"/>
      <c r="N959" s="43"/>
      <c r="O959" s="43"/>
      <c r="P959" s="43"/>
      <c r="Q959" s="43"/>
      <c r="R959" s="43"/>
    </row>
    <row r="960" spans="1:18" x14ac:dyDescent="0.35">
      <c r="A960" s="40">
        <f t="shared" si="14"/>
        <v>959</v>
      </c>
      <c r="B960" s="41"/>
      <c r="C960" s="42"/>
      <c r="D960" s="42"/>
      <c r="E960" s="43"/>
      <c r="F960" s="43"/>
      <c r="G960" s="43"/>
      <c r="H960" s="44"/>
      <c r="I960" s="49"/>
      <c r="J960" s="43"/>
      <c r="K960" s="43"/>
      <c r="L960" s="43"/>
      <c r="M960" s="43"/>
      <c r="N960" s="43"/>
      <c r="O960" s="43"/>
      <c r="P960" s="43"/>
      <c r="Q960" s="43"/>
      <c r="R960" s="43"/>
    </row>
    <row r="961" spans="1:18" x14ac:dyDescent="0.35">
      <c r="A961" s="40">
        <f t="shared" si="14"/>
        <v>960</v>
      </c>
      <c r="B961" s="41"/>
      <c r="C961" s="42"/>
      <c r="D961" s="42"/>
      <c r="E961" s="43"/>
      <c r="F961" s="43"/>
      <c r="G961" s="43"/>
      <c r="H961" s="44"/>
      <c r="I961" s="49"/>
      <c r="J961" s="43"/>
      <c r="K961" s="43"/>
      <c r="L961" s="43"/>
      <c r="M961" s="43"/>
      <c r="N961" s="43"/>
      <c r="O961" s="43"/>
      <c r="P961" s="43"/>
      <c r="Q961" s="43"/>
      <c r="R961" s="43"/>
    </row>
    <row r="962" spans="1:18" x14ac:dyDescent="0.35">
      <c r="A962" s="40">
        <f t="shared" ref="A962:A1001" si="15">ROW()-1</f>
        <v>961</v>
      </c>
      <c r="B962" s="41"/>
      <c r="C962" s="42"/>
      <c r="D962" s="42"/>
      <c r="E962" s="43"/>
      <c r="F962" s="43"/>
      <c r="G962" s="43"/>
      <c r="H962" s="44"/>
      <c r="I962" s="44"/>
      <c r="J962" s="43"/>
      <c r="K962" s="43"/>
      <c r="L962" s="43"/>
      <c r="M962" s="43"/>
      <c r="N962" s="43"/>
      <c r="O962" s="43"/>
      <c r="P962" s="43"/>
      <c r="Q962" s="43"/>
      <c r="R962" s="43"/>
    </row>
    <row r="963" spans="1:18" x14ac:dyDescent="0.35">
      <c r="A963" s="40">
        <f t="shared" si="15"/>
        <v>962</v>
      </c>
      <c r="B963" s="41"/>
      <c r="C963" s="42"/>
      <c r="D963" s="42"/>
      <c r="E963" s="43"/>
      <c r="F963" s="43"/>
      <c r="G963" s="43"/>
      <c r="H963" s="44"/>
      <c r="I963" s="44"/>
      <c r="J963" s="43"/>
      <c r="K963" s="43"/>
      <c r="L963" s="43"/>
      <c r="M963" s="43"/>
      <c r="N963" s="43"/>
      <c r="O963" s="43"/>
      <c r="P963" s="43"/>
      <c r="Q963" s="43"/>
      <c r="R963" s="43"/>
    </row>
    <row r="964" spans="1:18" x14ac:dyDescent="0.35">
      <c r="A964" s="40">
        <f t="shared" si="15"/>
        <v>963</v>
      </c>
      <c r="B964" s="41"/>
      <c r="C964" s="42"/>
      <c r="D964" s="42"/>
      <c r="E964" s="43"/>
      <c r="F964" s="43"/>
      <c r="G964" s="43"/>
      <c r="H964" s="49"/>
      <c r="I964" s="44"/>
      <c r="J964" s="43"/>
      <c r="K964" s="43"/>
      <c r="L964" s="43"/>
      <c r="M964" s="43"/>
      <c r="N964" s="43"/>
      <c r="O964" s="43"/>
      <c r="P964" s="43"/>
      <c r="Q964" s="43"/>
      <c r="R964" s="43"/>
    </row>
    <row r="965" spans="1:18" x14ac:dyDescent="0.35">
      <c r="A965" s="40">
        <f t="shared" si="15"/>
        <v>964</v>
      </c>
      <c r="B965" s="41"/>
      <c r="C965" s="42"/>
      <c r="D965" s="42"/>
      <c r="E965" s="43"/>
      <c r="F965" s="43"/>
      <c r="G965" s="43"/>
      <c r="H965" s="44"/>
      <c r="I965" s="44"/>
      <c r="J965" s="43"/>
      <c r="K965" s="43"/>
      <c r="L965" s="43"/>
      <c r="M965" s="43"/>
      <c r="N965" s="43"/>
      <c r="O965" s="43"/>
      <c r="P965" s="43"/>
      <c r="Q965" s="43"/>
      <c r="R965" s="43"/>
    </row>
    <row r="966" spans="1:18" x14ac:dyDescent="0.35">
      <c r="A966" s="40">
        <f t="shared" si="15"/>
        <v>965</v>
      </c>
      <c r="B966" s="41"/>
      <c r="C966" s="42"/>
      <c r="D966" s="42"/>
      <c r="E966" s="43"/>
      <c r="F966" s="43"/>
      <c r="G966" s="43"/>
      <c r="H966" s="44"/>
      <c r="I966" s="50"/>
      <c r="J966" s="43"/>
      <c r="K966" s="43"/>
      <c r="L966" s="43"/>
      <c r="M966" s="43"/>
      <c r="N966" s="43"/>
      <c r="O966" s="43"/>
      <c r="P966" s="43"/>
      <c r="Q966" s="43"/>
      <c r="R966" s="43"/>
    </row>
    <row r="967" spans="1:18" x14ac:dyDescent="0.35">
      <c r="A967" s="40">
        <f t="shared" si="15"/>
        <v>966</v>
      </c>
      <c r="B967" s="41"/>
      <c r="C967" s="42"/>
      <c r="D967" s="42"/>
      <c r="E967" s="43"/>
      <c r="F967" s="43"/>
      <c r="G967" s="43"/>
      <c r="H967" s="44"/>
      <c r="I967" s="50"/>
      <c r="J967" s="43"/>
      <c r="K967" s="43"/>
      <c r="L967" s="43"/>
      <c r="M967" s="43"/>
      <c r="N967" s="43"/>
      <c r="O967" s="43"/>
      <c r="P967" s="43"/>
      <c r="Q967" s="43"/>
      <c r="R967" s="43"/>
    </row>
    <row r="968" spans="1:18" x14ac:dyDescent="0.35">
      <c r="A968" s="40">
        <f t="shared" si="15"/>
        <v>967</v>
      </c>
      <c r="B968" s="41"/>
      <c r="C968" s="42"/>
      <c r="D968" s="42"/>
      <c r="E968" s="43"/>
      <c r="F968" s="43"/>
      <c r="G968" s="43"/>
      <c r="H968" s="49"/>
      <c r="I968" s="49"/>
      <c r="J968" s="43"/>
      <c r="K968" s="43"/>
      <c r="L968" s="43"/>
      <c r="M968" s="43"/>
      <c r="N968" s="43"/>
      <c r="O968" s="43"/>
      <c r="P968" s="43"/>
      <c r="Q968" s="43"/>
      <c r="R968" s="43"/>
    </row>
    <row r="969" spans="1:18" x14ac:dyDescent="0.35">
      <c r="A969" s="40">
        <f t="shared" si="15"/>
        <v>968</v>
      </c>
      <c r="B969" s="41"/>
      <c r="C969" s="42"/>
      <c r="D969" s="42"/>
      <c r="E969" s="43"/>
      <c r="F969" s="43"/>
      <c r="G969" s="43"/>
      <c r="H969" s="44"/>
      <c r="I969" s="49"/>
      <c r="J969" s="43"/>
      <c r="K969" s="43"/>
      <c r="L969" s="43"/>
      <c r="M969" s="43"/>
      <c r="N969" s="43"/>
      <c r="O969" s="43"/>
      <c r="P969" s="43"/>
      <c r="Q969" s="43"/>
      <c r="R969" s="43"/>
    </row>
    <row r="970" spans="1:18" x14ac:dyDescent="0.35">
      <c r="A970" s="40">
        <f t="shared" si="15"/>
        <v>969</v>
      </c>
      <c r="B970" s="41"/>
      <c r="C970" s="42"/>
      <c r="D970" s="42"/>
      <c r="E970" s="43"/>
      <c r="F970" s="43"/>
      <c r="G970" s="43"/>
      <c r="H970" s="44"/>
      <c r="I970" s="44"/>
      <c r="J970" s="43"/>
      <c r="K970" s="43"/>
      <c r="L970" s="43"/>
      <c r="M970" s="43"/>
      <c r="N970" s="43"/>
      <c r="O970" s="43"/>
      <c r="P970" s="43"/>
      <c r="Q970" s="43"/>
      <c r="R970" s="43"/>
    </row>
    <row r="971" spans="1:18" x14ac:dyDescent="0.35">
      <c r="A971" s="40">
        <f t="shared" si="15"/>
        <v>970</v>
      </c>
      <c r="B971" s="41"/>
      <c r="C971" s="42"/>
      <c r="D971" s="42"/>
      <c r="E971" s="43"/>
      <c r="F971" s="43"/>
      <c r="G971" s="43"/>
      <c r="H971" s="44"/>
      <c r="I971" s="44"/>
      <c r="J971" s="43"/>
      <c r="K971" s="43"/>
      <c r="L971" s="43"/>
      <c r="M971" s="43"/>
      <c r="N971" s="43"/>
      <c r="O971" s="43"/>
      <c r="P971" s="43"/>
      <c r="Q971" s="43"/>
      <c r="R971" s="43"/>
    </row>
    <row r="972" spans="1:18" x14ac:dyDescent="0.35">
      <c r="A972" s="40">
        <f t="shared" si="15"/>
        <v>971</v>
      </c>
      <c r="B972" s="41"/>
      <c r="C972" s="42"/>
      <c r="D972" s="42"/>
      <c r="E972" s="43"/>
      <c r="F972" s="43"/>
      <c r="G972" s="43"/>
      <c r="H972" s="44"/>
      <c r="I972" s="44"/>
      <c r="J972" s="43"/>
      <c r="K972" s="43"/>
      <c r="L972" s="43"/>
      <c r="M972" s="43"/>
      <c r="N972" s="43"/>
      <c r="O972" s="43"/>
      <c r="P972" s="43"/>
      <c r="Q972" s="43"/>
      <c r="R972" s="43"/>
    </row>
    <row r="973" spans="1:18" x14ac:dyDescent="0.35">
      <c r="A973" s="40">
        <f t="shared" si="15"/>
        <v>972</v>
      </c>
      <c r="B973" s="41"/>
      <c r="C973" s="42"/>
      <c r="D973" s="42"/>
      <c r="E973" s="43"/>
      <c r="F973" s="43"/>
      <c r="G973" s="43"/>
      <c r="H973" s="44"/>
      <c r="I973" s="44"/>
      <c r="J973" s="43"/>
      <c r="K973" s="43"/>
      <c r="L973" s="43"/>
      <c r="M973" s="43"/>
      <c r="N973" s="43"/>
      <c r="O973" s="43"/>
      <c r="P973" s="43"/>
      <c r="Q973" s="43"/>
      <c r="R973" s="43"/>
    </row>
    <row r="974" spans="1:18" x14ac:dyDescent="0.35">
      <c r="A974" s="40">
        <f t="shared" si="15"/>
        <v>973</v>
      </c>
      <c r="B974" s="41"/>
      <c r="C974" s="42"/>
      <c r="D974" s="42"/>
      <c r="E974" s="43"/>
      <c r="F974" s="43"/>
      <c r="G974" s="43"/>
      <c r="H974" s="44"/>
      <c r="I974" s="44"/>
      <c r="J974" s="43"/>
      <c r="K974" s="43"/>
      <c r="L974" s="43"/>
      <c r="M974" s="43"/>
      <c r="N974" s="43"/>
      <c r="O974" s="43"/>
      <c r="P974" s="43"/>
      <c r="Q974" s="43"/>
      <c r="R974" s="43"/>
    </row>
    <row r="975" spans="1:18" x14ac:dyDescent="0.35">
      <c r="A975" s="40">
        <f t="shared" si="15"/>
        <v>974</v>
      </c>
      <c r="B975" s="41"/>
      <c r="C975" s="42"/>
      <c r="D975" s="42"/>
      <c r="E975" s="43"/>
      <c r="F975" s="43"/>
      <c r="G975" s="43"/>
      <c r="H975" s="44"/>
      <c r="I975" s="44"/>
      <c r="J975" s="43"/>
      <c r="K975" s="43"/>
      <c r="L975" s="43"/>
      <c r="M975" s="43"/>
      <c r="N975" s="43"/>
      <c r="O975" s="43"/>
      <c r="P975" s="43"/>
      <c r="Q975" s="43"/>
      <c r="R975" s="43"/>
    </row>
    <row r="976" spans="1:18" x14ac:dyDescent="0.35">
      <c r="A976" s="40">
        <f t="shared" si="15"/>
        <v>975</v>
      </c>
      <c r="B976" s="41"/>
      <c r="C976" s="42"/>
      <c r="D976" s="42"/>
      <c r="E976" s="43"/>
      <c r="F976" s="43"/>
      <c r="G976" s="43"/>
      <c r="H976" s="44"/>
      <c r="I976" s="49"/>
      <c r="J976" s="43"/>
      <c r="K976" s="43"/>
      <c r="L976" s="43"/>
      <c r="M976" s="43"/>
      <c r="N976" s="43"/>
      <c r="O976" s="43"/>
      <c r="P976" s="43"/>
      <c r="Q976" s="43"/>
      <c r="R976" s="43"/>
    </row>
    <row r="977" spans="1:18" x14ac:dyDescent="0.35">
      <c r="A977" s="40">
        <f t="shared" si="15"/>
        <v>976</v>
      </c>
      <c r="B977" s="41"/>
      <c r="C977" s="42"/>
      <c r="D977" s="42"/>
      <c r="E977" s="43"/>
      <c r="F977" s="43"/>
      <c r="G977" s="43"/>
      <c r="H977" s="44"/>
      <c r="I977" s="49"/>
      <c r="J977" s="43"/>
      <c r="K977" s="43"/>
      <c r="L977" s="43"/>
      <c r="M977" s="43"/>
      <c r="N977" s="43"/>
      <c r="O977" s="43"/>
      <c r="P977" s="43"/>
      <c r="Q977" s="43"/>
      <c r="R977" s="43"/>
    </row>
    <row r="978" spans="1:18" x14ac:dyDescent="0.35">
      <c r="A978" s="40">
        <f t="shared" si="15"/>
        <v>977</v>
      </c>
      <c r="B978" s="41"/>
      <c r="C978" s="42"/>
      <c r="D978" s="42"/>
      <c r="E978" s="43"/>
      <c r="F978" s="43"/>
      <c r="G978" s="43"/>
      <c r="H978" s="44"/>
      <c r="I978" s="50"/>
      <c r="J978" s="43"/>
      <c r="K978" s="43"/>
      <c r="L978" s="43"/>
      <c r="M978" s="43"/>
      <c r="N978" s="43"/>
      <c r="O978" s="43"/>
      <c r="P978" s="43"/>
      <c r="Q978" s="43"/>
      <c r="R978" s="43"/>
    </row>
    <row r="979" spans="1:18" x14ac:dyDescent="0.35">
      <c r="A979" s="40">
        <f t="shared" si="15"/>
        <v>978</v>
      </c>
      <c r="B979" s="41"/>
      <c r="C979" s="42"/>
      <c r="D979" s="42"/>
      <c r="E979" s="43"/>
      <c r="F979" s="43"/>
      <c r="G979" s="43"/>
      <c r="H979" s="44"/>
      <c r="I979" s="44"/>
      <c r="J979" s="43"/>
      <c r="K979" s="43"/>
      <c r="L979" s="43"/>
      <c r="M979" s="43"/>
      <c r="N979" s="43"/>
      <c r="O979" s="43"/>
      <c r="P979" s="43"/>
      <c r="Q979" s="43"/>
      <c r="R979" s="43"/>
    </row>
    <row r="980" spans="1:18" x14ac:dyDescent="0.35">
      <c r="A980" s="40">
        <f t="shared" si="15"/>
        <v>979</v>
      </c>
      <c r="B980" s="41"/>
      <c r="C980" s="42"/>
      <c r="D980" s="42"/>
      <c r="E980" s="43"/>
      <c r="F980" s="43"/>
      <c r="G980" s="43"/>
      <c r="H980" s="44"/>
      <c r="I980" s="44"/>
      <c r="J980" s="43"/>
      <c r="K980" s="43"/>
      <c r="L980" s="43"/>
      <c r="M980" s="43"/>
      <c r="N980" s="43"/>
      <c r="O980" s="43"/>
      <c r="P980" s="43"/>
      <c r="Q980" s="43"/>
      <c r="R980" s="43"/>
    </row>
    <row r="981" spans="1:18" x14ac:dyDescent="0.35">
      <c r="A981" s="40">
        <f t="shared" si="15"/>
        <v>980</v>
      </c>
      <c r="B981" s="41"/>
      <c r="C981" s="42"/>
      <c r="D981" s="42"/>
      <c r="E981" s="43"/>
      <c r="F981" s="43"/>
      <c r="G981" s="43"/>
      <c r="H981" s="44"/>
      <c r="I981" s="44"/>
      <c r="J981" s="43"/>
      <c r="K981" s="43"/>
      <c r="L981" s="43"/>
      <c r="M981" s="43"/>
      <c r="N981" s="43"/>
      <c r="O981" s="43"/>
      <c r="P981" s="43"/>
      <c r="Q981" s="43"/>
      <c r="R981" s="43"/>
    </row>
    <row r="982" spans="1:18" x14ac:dyDescent="0.35">
      <c r="A982" s="40">
        <f t="shared" si="15"/>
        <v>981</v>
      </c>
      <c r="B982" s="41"/>
      <c r="C982" s="42"/>
      <c r="D982" s="42"/>
      <c r="E982" s="43"/>
      <c r="F982" s="43"/>
      <c r="G982" s="43"/>
      <c r="H982" s="44"/>
      <c r="I982" s="44"/>
      <c r="J982" s="43"/>
      <c r="K982" s="43"/>
      <c r="L982" s="43"/>
      <c r="M982" s="43"/>
      <c r="N982" s="43"/>
      <c r="O982" s="43"/>
      <c r="P982" s="43"/>
      <c r="Q982" s="43"/>
      <c r="R982" s="43"/>
    </row>
    <row r="983" spans="1:18" x14ac:dyDescent="0.35">
      <c r="A983" s="40">
        <f t="shared" si="15"/>
        <v>982</v>
      </c>
      <c r="B983" s="41"/>
      <c r="C983" s="42"/>
      <c r="D983" s="42"/>
      <c r="E983" s="43"/>
      <c r="F983" s="43"/>
      <c r="G983" s="43"/>
      <c r="H983" s="49"/>
      <c r="I983" s="49"/>
      <c r="J983" s="43"/>
      <c r="K983" s="43"/>
      <c r="L983" s="43"/>
      <c r="M983" s="43"/>
      <c r="N983" s="43"/>
      <c r="O983" s="43"/>
      <c r="P983" s="43"/>
      <c r="Q983" s="45"/>
      <c r="R983" s="43"/>
    </row>
    <row r="984" spans="1:18" x14ac:dyDescent="0.35">
      <c r="A984" s="40">
        <f t="shared" si="15"/>
        <v>983</v>
      </c>
      <c r="B984" s="41"/>
      <c r="C984" s="42"/>
      <c r="D984" s="42"/>
      <c r="E984" s="43"/>
      <c r="F984" s="43"/>
      <c r="G984" s="43"/>
      <c r="H984" s="49"/>
      <c r="I984" s="50"/>
      <c r="J984" s="43"/>
      <c r="K984" s="43"/>
      <c r="L984" s="43"/>
      <c r="M984" s="43"/>
      <c r="N984" s="43"/>
      <c r="O984" s="43"/>
      <c r="P984" s="43"/>
      <c r="Q984" s="43"/>
      <c r="R984" s="43"/>
    </row>
    <row r="985" spans="1:18" x14ac:dyDescent="0.35">
      <c r="A985" s="40">
        <f t="shared" si="15"/>
        <v>984</v>
      </c>
      <c r="B985" s="41"/>
      <c r="C985" s="42"/>
      <c r="D985" s="42"/>
      <c r="E985" s="43"/>
      <c r="F985" s="43"/>
      <c r="G985" s="43"/>
      <c r="H985" s="44"/>
      <c r="I985" s="44"/>
      <c r="J985" s="43"/>
      <c r="K985" s="43"/>
      <c r="L985" s="43"/>
      <c r="M985" s="43"/>
      <c r="N985" s="43"/>
      <c r="O985" s="43"/>
      <c r="P985" s="43"/>
      <c r="Q985" s="43"/>
      <c r="R985" s="43"/>
    </row>
    <row r="986" spans="1:18" x14ac:dyDescent="0.35">
      <c r="A986" s="40">
        <f t="shared" si="15"/>
        <v>985</v>
      </c>
      <c r="B986" s="41"/>
      <c r="C986" s="42"/>
      <c r="D986" s="42"/>
      <c r="E986" s="43"/>
      <c r="F986" s="43"/>
      <c r="G986" s="43"/>
      <c r="H986" s="44"/>
      <c r="I986" s="50"/>
      <c r="J986" s="43"/>
      <c r="K986" s="43"/>
      <c r="L986" s="43"/>
      <c r="M986" s="43"/>
      <c r="N986" s="43"/>
      <c r="O986" s="43"/>
      <c r="P986" s="43"/>
      <c r="Q986" s="45"/>
      <c r="R986" s="43"/>
    </row>
    <row r="987" spans="1:18" x14ac:dyDescent="0.35">
      <c r="A987" s="40">
        <f t="shared" si="15"/>
        <v>986</v>
      </c>
      <c r="B987" s="41"/>
      <c r="C987" s="42"/>
      <c r="D987" s="42"/>
      <c r="E987" s="43"/>
      <c r="F987" s="43"/>
      <c r="G987" s="43"/>
      <c r="H987" s="44"/>
      <c r="I987" s="49"/>
      <c r="J987" s="43"/>
      <c r="K987" s="43"/>
      <c r="L987" s="43"/>
      <c r="M987" s="43"/>
      <c r="N987" s="43"/>
      <c r="O987" s="43"/>
      <c r="P987" s="43"/>
      <c r="Q987" s="43"/>
      <c r="R987" s="43"/>
    </row>
    <row r="988" spans="1:18" x14ac:dyDescent="0.35">
      <c r="A988" s="40">
        <f t="shared" si="15"/>
        <v>987</v>
      </c>
      <c r="B988" s="41"/>
      <c r="C988" s="42"/>
      <c r="D988" s="42"/>
      <c r="E988" s="43"/>
      <c r="F988" s="43"/>
      <c r="G988" s="43"/>
      <c r="H988" s="44"/>
      <c r="I988" s="44"/>
      <c r="J988" s="43"/>
      <c r="K988" s="43"/>
      <c r="L988" s="43"/>
      <c r="M988" s="43"/>
      <c r="N988" s="43"/>
      <c r="O988" s="43"/>
      <c r="P988" s="43"/>
      <c r="Q988" s="43"/>
      <c r="R988" s="43"/>
    </row>
    <row r="989" spans="1:18" x14ac:dyDescent="0.35">
      <c r="A989" s="40">
        <f t="shared" si="15"/>
        <v>988</v>
      </c>
      <c r="B989" s="41"/>
      <c r="C989" s="42"/>
      <c r="D989" s="42"/>
      <c r="E989" s="43"/>
      <c r="F989" s="43"/>
      <c r="G989" s="43"/>
      <c r="H989" s="44"/>
      <c r="I989" s="44"/>
      <c r="J989" s="43"/>
      <c r="K989" s="43"/>
      <c r="L989" s="43"/>
      <c r="M989" s="43"/>
      <c r="N989" s="43"/>
      <c r="O989" s="43"/>
      <c r="P989" s="43"/>
      <c r="Q989" s="43"/>
      <c r="R989" s="43"/>
    </row>
    <row r="990" spans="1:18" x14ac:dyDescent="0.35">
      <c r="A990" s="40">
        <f t="shared" si="15"/>
        <v>989</v>
      </c>
      <c r="B990" s="41"/>
      <c r="C990" s="42"/>
      <c r="D990" s="42"/>
      <c r="E990" s="43"/>
      <c r="F990" s="43"/>
      <c r="G990" s="43"/>
      <c r="H990" s="44"/>
      <c r="I990" s="44"/>
      <c r="J990" s="43"/>
      <c r="K990" s="43"/>
      <c r="L990" s="43"/>
      <c r="M990" s="43"/>
      <c r="N990" s="43"/>
      <c r="O990" s="43"/>
      <c r="P990" s="43"/>
      <c r="Q990" s="43"/>
      <c r="R990" s="43"/>
    </row>
    <row r="991" spans="1:18" x14ac:dyDescent="0.35">
      <c r="A991" s="40">
        <f t="shared" si="15"/>
        <v>990</v>
      </c>
      <c r="B991" s="41"/>
      <c r="C991" s="42"/>
      <c r="D991" s="42"/>
      <c r="E991" s="43"/>
      <c r="F991" s="43"/>
      <c r="G991" s="43"/>
      <c r="H991" s="44"/>
      <c r="I991" s="44"/>
      <c r="J991" s="43"/>
      <c r="K991" s="43"/>
      <c r="L991" s="43"/>
      <c r="M991" s="43"/>
      <c r="N991" s="43"/>
      <c r="O991" s="43"/>
      <c r="P991" s="43"/>
      <c r="Q991" s="43"/>
      <c r="R991" s="43"/>
    </row>
    <row r="992" spans="1:18" x14ac:dyDescent="0.35">
      <c r="A992" s="40">
        <f t="shared" si="15"/>
        <v>991</v>
      </c>
      <c r="B992" s="41"/>
      <c r="C992" s="42"/>
      <c r="D992" s="42"/>
      <c r="E992" s="43"/>
      <c r="F992" s="43"/>
      <c r="G992" s="43"/>
      <c r="H992" s="44"/>
      <c r="I992" s="44"/>
      <c r="J992" s="43"/>
      <c r="K992" s="43"/>
      <c r="L992" s="43"/>
      <c r="M992" s="43"/>
      <c r="N992" s="43"/>
      <c r="O992" s="43"/>
      <c r="P992" s="43"/>
      <c r="Q992" s="43"/>
      <c r="R992" s="43"/>
    </row>
    <row r="993" spans="1:18" x14ac:dyDescent="0.35">
      <c r="A993" s="40">
        <f t="shared" si="15"/>
        <v>992</v>
      </c>
      <c r="B993" s="41"/>
      <c r="C993" s="42"/>
      <c r="D993" s="42"/>
      <c r="E993" s="43"/>
      <c r="F993" s="43"/>
      <c r="G993" s="43"/>
      <c r="H993" s="44"/>
      <c r="I993" s="44"/>
      <c r="J993" s="43"/>
      <c r="K993" s="43"/>
      <c r="L993" s="43"/>
      <c r="M993" s="43"/>
      <c r="N993" s="43"/>
      <c r="O993" s="43"/>
      <c r="P993" s="43"/>
      <c r="Q993" s="43"/>
      <c r="R993" s="43"/>
    </row>
    <row r="994" spans="1:18" x14ac:dyDescent="0.35">
      <c r="A994" s="40">
        <f t="shared" si="15"/>
        <v>993</v>
      </c>
      <c r="B994" s="41"/>
      <c r="C994" s="42"/>
      <c r="D994" s="42"/>
      <c r="E994" s="43"/>
      <c r="F994" s="43"/>
      <c r="G994" s="43"/>
      <c r="H994" s="44"/>
      <c r="I994" s="44"/>
      <c r="J994" s="43"/>
      <c r="K994" s="43"/>
      <c r="L994" s="43"/>
      <c r="M994" s="43"/>
      <c r="N994" s="43"/>
      <c r="O994" s="43"/>
      <c r="P994" s="43"/>
      <c r="Q994" s="43"/>
      <c r="R994" s="43"/>
    </row>
    <row r="995" spans="1:18" x14ac:dyDescent="0.35">
      <c r="A995" s="40">
        <f t="shared" si="15"/>
        <v>994</v>
      </c>
      <c r="B995" s="41"/>
      <c r="C995" s="42"/>
      <c r="D995" s="42"/>
      <c r="E995" s="43"/>
      <c r="F995" s="43"/>
      <c r="G995" s="43"/>
      <c r="H995" s="44"/>
      <c r="I995" s="44"/>
      <c r="J995" s="43"/>
      <c r="K995" s="43"/>
      <c r="L995" s="43"/>
      <c r="M995" s="43"/>
      <c r="N995" s="43"/>
      <c r="O995" s="43"/>
      <c r="P995" s="43"/>
      <c r="Q995" s="43"/>
      <c r="R995" s="43"/>
    </row>
    <row r="996" spans="1:18" x14ac:dyDescent="0.35">
      <c r="A996" s="40">
        <f t="shared" si="15"/>
        <v>995</v>
      </c>
      <c r="B996" s="41"/>
      <c r="C996" s="42"/>
      <c r="D996" s="42"/>
      <c r="E996" s="43"/>
      <c r="F996" s="43"/>
      <c r="G996" s="43"/>
      <c r="H996" s="44"/>
      <c r="I996" s="44"/>
      <c r="J996" s="43"/>
      <c r="K996" s="43"/>
      <c r="L996" s="43"/>
      <c r="M996" s="43"/>
      <c r="N996" s="43"/>
      <c r="O996" s="43"/>
      <c r="P996" s="43"/>
      <c r="Q996" s="41"/>
      <c r="R996" s="41"/>
    </row>
    <row r="997" spans="1:18" x14ac:dyDescent="0.35">
      <c r="A997" s="40">
        <f t="shared" si="15"/>
        <v>996</v>
      </c>
      <c r="B997" s="41"/>
      <c r="C997" s="42"/>
      <c r="D997" s="42"/>
      <c r="E997" s="43"/>
      <c r="F997" s="43"/>
      <c r="G997" s="43"/>
      <c r="H997" s="44"/>
      <c r="I997" s="44"/>
      <c r="J997" s="43"/>
      <c r="K997" s="43"/>
      <c r="L997" s="43"/>
      <c r="M997" s="43"/>
      <c r="N997" s="43"/>
      <c r="O997" s="43"/>
      <c r="P997" s="43"/>
      <c r="Q997" s="41"/>
      <c r="R997" s="41"/>
    </row>
    <row r="998" spans="1:18" x14ac:dyDescent="0.35">
      <c r="A998" s="40">
        <f t="shared" si="15"/>
        <v>997</v>
      </c>
      <c r="B998" s="41"/>
      <c r="C998" s="42"/>
      <c r="D998" s="42"/>
      <c r="E998" s="43"/>
      <c r="F998" s="43"/>
      <c r="G998" s="43"/>
      <c r="H998" s="44"/>
      <c r="I998" s="44"/>
      <c r="J998" s="52"/>
      <c r="K998" s="43"/>
      <c r="L998" s="43"/>
      <c r="M998" s="43"/>
      <c r="N998" s="43"/>
      <c r="O998" s="43"/>
      <c r="P998" s="43"/>
      <c r="Q998" s="41"/>
      <c r="R998" s="41"/>
    </row>
    <row r="999" spans="1:18" x14ac:dyDescent="0.35">
      <c r="A999" s="40">
        <f t="shared" si="15"/>
        <v>998</v>
      </c>
      <c r="B999" s="41"/>
      <c r="C999" s="42"/>
      <c r="D999" s="42"/>
      <c r="E999" s="43"/>
      <c r="F999" s="52"/>
      <c r="G999" s="43"/>
      <c r="H999" s="44"/>
      <c r="I999" s="44"/>
      <c r="J999" s="43"/>
      <c r="K999" s="43"/>
      <c r="L999" s="43"/>
      <c r="M999" s="43"/>
      <c r="N999" s="43"/>
      <c r="O999" s="43"/>
      <c r="P999" s="43"/>
      <c r="Q999" s="41"/>
      <c r="R999" s="41"/>
    </row>
    <row r="1000" spans="1:18" x14ac:dyDescent="0.35">
      <c r="A1000" s="40">
        <f t="shared" si="15"/>
        <v>999</v>
      </c>
      <c r="B1000" s="41"/>
      <c r="C1000" s="57"/>
      <c r="D1000" s="57"/>
      <c r="E1000" s="52"/>
      <c r="F1000" s="52"/>
      <c r="G1000" s="52"/>
      <c r="H1000" s="58"/>
      <c r="I1000" s="58"/>
      <c r="J1000" s="52"/>
      <c r="K1000" s="54"/>
      <c r="L1000" s="54"/>
      <c r="M1000" s="54"/>
      <c r="N1000" s="54"/>
      <c r="O1000" s="54"/>
      <c r="P1000" s="54"/>
      <c r="Q1000" s="59"/>
      <c r="R1000" s="59"/>
    </row>
    <row r="1001" spans="1:18" x14ac:dyDescent="0.35">
      <c r="A1001" s="40">
        <f t="shared" si="15"/>
        <v>1000</v>
      </c>
      <c r="B1001" s="59"/>
      <c r="C1001" s="57"/>
      <c r="D1001" s="57"/>
      <c r="E1001" s="52"/>
      <c r="F1001" s="52"/>
      <c r="G1001" s="52"/>
      <c r="H1001" s="58"/>
      <c r="I1001" s="58"/>
      <c r="J1001" s="52"/>
      <c r="K1001" s="54"/>
      <c r="L1001" s="54"/>
      <c r="M1001" s="54"/>
      <c r="N1001" s="54"/>
      <c r="O1001" s="54"/>
      <c r="P1001" s="54"/>
      <c r="Q1001" s="59"/>
      <c r="R1001" s="59"/>
    </row>
    <row r="1002" spans="1:18" x14ac:dyDescent="0.35">
      <c r="A1002" s="41">
        <f t="shared" ref="A1002" si="16">ROW()-1</f>
        <v>1001</v>
      </c>
      <c r="B1002" s="53"/>
      <c r="C1002" s="57"/>
      <c r="D1002" s="57"/>
      <c r="E1002" s="52"/>
      <c r="F1002" s="52"/>
      <c r="G1002" s="52"/>
      <c r="H1002" s="58"/>
      <c r="I1002" s="58"/>
      <c r="J1002" s="52"/>
      <c r="K1002" s="53"/>
      <c r="L1002" s="59"/>
      <c r="M1002" s="59"/>
      <c r="N1002" s="54"/>
      <c r="O1002" s="54"/>
      <c r="P1002" s="54"/>
      <c r="Q1002" s="53"/>
      <c r="R1002" s="59"/>
    </row>
    <row r="1003" spans="1:18" x14ac:dyDescent="0.35">
      <c r="A1003" s="41">
        <f t="shared" ref="A1003:A1066" si="17">ROW()-1</f>
        <v>1002</v>
      </c>
      <c r="B1003" s="53"/>
      <c r="C1003" s="57"/>
      <c r="D1003" s="57"/>
      <c r="E1003" s="52"/>
      <c r="F1003" s="52"/>
      <c r="G1003" s="52"/>
      <c r="H1003" s="58"/>
      <c r="I1003" s="58"/>
      <c r="J1003" s="52"/>
      <c r="K1003" s="53"/>
      <c r="L1003" s="59"/>
      <c r="M1003" s="59"/>
      <c r="N1003" s="54"/>
      <c r="O1003" s="54"/>
      <c r="P1003" s="54"/>
      <c r="Q1003" s="59"/>
      <c r="R1003" s="59"/>
    </row>
    <row r="1004" spans="1:18" x14ac:dyDescent="0.35">
      <c r="A1004" s="41">
        <f t="shared" si="17"/>
        <v>1003</v>
      </c>
      <c r="B1004" s="53"/>
      <c r="C1004" s="57"/>
      <c r="D1004" s="57"/>
      <c r="E1004" s="52"/>
      <c r="F1004" s="52"/>
      <c r="G1004" s="52"/>
      <c r="H1004" s="58"/>
      <c r="I1004" s="58"/>
      <c r="J1004" s="52"/>
      <c r="K1004" s="53"/>
      <c r="L1004" s="59"/>
      <c r="M1004" s="59"/>
      <c r="N1004" s="54"/>
      <c r="O1004" s="54"/>
      <c r="P1004" s="54"/>
      <c r="Q1004" s="59"/>
      <c r="R1004" s="59"/>
    </row>
    <row r="1005" spans="1:18" x14ac:dyDescent="0.35">
      <c r="A1005" s="41">
        <f t="shared" si="17"/>
        <v>1004</v>
      </c>
      <c r="B1005" s="53"/>
      <c r="C1005" s="57"/>
      <c r="D1005" s="57"/>
      <c r="E1005" s="52"/>
      <c r="F1005" s="52"/>
      <c r="G1005" s="52"/>
      <c r="H1005" s="58"/>
      <c r="I1005" s="58"/>
      <c r="J1005" s="52"/>
      <c r="K1005" s="53"/>
      <c r="L1005" s="59"/>
      <c r="M1005" s="59"/>
      <c r="N1005" s="54"/>
      <c r="O1005" s="54"/>
      <c r="P1005" s="54"/>
      <c r="Q1005" s="59"/>
      <c r="R1005" s="59"/>
    </row>
    <row r="1006" spans="1:18" x14ac:dyDescent="0.35">
      <c r="A1006" s="41">
        <f t="shared" si="17"/>
        <v>1005</v>
      </c>
      <c r="B1006" s="53"/>
      <c r="C1006" s="57"/>
      <c r="D1006" s="57"/>
      <c r="E1006" s="52"/>
      <c r="F1006" s="52"/>
      <c r="G1006" s="52"/>
      <c r="H1006" s="58"/>
      <c r="I1006" s="58"/>
      <c r="J1006" s="52"/>
      <c r="K1006" s="53"/>
      <c r="L1006" s="59"/>
      <c r="M1006" s="59"/>
      <c r="N1006" s="54"/>
      <c r="O1006" s="54"/>
      <c r="P1006" s="54"/>
      <c r="Q1006" s="59"/>
      <c r="R1006" s="59"/>
    </row>
    <row r="1007" spans="1:18" x14ac:dyDescent="0.35">
      <c r="A1007" s="41">
        <f t="shared" si="17"/>
        <v>1006</v>
      </c>
      <c r="B1007" s="53"/>
      <c r="C1007" s="57"/>
      <c r="D1007" s="57"/>
      <c r="E1007" s="52"/>
      <c r="F1007" s="52"/>
      <c r="G1007" s="52"/>
      <c r="H1007" s="58"/>
      <c r="I1007" s="58"/>
      <c r="J1007" s="52"/>
      <c r="K1007" s="53"/>
      <c r="L1007" s="59"/>
      <c r="M1007" s="59"/>
      <c r="N1007" s="54"/>
      <c r="O1007" s="54"/>
      <c r="P1007" s="54"/>
      <c r="Q1007" s="59"/>
      <c r="R1007" s="59"/>
    </row>
    <row r="1008" spans="1:18" x14ac:dyDescent="0.35">
      <c r="A1008" s="41">
        <f t="shared" si="17"/>
        <v>1007</v>
      </c>
      <c r="B1008" s="53"/>
      <c r="C1008" s="57"/>
      <c r="D1008" s="57"/>
      <c r="E1008" s="52"/>
      <c r="F1008" s="52"/>
      <c r="G1008" s="52"/>
      <c r="H1008" s="58"/>
      <c r="I1008" s="58"/>
      <c r="J1008" s="52"/>
      <c r="K1008" s="53"/>
      <c r="L1008" s="59"/>
      <c r="M1008" s="59"/>
      <c r="N1008" s="54"/>
      <c r="O1008" s="54"/>
      <c r="P1008" s="54"/>
      <c r="Q1008" s="59"/>
      <c r="R1008" s="59"/>
    </row>
    <row r="1009" spans="1:18" x14ac:dyDescent="0.35">
      <c r="A1009" s="41">
        <f t="shared" si="17"/>
        <v>1008</v>
      </c>
      <c r="B1009" s="53"/>
      <c r="C1009" s="57"/>
      <c r="D1009" s="57"/>
      <c r="E1009" s="52"/>
      <c r="F1009" s="52"/>
      <c r="G1009" s="52"/>
      <c r="H1009" s="58"/>
      <c r="I1009" s="58"/>
      <c r="J1009" s="52"/>
      <c r="K1009" s="53"/>
      <c r="L1009" s="53"/>
      <c r="M1009" s="59"/>
      <c r="N1009" s="54"/>
      <c r="O1009" s="54"/>
      <c r="P1009" s="54"/>
      <c r="Q1009" s="59"/>
      <c r="R1009" s="59"/>
    </row>
    <row r="1010" spans="1:18" x14ac:dyDescent="0.35">
      <c r="A1010" s="41">
        <f t="shared" si="17"/>
        <v>1009</v>
      </c>
      <c r="B1010" s="53"/>
      <c r="C1010" s="57"/>
      <c r="D1010" s="57"/>
      <c r="E1010" s="52"/>
      <c r="F1010" s="52"/>
      <c r="G1010" s="52"/>
      <c r="H1010" s="58"/>
      <c r="I1010" s="58"/>
      <c r="J1010" s="52"/>
      <c r="K1010" s="53"/>
      <c r="L1010" s="53"/>
      <c r="M1010" s="59"/>
      <c r="N1010" s="54"/>
      <c r="O1010" s="54"/>
      <c r="P1010" s="54"/>
      <c r="Q1010" s="59"/>
      <c r="R1010" s="59"/>
    </row>
    <row r="1011" spans="1:18" x14ac:dyDescent="0.35">
      <c r="A1011" s="41">
        <f t="shared" si="17"/>
        <v>1010</v>
      </c>
      <c r="B1011" s="53"/>
      <c r="C1011" s="57"/>
      <c r="D1011" s="57"/>
      <c r="E1011" s="52"/>
      <c r="F1011" s="52"/>
      <c r="G1011" s="52"/>
      <c r="H1011" s="58"/>
      <c r="I1011" s="58"/>
      <c r="J1011" s="52"/>
      <c r="K1011" s="53"/>
      <c r="L1011" s="53"/>
      <c r="M1011" s="59"/>
      <c r="N1011" s="54"/>
      <c r="O1011" s="54"/>
      <c r="P1011" s="54"/>
      <c r="Q1011" s="62"/>
      <c r="R1011" s="59"/>
    </row>
    <row r="1012" spans="1:18" x14ac:dyDescent="0.35">
      <c r="A1012" s="41">
        <f t="shared" si="17"/>
        <v>1011</v>
      </c>
      <c r="B1012" s="53"/>
      <c r="C1012" s="57"/>
      <c r="D1012" s="57"/>
      <c r="E1012" s="52"/>
      <c r="F1012" s="52"/>
      <c r="G1012" s="52"/>
      <c r="H1012" s="58"/>
      <c r="I1012" s="58"/>
      <c r="J1012" s="52"/>
      <c r="K1012" s="53"/>
      <c r="L1012" s="53"/>
      <c r="M1012" s="59"/>
      <c r="N1012" s="54"/>
      <c r="O1012" s="54"/>
      <c r="P1012" s="54"/>
      <c r="Q1012" s="59"/>
      <c r="R1012" s="59"/>
    </row>
    <row r="1013" spans="1:18" x14ac:dyDescent="0.35">
      <c r="A1013" s="41">
        <f t="shared" si="17"/>
        <v>1012</v>
      </c>
      <c r="B1013" s="53"/>
      <c r="C1013" s="57"/>
      <c r="D1013" s="57"/>
      <c r="E1013" s="52"/>
      <c r="F1013" s="52"/>
      <c r="G1013" s="52"/>
      <c r="H1013" s="58"/>
      <c r="I1013" s="58"/>
      <c r="J1013" s="52"/>
      <c r="K1013" s="53"/>
      <c r="L1013" s="53"/>
      <c r="M1013" s="59"/>
      <c r="N1013" s="54"/>
      <c r="O1013" s="54"/>
      <c r="P1013" s="54"/>
      <c r="Q1013" s="59"/>
      <c r="R1013" s="59"/>
    </row>
    <row r="1014" spans="1:18" x14ac:dyDescent="0.35">
      <c r="A1014" s="41">
        <f t="shared" si="17"/>
        <v>1013</v>
      </c>
      <c r="B1014" s="53"/>
      <c r="C1014" s="57"/>
      <c r="D1014" s="57"/>
      <c r="E1014" s="52"/>
      <c r="F1014" s="52"/>
      <c r="G1014" s="52"/>
      <c r="H1014" s="58"/>
      <c r="I1014" s="58"/>
      <c r="J1014" s="52"/>
      <c r="K1014" s="53"/>
      <c r="L1014" s="53"/>
      <c r="M1014" s="59"/>
      <c r="N1014" s="54"/>
      <c r="O1014" s="54"/>
      <c r="P1014" s="54"/>
      <c r="Q1014" s="59"/>
      <c r="R1014" s="59"/>
    </row>
    <row r="1015" spans="1:18" x14ac:dyDescent="0.35">
      <c r="A1015" s="41">
        <f t="shared" si="17"/>
        <v>1014</v>
      </c>
      <c r="B1015" s="53"/>
      <c r="C1015" s="57"/>
      <c r="D1015" s="57"/>
      <c r="E1015" s="52"/>
      <c r="F1015" s="52"/>
      <c r="G1015" s="52"/>
      <c r="H1015" s="58"/>
      <c r="I1015" s="58"/>
      <c r="J1015" s="52"/>
      <c r="K1015" s="53"/>
      <c r="L1015" s="53"/>
      <c r="M1015" s="59"/>
      <c r="N1015" s="54"/>
      <c r="O1015" s="54"/>
      <c r="P1015" s="54"/>
      <c r="Q1015" s="59"/>
      <c r="R1015" s="59"/>
    </row>
    <row r="1016" spans="1:18" x14ac:dyDescent="0.35">
      <c r="A1016" s="41">
        <f t="shared" si="17"/>
        <v>1015</v>
      </c>
      <c r="B1016" s="53"/>
      <c r="C1016" s="57"/>
      <c r="D1016" s="57"/>
      <c r="E1016" s="52"/>
      <c r="F1016" s="52"/>
      <c r="G1016" s="52"/>
      <c r="H1016" s="58"/>
      <c r="I1016" s="58"/>
      <c r="J1016" s="52"/>
      <c r="K1016" s="53"/>
      <c r="L1016" s="53"/>
      <c r="M1016" s="59"/>
      <c r="N1016" s="54"/>
      <c r="O1016" s="54"/>
      <c r="P1016" s="54"/>
      <c r="Q1016" s="53"/>
      <c r="R1016" s="59"/>
    </row>
    <row r="1017" spans="1:18" x14ac:dyDescent="0.35">
      <c r="A1017" s="41">
        <f t="shared" si="17"/>
        <v>1016</v>
      </c>
      <c r="B1017" s="53"/>
      <c r="C1017" s="57"/>
      <c r="D1017" s="57"/>
      <c r="E1017" s="52"/>
      <c r="F1017" s="52"/>
      <c r="G1017" s="52"/>
      <c r="H1017" s="58"/>
      <c r="I1017" s="58"/>
      <c r="J1017" s="52"/>
      <c r="K1017" s="53"/>
      <c r="L1017" s="53"/>
      <c r="M1017" s="59"/>
      <c r="N1017" s="54"/>
      <c r="O1017" s="54"/>
      <c r="P1017" s="54"/>
      <c r="Q1017" s="59"/>
      <c r="R1017" s="59"/>
    </row>
    <row r="1018" spans="1:18" x14ac:dyDescent="0.35">
      <c r="A1018" s="41">
        <f t="shared" si="17"/>
        <v>1017</v>
      </c>
      <c r="B1018" s="53"/>
      <c r="C1018" s="57"/>
      <c r="D1018" s="57"/>
      <c r="E1018" s="52"/>
      <c r="F1018" s="52"/>
      <c r="G1018" s="52"/>
      <c r="H1018" s="58"/>
      <c r="I1018" s="58"/>
      <c r="J1018" s="52"/>
      <c r="K1018" s="53"/>
      <c r="L1018" s="53"/>
      <c r="M1018" s="59"/>
      <c r="N1018" s="54"/>
      <c r="O1018" s="54"/>
      <c r="P1018" s="54"/>
      <c r="Q1018" s="59"/>
      <c r="R1018" s="59"/>
    </row>
    <row r="1019" spans="1:18" x14ac:dyDescent="0.35">
      <c r="A1019" s="41">
        <f t="shared" si="17"/>
        <v>1018</v>
      </c>
      <c r="B1019" s="53"/>
      <c r="C1019" s="57"/>
      <c r="D1019" s="57"/>
      <c r="E1019" s="52"/>
      <c r="F1019" s="52"/>
      <c r="G1019" s="52"/>
      <c r="H1019" s="58"/>
      <c r="I1019" s="58"/>
      <c r="J1019" s="52"/>
      <c r="K1019" s="53"/>
      <c r="L1019" s="53"/>
      <c r="M1019" s="59"/>
      <c r="N1019" s="54"/>
      <c r="O1019" s="54"/>
      <c r="P1019" s="54"/>
      <c r="Q1019" s="59"/>
      <c r="R1019" s="59"/>
    </row>
    <row r="1020" spans="1:18" x14ac:dyDescent="0.35">
      <c r="A1020" s="41">
        <f t="shared" si="17"/>
        <v>1019</v>
      </c>
      <c r="B1020" s="53"/>
      <c r="C1020" s="57"/>
      <c r="D1020" s="57"/>
      <c r="E1020" s="52"/>
      <c r="F1020" s="52"/>
      <c r="G1020" s="52"/>
      <c r="H1020" s="58"/>
      <c r="I1020" s="58"/>
      <c r="J1020" s="52"/>
      <c r="K1020" s="53"/>
      <c r="L1020" s="53"/>
      <c r="M1020" s="59"/>
      <c r="N1020" s="54"/>
      <c r="O1020" s="54"/>
      <c r="P1020" s="54"/>
      <c r="Q1020" s="69"/>
      <c r="R1020" s="59"/>
    </row>
    <row r="1021" spans="1:18" x14ac:dyDescent="0.35">
      <c r="A1021" s="41">
        <f t="shared" si="17"/>
        <v>1020</v>
      </c>
      <c r="B1021" s="53"/>
      <c r="C1021" s="57"/>
      <c r="D1021" s="57"/>
      <c r="E1021" s="52"/>
      <c r="F1021" s="52"/>
      <c r="G1021" s="52"/>
      <c r="H1021" s="58"/>
      <c r="I1021" s="58"/>
      <c r="J1021" s="52"/>
      <c r="K1021" s="53"/>
      <c r="L1021" s="53"/>
      <c r="M1021" s="59"/>
      <c r="N1021" s="54"/>
      <c r="O1021" s="54"/>
      <c r="P1021" s="54"/>
      <c r="Q1021" s="59"/>
      <c r="R1021" s="59"/>
    </row>
    <row r="1022" spans="1:18" x14ac:dyDescent="0.35">
      <c r="A1022" s="41">
        <f t="shared" si="17"/>
        <v>1021</v>
      </c>
      <c r="B1022" s="53"/>
      <c r="C1022" s="57"/>
      <c r="D1022" s="57"/>
      <c r="E1022" s="52"/>
      <c r="F1022" s="52"/>
      <c r="G1022" s="52"/>
      <c r="H1022" s="58"/>
      <c r="I1022" s="58"/>
      <c r="J1022" s="52"/>
      <c r="K1022" s="53"/>
      <c r="L1022" s="53"/>
      <c r="M1022" s="59"/>
      <c r="N1022" s="54"/>
      <c r="O1022" s="54"/>
      <c r="P1022" s="54"/>
      <c r="Q1022" s="53"/>
      <c r="R1022" s="59"/>
    </row>
    <row r="1023" spans="1:18" x14ac:dyDescent="0.35">
      <c r="A1023" s="41">
        <f t="shared" si="17"/>
        <v>1022</v>
      </c>
      <c r="B1023" s="53"/>
      <c r="C1023" s="57"/>
      <c r="D1023" s="57"/>
      <c r="E1023" s="52"/>
      <c r="F1023" s="52"/>
      <c r="G1023" s="52"/>
      <c r="H1023" s="58"/>
      <c r="I1023" s="58"/>
      <c r="J1023" s="52"/>
      <c r="K1023" s="53"/>
      <c r="L1023" s="53"/>
      <c r="M1023" s="59"/>
      <c r="N1023" s="54"/>
      <c r="O1023" s="54"/>
      <c r="P1023" s="54"/>
      <c r="Q1023" s="59"/>
      <c r="R1023" s="59"/>
    </row>
    <row r="1024" spans="1:18" x14ac:dyDescent="0.35">
      <c r="A1024" s="41">
        <f t="shared" si="17"/>
        <v>1023</v>
      </c>
      <c r="B1024" s="53"/>
      <c r="C1024" s="57"/>
      <c r="D1024" s="57"/>
      <c r="E1024" s="52"/>
      <c r="F1024" s="52"/>
      <c r="G1024" s="52"/>
      <c r="H1024" s="58"/>
      <c r="I1024" s="56"/>
      <c r="J1024" s="52"/>
      <c r="K1024" s="53"/>
      <c r="L1024" s="59"/>
      <c r="M1024" s="59"/>
      <c r="N1024" s="54"/>
      <c r="O1024" s="54"/>
      <c r="P1024" s="54"/>
      <c r="Q1024" s="59"/>
      <c r="R1024" s="59"/>
    </row>
    <row r="1025" spans="1:18" x14ac:dyDescent="0.35">
      <c r="A1025" s="41">
        <f t="shared" si="17"/>
        <v>1024</v>
      </c>
      <c r="B1025" s="53"/>
      <c r="C1025" s="57"/>
      <c r="D1025" s="57"/>
      <c r="E1025" s="52"/>
      <c r="F1025" s="52"/>
      <c r="G1025" s="52"/>
      <c r="H1025" s="58"/>
      <c r="I1025" s="58"/>
      <c r="J1025" s="52"/>
      <c r="K1025" s="53"/>
      <c r="L1025" s="59"/>
      <c r="M1025" s="59"/>
      <c r="N1025" s="54"/>
      <c r="O1025" s="54"/>
      <c r="P1025" s="54"/>
      <c r="Q1025" s="59"/>
      <c r="R1025" s="59"/>
    </row>
    <row r="1026" spans="1:18" x14ac:dyDescent="0.35">
      <c r="A1026" s="41">
        <f t="shared" si="17"/>
        <v>1025</v>
      </c>
      <c r="B1026" s="53"/>
      <c r="C1026" s="57"/>
      <c r="D1026" s="57"/>
      <c r="E1026" s="52"/>
      <c r="F1026" s="52"/>
      <c r="G1026" s="52"/>
      <c r="H1026" s="58"/>
      <c r="I1026" s="58"/>
      <c r="J1026" s="52"/>
      <c r="K1026" s="53"/>
      <c r="L1026" s="53"/>
      <c r="M1026" s="59"/>
      <c r="N1026" s="54"/>
      <c r="O1026" s="54"/>
      <c r="P1026" s="54"/>
      <c r="Q1026" s="53"/>
      <c r="R1026" s="59"/>
    </row>
    <row r="1027" spans="1:18" x14ac:dyDescent="0.35">
      <c r="A1027" s="41">
        <f t="shared" si="17"/>
        <v>1026</v>
      </c>
      <c r="B1027" s="53"/>
      <c r="C1027" s="57"/>
      <c r="D1027" s="57"/>
      <c r="E1027" s="52"/>
      <c r="F1027" s="52"/>
      <c r="G1027" s="52"/>
      <c r="H1027" s="58"/>
      <c r="I1027" s="58"/>
      <c r="J1027" s="52"/>
      <c r="K1027" s="53"/>
      <c r="L1027" s="53"/>
      <c r="M1027" s="59"/>
      <c r="N1027" s="54"/>
      <c r="O1027" s="54"/>
      <c r="P1027" s="54"/>
      <c r="Q1027" s="62"/>
      <c r="R1027" s="59"/>
    </row>
    <row r="1028" spans="1:18" x14ac:dyDescent="0.35">
      <c r="A1028" s="41">
        <f t="shared" si="17"/>
        <v>1027</v>
      </c>
      <c r="B1028" s="53"/>
      <c r="C1028" s="57"/>
      <c r="D1028" s="57"/>
      <c r="E1028" s="52"/>
      <c r="F1028" s="52"/>
      <c r="G1028" s="52"/>
      <c r="H1028" s="58"/>
      <c r="I1028" s="58"/>
      <c r="J1028" s="52"/>
      <c r="K1028" s="53"/>
      <c r="L1028" s="59"/>
      <c r="M1028" s="59"/>
      <c r="N1028" s="54"/>
      <c r="O1028" s="54"/>
      <c r="P1028" s="54"/>
      <c r="Q1028" s="59"/>
      <c r="R1028" s="59"/>
    </row>
    <row r="1029" spans="1:18" x14ac:dyDescent="0.35">
      <c r="A1029" s="41">
        <f t="shared" si="17"/>
        <v>1028</v>
      </c>
      <c r="B1029" s="53"/>
      <c r="C1029" s="57"/>
      <c r="D1029" s="57"/>
      <c r="E1029" s="52"/>
      <c r="F1029" s="52"/>
      <c r="G1029" s="52"/>
      <c r="H1029" s="58"/>
      <c r="I1029" s="58"/>
      <c r="J1029" s="52"/>
      <c r="K1029" s="53"/>
      <c r="L1029" s="53"/>
      <c r="M1029" s="59"/>
      <c r="N1029" s="54"/>
      <c r="O1029" s="54"/>
      <c r="P1029" s="54"/>
      <c r="Q1029" s="59"/>
      <c r="R1029" s="59"/>
    </row>
    <row r="1030" spans="1:18" x14ac:dyDescent="0.35">
      <c r="A1030" s="41">
        <f t="shared" si="17"/>
        <v>1029</v>
      </c>
      <c r="B1030" s="53"/>
      <c r="C1030" s="57"/>
      <c r="D1030" s="57"/>
      <c r="E1030" s="52"/>
      <c r="F1030" s="52"/>
      <c r="G1030" s="52"/>
      <c r="H1030" s="58"/>
      <c r="I1030" s="58"/>
      <c r="J1030" s="52"/>
      <c r="K1030" s="53"/>
      <c r="L1030" s="53"/>
      <c r="M1030" s="59"/>
      <c r="N1030" s="54"/>
      <c r="O1030" s="54"/>
      <c r="P1030" s="54"/>
      <c r="Q1030" s="59"/>
      <c r="R1030" s="59"/>
    </row>
    <row r="1031" spans="1:18" x14ac:dyDescent="0.35">
      <c r="A1031" s="41">
        <f t="shared" si="17"/>
        <v>1030</v>
      </c>
      <c r="B1031" s="53"/>
      <c r="C1031" s="57"/>
      <c r="D1031" s="57"/>
      <c r="E1031" s="52"/>
      <c r="F1031" s="52"/>
      <c r="G1031" s="52"/>
      <c r="H1031" s="58"/>
      <c r="I1031" s="58"/>
      <c r="J1031" s="52"/>
      <c r="K1031" s="53"/>
      <c r="L1031" s="59"/>
      <c r="M1031" s="59"/>
      <c r="N1031" s="54"/>
      <c r="O1031" s="54"/>
      <c r="P1031" s="54"/>
      <c r="Q1031" s="59"/>
      <c r="R1031" s="59"/>
    </row>
    <row r="1032" spans="1:18" x14ac:dyDescent="0.35">
      <c r="A1032" s="41">
        <f t="shared" si="17"/>
        <v>1031</v>
      </c>
      <c r="B1032" s="53"/>
      <c r="C1032" s="57"/>
      <c r="D1032" s="57"/>
      <c r="E1032" s="52"/>
      <c r="F1032" s="52"/>
      <c r="G1032" s="52"/>
      <c r="H1032" s="58"/>
      <c r="I1032" s="58"/>
      <c r="J1032" s="52"/>
      <c r="K1032" s="53"/>
      <c r="L1032" s="53"/>
      <c r="M1032" s="59"/>
      <c r="N1032" s="54"/>
      <c r="O1032" s="54"/>
      <c r="P1032" s="54"/>
      <c r="Q1032" s="59"/>
      <c r="R1032" s="59"/>
    </row>
    <row r="1033" spans="1:18" x14ac:dyDescent="0.35">
      <c r="A1033" s="41">
        <f t="shared" si="17"/>
        <v>1032</v>
      </c>
      <c r="B1033" s="53"/>
      <c r="C1033" s="57"/>
      <c r="D1033" s="57"/>
      <c r="E1033" s="52"/>
      <c r="F1033" s="52"/>
      <c r="G1033" s="52"/>
      <c r="H1033" s="58"/>
      <c r="I1033" s="58"/>
      <c r="J1033" s="52"/>
      <c r="K1033" s="53"/>
      <c r="L1033" s="53"/>
      <c r="M1033" s="59"/>
      <c r="N1033" s="54"/>
      <c r="O1033" s="54"/>
      <c r="P1033" s="54"/>
      <c r="Q1033" s="59"/>
      <c r="R1033" s="59"/>
    </row>
    <row r="1034" spans="1:18" x14ac:dyDescent="0.35">
      <c r="A1034" s="41">
        <f t="shared" si="17"/>
        <v>1033</v>
      </c>
      <c r="B1034" s="53"/>
      <c r="C1034" s="57"/>
      <c r="D1034" s="57"/>
      <c r="E1034" s="52"/>
      <c r="F1034" s="52"/>
      <c r="G1034" s="52"/>
      <c r="H1034" s="58"/>
      <c r="I1034" s="58"/>
      <c r="J1034" s="52"/>
      <c r="K1034" s="53"/>
      <c r="L1034" s="53"/>
      <c r="M1034" s="59"/>
      <c r="N1034" s="54"/>
      <c r="O1034" s="54"/>
      <c r="P1034" s="54"/>
      <c r="Q1034" s="59"/>
      <c r="R1034" s="59"/>
    </row>
    <row r="1035" spans="1:18" x14ac:dyDescent="0.35">
      <c r="A1035" s="41">
        <f t="shared" si="17"/>
        <v>1034</v>
      </c>
      <c r="B1035" s="53"/>
      <c r="C1035" s="57"/>
      <c r="D1035" s="57"/>
      <c r="E1035" s="52"/>
      <c r="F1035" s="52"/>
      <c r="G1035" s="52"/>
      <c r="H1035" s="58"/>
      <c r="I1035" s="58"/>
      <c r="J1035" s="52"/>
      <c r="K1035" s="53"/>
      <c r="L1035" s="53"/>
      <c r="M1035" s="59"/>
      <c r="N1035" s="54"/>
      <c r="O1035" s="54"/>
      <c r="P1035" s="54"/>
      <c r="Q1035" s="59"/>
      <c r="R1035" s="59"/>
    </row>
    <row r="1036" spans="1:18" x14ac:dyDescent="0.35">
      <c r="A1036" s="41">
        <f t="shared" si="17"/>
        <v>1035</v>
      </c>
      <c r="B1036" s="53"/>
      <c r="C1036" s="57"/>
      <c r="D1036" s="57"/>
      <c r="E1036" s="52"/>
      <c r="F1036" s="52"/>
      <c r="G1036" s="52"/>
      <c r="H1036" s="58"/>
      <c r="I1036" s="58"/>
      <c r="J1036" s="52"/>
      <c r="K1036" s="53"/>
      <c r="L1036" s="53"/>
      <c r="M1036" s="59"/>
      <c r="N1036" s="54"/>
      <c r="O1036" s="54"/>
      <c r="P1036" s="54"/>
      <c r="Q1036" s="59"/>
      <c r="R1036" s="59"/>
    </row>
    <row r="1037" spans="1:18" x14ac:dyDescent="0.35">
      <c r="A1037" s="41">
        <f t="shared" si="17"/>
        <v>1036</v>
      </c>
      <c r="B1037" s="53"/>
      <c r="C1037" s="57"/>
      <c r="D1037" s="57"/>
      <c r="E1037" s="52"/>
      <c r="F1037" s="52"/>
      <c r="G1037" s="52"/>
      <c r="H1037" s="58"/>
      <c r="I1037" s="58"/>
      <c r="J1037" s="52"/>
      <c r="K1037" s="53"/>
      <c r="L1037" s="53"/>
      <c r="M1037" s="59"/>
      <c r="N1037" s="54"/>
      <c r="O1037" s="54"/>
      <c r="P1037" s="54"/>
      <c r="Q1037" s="59"/>
      <c r="R1037" s="59"/>
    </row>
    <row r="1038" spans="1:18" x14ac:dyDescent="0.35">
      <c r="A1038" s="41">
        <f t="shared" si="17"/>
        <v>1037</v>
      </c>
      <c r="B1038" s="53"/>
      <c r="C1038" s="57"/>
      <c r="D1038" s="57"/>
      <c r="E1038" s="52"/>
      <c r="F1038" s="52"/>
      <c r="G1038" s="52"/>
      <c r="H1038" s="58"/>
      <c r="I1038" s="58"/>
      <c r="J1038" s="52"/>
      <c r="K1038" s="53"/>
      <c r="L1038" s="53"/>
      <c r="M1038" s="59"/>
      <c r="N1038" s="54"/>
      <c r="O1038" s="54"/>
      <c r="P1038" s="54"/>
      <c r="Q1038" s="59"/>
      <c r="R1038" s="59"/>
    </row>
    <row r="1039" spans="1:18" x14ac:dyDescent="0.35">
      <c r="A1039" s="41">
        <f t="shared" si="17"/>
        <v>1038</v>
      </c>
      <c r="B1039" s="53"/>
      <c r="C1039" s="57"/>
      <c r="D1039" s="57"/>
      <c r="E1039" s="52"/>
      <c r="F1039" s="52"/>
      <c r="G1039" s="52"/>
      <c r="H1039" s="58"/>
      <c r="I1039" s="58"/>
      <c r="J1039" s="52"/>
      <c r="K1039" s="53"/>
      <c r="L1039" s="53"/>
      <c r="M1039" s="59"/>
      <c r="N1039" s="54"/>
      <c r="O1039" s="54"/>
      <c r="P1039" s="54"/>
      <c r="Q1039" s="59"/>
      <c r="R1039" s="59"/>
    </row>
    <row r="1040" spans="1:18" x14ac:dyDescent="0.35">
      <c r="A1040" s="41">
        <f t="shared" si="17"/>
        <v>1039</v>
      </c>
      <c r="B1040" s="53"/>
      <c r="C1040" s="57"/>
      <c r="D1040" s="57"/>
      <c r="E1040" s="52"/>
      <c r="F1040" s="52"/>
      <c r="G1040" s="52"/>
      <c r="H1040" s="58"/>
      <c r="I1040" s="58"/>
      <c r="J1040" s="52"/>
      <c r="K1040" s="53"/>
      <c r="L1040" s="53"/>
      <c r="M1040" s="59"/>
      <c r="N1040" s="54"/>
      <c r="O1040" s="54"/>
      <c r="P1040" s="54"/>
      <c r="Q1040" s="59"/>
      <c r="R1040" s="59"/>
    </row>
    <row r="1041" spans="1:18" x14ac:dyDescent="0.35">
      <c r="A1041" s="41">
        <f t="shared" si="17"/>
        <v>1040</v>
      </c>
      <c r="B1041" s="53"/>
      <c r="C1041" s="57"/>
      <c r="D1041" s="57"/>
      <c r="E1041" s="52"/>
      <c r="F1041" s="52"/>
      <c r="G1041" s="52"/>
      <c r="H1041" s="58"/>
      <c r="I1041" s="58"/>
      <c r="J1041" s="52"/>
      <c r="K1041" s="53"/>
      <c r="L1041" s="53"/>
      <c r="M1041" s="59"/>
      <c r="N1041" s="54"/>
      <c r="O1041" s="54"/>
      <c r="P1041" s="54"/>
      <c r="Q1041" s="53"/>
      <c r="R1041" s="59"/>
    </row>
    <row r="1042" spans="1:18" x14ac:dyDescent="0.35">
      <c r="A1042" s="41">
        <f t="shared" si="17"/>
        <v>1041</v>
      </c>
      <c r="B1042" s="53"/>
      <c r="C1042" s="57"/>
      <c r="D1042" s="57"/>
      <c r="E1042" s="52"/>
      <c r="F1042" s="52"/>
      <c r="G1042" s="52"/>
      <c r="H1042" s="58"/>
      <c r="I1042" s="58"/>
      <c r="J1042" s="52"/>
      <c r="K1042" s="53"/>
      <c r="L1042" s="53"/>
      <c r="M1042" s="59"/>
      <c r="N1042" s="54"/>
      <c r="O1042" s="54"/>
      <c r="P1042" s="54"/>
      <c r="Q1042" s="69"/>
      <c r="R1042" s="59"/>
    </row>
    <row r="1043" spans="1:18" x14ac:dyDescent="0.35">
      <c r="A1043" s="41">
        <f t="shared" si="17"/>
        <v>1042</v>
      </c>
      <c r="B1043" s="53"/>
      <c r="C1043" s="57"/>
      <c r="D1043" s="57"/>
      <c r="E1043" s="52"/>
      <c r="F1043" s="52"/>
      <c r="G1043" s="52"/>
      <c r="H1043" s="58"/>
      <c r="I1043" s="58"/>
      <c r="J1043" s="52"/>
      <c r="K1043" s="53"/>
      <c r="L1043" s="53"/>
      <c r="M1043" s="59"/>
      <c r="N1043" s="54"/>
      <c r="O1043" s="54"/>
      <c r="P1043" s="54"/>
      <c r="Q1043" s="59"/>
      <c r="R1043" s="59"/>
    </row>
    <row r="1044" spans="1:18" x14ac:dyDescent="0.35">
      <c r="A1044" s="41">
        <f t="shared" si="17"/>
        <v>1043</v>
      </c>
      <c r="B1044" s="53"/>
      <c r="C1044" s="57"/>
      <c r="D1044" s="57"/>
      <c r="E1044" s="52"/>
      <c r="F1044" s="52"/>
      <c r="G1044" s="52"/>
      <c r="H1044" s="58"/>
      <c r="I1044" s="58"/>
      <c r="J1044" s="52"/>
      <c r="K1044" s="53"/>
      <c r="L1044" s="53"/>
      <c r="M1044" s="59"/>
      <c r="N1044" s="54"/>
      <c r="O1044" s="54"/>
      <c r="P1044" s="54"/>
      <c r="Q1044" s="69"/>
      <c r="R1044" s="59"/>
    </row>
    <row r="1045" spans="1:18" x14ac:dyDescent="0.35">
      <c r="A1045" s="41">
        <f t="shared" si="17"/>
        <v>1044</v>
      </c>
      <c r="B1045" s="53"/>
      <c r="C1045" s="57"/>
      <c r="D1045" s="57"/>
      <c r="E1045" s="52"/>
      <c r="F1045" s="52"/>
      <c r="G1045" s="52"/>
      <c r="H1045" s="58"/>
      <c r="I1045" s="58"/>
      <c r="J1045" s="52"/>
      <c r="K1045" s="53"/>
      <c r="L1045" s="53"/>
      <c r="M1045" s="59"/>
      <c r="N1045" s="54"/>
      <c r="O1045" s="54"/>
      <c r="P1045" s="54"/>
      <c r="Q1045" s="59"/>
      <c r="R1045" s="59"/>
    </row>
    <row r="1046" spans="1:18" x14ac:dyDescent="0.35">
      <c r="A1046" s="41">
        <f t="shared" si="17"/>
        <v>1045</v>
      </c>
      <c r="B1046" s="53"/>
      <c r="C1046" s="57"/>
      <c r="D1046" s="57"/>
      <c r="E1046" s="52"/>
      <c r="F1046" s="52"/>
      <c r="G1046" s="52"/>
      <c r="H1046" s="58"/>
      <c r="I1046" s="58"/>
      <c r="J1046" s="52"/>
      <c r="K1046" s="53"/>
      <c r="L1046" s="53"/>
      <c r="M1046" s="59"/>
      <c r="N1046" s="54"/>
      <c r="O1046" s="54"/>
      <c r="P1046" s="54"/>
      <c r="Q1046" s="59"/>
      <c r="R1046" s="59"/>
    </row>
    <row r="1047" spans="1:18" x14ac:dyDescent="0.35">
      <c r="A1047" s="41">
        <f t="shared" si="17"/>
        <v>1046</v>
      </c>
      <c r="B1047" s="53"/>
      <c r="C1047" s="57"/>
      <c r="D1047" s="57"/>
      <c r="E1047" s="52"/>
      <c r="F1047" s="52"/>
      <c r="G1047" s="52"/>
      <c r="H1047" s="58"/>
      <c r="I1047" s="58"/>
      <c r="J1047" s="52"/>
      <c r="K1047" s="53"/>
      <c r="L1047" s="53"/>
      <c r="M1047" s="59"/>
      <c r="N1047" s="54"/>
      <c r="O1047" s="54"/>
      <c r="P1047" s="54"/>
      <c r="Q1047" s="59"/>
      <c r="R1047" s="59"/>
    </row>
    <row r="1048" spans="1:18" x14ac:dyDescent="0.35">
      <c r="A1048" s="41">
        <f t="shared" si="17"/>
        <v>1047</v>
      </c>
      <c r="B1048" s="53"/>
      <c r="C1048" s="57"/>
      <c r="D1048" s="57"/>
      <c r="E1048" s="52"/>
      <c r="F1048" s="52"/>
      <c r="G1048" s="52"/>
      <c r="H1048" s="58"/>
      <c r="I1048" s="58"/>
      <c r="J1048" s="52"/>
      <c r="K1048" s="53"/>
      <c r="L1048" s="53"/>
      <c r="M1048" s="59"/>
      <c r="N1048" s="54"/>
      <c r="O1048" s="54"/>
      <c r="P1048" s="54"/>
      <c r="Q1048" s="53"/>
      <c r="R1048" s="59"/>
    </row>
    <row r="1049" spans="1:18" x14ac:dyDescent="0.35">
      <c r="A1049" s="41">
        <f t="shared" si="17"/>
        <v>1048</v>
      </c>
      <c r="B1049" s="53"/>
      <c r="C1049" s="57"/>
      <c r="D1049" s="57"/>
      <c r="E1049" s="52"/>
      <c r="F1049" s="52"/>
      <c r="G1049" s="52"/>
      <c r="H1049" s="58"/>
      <c r="I1049" s="58"/>
      <c r="J1049" s="52"/>
      <c r="K1049" s="53"/>
      <c r="L1049" s="53"/>
      <c r="M1049" s="59"/>
      <c r="N1049" s="54"/>
      <c r="O1049" s="54"/>
      <c r="P1049" s="54"/>
      <c r="Q1049" s="53"/>
      <c r="R1049" s="59"/>
    </row>
    <row r="1050" spans="1:18" x14ac:dyDescent="0.35">
      <c r="A1050" s="41">
        <f t="shared" si="17"/>
        <v>1049</v>
      </c>
      <c r="B1050" s="53"/>
      <c r="C1050" s="57"/>
      <c r="D1050" s="57"/>
      <c r="E1050" s="52"/>
      <c r="F1050" s="52"/>
      <c r="G1050" s="52"/>
      <c r="H1050" s="58"/>
      <c r="I1050" s="58"/>
      <c r="J1050" s="52"/>
      <c r="K1050" s="53"/>
      <c r="L1050" s="53"/>
      <c r="M1050" s="59"/>
      <c r="N1050" s="54"/>
      <c r="O1050" s="54"/>
      <c r="P1050" s="54"/>
      <c r="Q1050" s="53"/>
      <c r="R1050" s="59"/>
    </row>
    <row r="1051" spans="1:18" x14ac:dyDescent="0.35">
      <c r="A1051" s="41">
        <f t="shared" si="17"/>
        <v>1050</v>
      </c>
      <c r="B1051" s="53"/>
      <c r="C1051" s="57"/>
      <c r="D1051" s="57"/>
      <c r="E1051" s="52"/>
      <c r="F1051" s="52"/>
      <c r="G1051" s="52"/>
      <c r="H1051" s="58"/>
      <c r="I1051" s="58"/>
      <c r="J1051" s="52"/>
      <c r="K1051" s="53"/>
      <c r="L1051" s="53"/>
      <c r="M1051" s="59"/>
      <c r="N1051" s="54"/>
      <c r="O1051" s="54"/>
      <c r="P1051" s="54"/>
      <c r="Q1051" s="59"/>
      <c r="R1051" s="59"/>
    </row>
    <row r="1052" spans="1:18" x14ac:dyDescent="0.35">
      <c r="A1052" s="41">
        <f t="shared" si="17"/>
        <v>1051</v>
      </c>
      <c r="B1052" s="53"/>
      <c r="C1052" s="57"/>
      <c r="D1052" s="57"/>
      <c r="E1052" s="52"/>
      <c r="F1052" s="52"/>
      <c r="G1052" s="52"/>
      <c r="H1052" s="58"/>
      <c r="I1052" s="58"/>
      <c r="J1052" s="52"/>
      <c r="K1052" s="53"/>
      <c r="L1052" s="53"/>
      <c r="M1052" s="59"/>
      <c r="N1052" s="54"/>
      <c r="O1052" s="54"/>
      <c r="P1052" s="54"/>
      <c r="Q1052" s="62"/>
      <c r="R1052" s="59"/>
    </row>
    <row r="1053" spans="1:18" x14ac:dyDescent="0.35">
      <c r="A1053" s="41">
        <f t="shared" si="17"/>
        <v>1052</v>
      </c>
      <c r="B1053" s="53"/>
      <c r="C1053" s="57"/>
      <c r="D1053" s="57"/>
      <c r="E1053" s="52"/>
      <c r="F1053" s="52"/>
      <c r="G1053" s="52"/>
      <c r="H1053" s="58"/>
      <c r="I1053" s="58"/>
      <c r="J1053" s="52"/>
      <c r="K1053" s="53"/>
      <c r="L1053" s="53"/>
      <c r="M1053" s="59"/>
      <c r="N1053" s="54"/>
      <c r="O1053" s="54"/>
      <c r="P1053" s="54"/>
      <c r="Q1053" s="59"/>
      <c r="R1053" s="59"/>
    </row>
    <row r="1054" spans="1:18" x14ac:dyDescent="0.35">
      <c r="A1054" s="41">
        <f t="shared" si="17"/>
        <v>1053</v>
      </c>
      <c r="B1054" s="53"/>
      <c r="C1054" s="57"/>
      <c r="D1054" s="57"/>
      <c r="E1054" s="52"/>
      <c r="F1054" s="52"/>
      <c r="G1054" s="52"/>
      <c r="H1054" s="58"/>
      <c r="I1054" s="58"/>
      <c r="J1054" s="52"/>
      <c r="K1054" s="53"/>
      <c r="L1054" s="53"/>
      <c r="M1054" s="59"/>
      <c r="N1054" s="54"/>
      <c r="O1054" s="54"/>
      <c r="P1054" s="54"/>
      <c r="Q1054" s="59"/>
      <c r="R1054" s="59"/>
    </row>
    <row r="1055" spans="1:18" x14ac:dyDescent="0.35">
      <c r="A1055" s="41">
        <f t="shared" si="17"/>
        <v>1054</v>
      </c>
      <c r="B1055" s="53"/>
      <c r="C1055" s="57"/>
      <c r="D1055" s="57"/>
      <c r="E1055" s="52"/>
      <c r="F1055" s="52"/>
      <c r="G1055" s="52"/>
      <c r="H1055" s="58"/>
      <c r="I1055" s="58"/>
      <c r="J1055" s="52"/>
      <c r="K1055" s="53"/>
      <c r="L1055" s="53"/>
      <c r="M1055" s="59"/>
      <c r="N1055" s="54"/>
      <c r="O1055" s="54"/>
      <c r="P1055" s="54"/>
      <c r="Q1055" s="53"/>
      <c r="R1055" s="59"/>
    </row>
    <row r="1056" spans="1:18" x14ac:dyDescent="0.35">
      <c r="A1056" s="41">
        <f t="shared" si="17"/>
        <v>1055</v>
      </c>
      <c r="B1056" s="53"/>
      <c r="C1056" s="57"/>
      <c r="D1056" s="57"/>
      <c r="E1056" s="52"/>
      <c r="F1056" s="52"/>
      <c r="G1056" s="52"/>
      <c r="H1056" s="58"/>
      <c r="I1056" s="58"/>
      <c r="J1056" s="52"/>
      <c r="K1056" s="53"/>
      <c r="L1056" s="53"/>
      <c r="M1056" s="59"/>
      <c r="N1056" s="54"/>
      <c r="O1056" s="54"/>
      <c r="P1056" s="54"/>
      <c r="Q1056" s="53"/>
      <c r="R1056" s="59"/>
    </row>
    <row r="1057" spans="1:18" x14ac:dyDescent="0.35">
      <c r="A1057" s="41">
        <f t="shared" si="17"/>
        <v>1056</v>
      </c>
      <c r="B1057" s="53"/>
      <c r="C1057" s="57"/>
      <c r="D1057" s="57"/>
      <c r="E1057" s="52"/>
      <c r="F1057" s="52"/>
      <c r="G1057" s="52"/>
      <c r="H1057" s="58"/>
      <c r="I1057" s="58"/>
      <c r="J1057" s="52"/>
      <c r="K1057" s="53"/>
      <c r="L1057" s="53"/>
      <c r="M1057" s="59"/>
      <c r="N1057" s="54"/>
      <c r="O1057" s="54"/>
      <c r="P1057" s="54"/>
      <c r="Q1057" s="53"/>
      <c r="R1057" s="59"/>
    </row>
    <row r="1058" spans="1:18" x14ac:dyDescent="0.35">
      <c r="A1058" s="41">
        <f t="shared" si="17"/>
        <v>1057</v>
      </c>
      <c r="B1058" s="53"/>
      <c r="C1058" s="57"/>
      <c r="D1058" s="57"/>
      <c r="E1058" s="52"/>
      <c r="F1058" s="52"/>
      <c r="G1058" s="52"/>
      <c r="H1058" s="58"/>
      <c r="I1058" s="58"/>
      <c r="J1058" s="52"/>
      <c r="K1058" s="53"/>
      <c r="L1058" s="53"/>
      <c r="M1058" s="59"/>
      <c r="N1058" s="54"/>
      <c r="O1058" s="54"/>
      <c r="P1058" s="54"/>
      <c r="Q1058" s="53"/>
      <c r="R1058" s="59"/>
    </row>
    <row r="1059" spans="1:18" x14ac:dyDescent="0.35">
      <c r="A1059" s="41">
        <f t="shared" si="17"/>
        <v>1058</v>
      </c>
      <c r="B1059" s="53"/>
      <c r="C1059" s="57"/>
      <c r="D1059" s="57"/>
      <c r="E1059" s="52"/>
      <c r="F1059" s="52"/>
      <c r="G1059" s="52"/>
      <c r="H1059" s="58"/>
      <c r="I1059" s="58"/>
      <c r="J1059" s="52"/>
      <c r="K1059" s="53"/>
      <c r="L1059" s="53"/>
      <c r="M1059" s="59"/>
      <c r="N1059" s="54"/>
      <c r="O1059" s="54"/>
      <c r="P1059" s="54"/>
      <c r="Q1059" s="59"/>
      <c r="R1059" s="59"/>
    </row>
    <row r="1060" spans="1:18" x14ac:dyDescent="0.35">
      <c r="A1060" s="41">
        <f t="shared" si="17"/>
        <v>1059</v>
      </c>
      <c r="B1060" s="53"/>
      <c r="C1060" s="57"/>
      <c r="D1060" s="57"/>
      <c r="E1060" s="52"/>
      <c r="F1060" s="52"/>
      <c r="G1060" s="52"/>
      <c r="H1060" s="58"/>
      <c r="I1060" s="58"/>
      <c r="J1060" s="52"/>
      <c r="K1060" s="53"/>
      <c r="L1060" s="53"/>
      <c r="M1060" s="59"/>
      <c r="N1060" s="54"/>
      <c r="O1060" s="54"/>
      <c r="P1060" s="54"/>
      <c r="Q1060" s="59"/>
      <c r="R1060" s="59"/>
    </row>
    <row r="1061" spans="1:18" x14ac:dyDescent="0.35">
      <c r="A1061" s="41">
        <f t="shared" si="17"/>
        <v>1060</v>
      </c>
      <c r="B1061" s="53"/>
      <c r="C1061" s="57"/>
      <c r="D1061" s="57"/>
      <c r="E1061" s="52"/>
      <c r="F1061" s="52"/>
      <c r="G1061" s="52"/>
      <c r="H1061" s="58"/>
      <c r="I1061" s="58"/>
      <c r="J1061" s="52"/>
      <c r="K1061" s="53"/>
      <c r="L1061" s="53"/>
      <c r="M1061" s="59"/>
      <c r="N1061" s="54"/>
      <c r="O1061" s="54"/>
      <c r="P1061" s="54"/>
      <c r="Q1061" s="62"/>
      <c r="R1061" s="59"/>
    </row>
    <row r="1062" spans="1:18" x14ac:dyDescent="0.35">
      <c r="A1062" s="41">
        <f t="shared" si="17"/>
        <v>1061</v>
      </c>
      <c r="B1062" s="53"/>
      <c r="C1062" s="57"/>
      <c r="D1062" s="57"/>
      <c r="E1062" s="52"/>
      <c r="F1062" s="52"/>
      <c r="G1062" s="52"/>
      <c r="H1062" s="58"/>
      <c r="I1062" s="58"/>
      <c r="J1062" s="52"/>
      <c r="K1062" s="53"/>
      <c r="L1062" s="53"/>
      <c r="M1062" s="59"/>
      <c r="N1062" s="54"/>
      <c r="O1062" s="54"/>
      <c r="P1062" s="54"/>
      <c r="Q1062" s="59"/>
      <c r="R1062" s="59"/>
    </row>
    <row r="1063" spans="1:18" x14ac:dyDescent="0.35">
      <c r="A1063" s="41">
        <f t="shared" si="17"/>
        <v>1062</v>
      </c>
      <c r="B1063" s="53"/>
      <c r="C1063" s="57"/>
      <c r="D1063" s="57"/>
      <c r="E1063" s="52"/>
      <c r="F1063" s="52"/>
      <c r="G1063" s="52"/>
      <c r="H1063" s="58"/>
      <c r="I1063" s="58"/>
      <c r="J1063" s="52"/>
      <c r="K1063" s="53"/>
      <c r="L1063" s="53"/>
      <c r="M1063" s="59"/>
      <c r="N1063" s="54"/>
      <c r="O1063" s="54"/>
      <c r="P1063" s="54"/>
      <c r="Q1063" s="59"/>
      <c r="R1063" s="59"/>
    </row>
    <row r="1064" spans="1:18" x14ac:dyDescent="0.35">
      <c r="A1064" s="41">
        <f t="shared" si="17"/>
        <v>1063</v>
      </c>
      <c r="B1064" s="53"/>
      <c r="C1064" s="57"/>
      <c r="D1064" s="57"/>
      <c r="E1064" s="52"/>
      <c r="F1064" s="52"/>
      <c r="G1064" s="52"/>
      <c r="H1064" s="58"/>
      <c r="I1064" s="58"/>
      <c r="J1064" s="52"/>
      <c r="K1064" s="53"/>
      <c r="L1064" s="53"/>
      <c r="M1064" s="59"/>
      <c r="N1064" s="54"/>
      <c r="O1064" s="54"/>
      <c r="P1064" s="54"/>
      <c r="Q1064" s="53"/>
      <c r="R1064" s="59"/>
    </row>
    <row r="1065" spans="1:18" x14ac:dyDescent="0.35">
      <c r="A1065" s="41">
        <f t="shared" si="17"/>
        <v>1064</v>
      </c>
      <c r="B1065" s="53"/>
      <c r="C1065" s="57"/>
      <c r="D1065" s="57"/>
      <c r="E1065" s="52"/>
      <c r="F1065" s="52"/>
      <c r="G1065" s="52"/>
      <c r="H1065" s="58"/>
      <c r="I1065" s="58"/>
      <c r="J1065" s="52"/>
      <c r="K1065" s="53"/>
      <c r="L1065" s="53"/>
      <c r="M1065" s="59"/>
      <c r="N1065" s="54"/>
      <c r="O1065" s="54"/>
      <c r="P1065" s="54"/>
      <c r="Q1065" s="53"/>
      <c r="R1065" s="59"/>
    </row>
    <row r="1066" spans="1:18" x14ac:dyDescent="0.35">
      <c r="A1066" s="41">
        <f t="shared" si="17"/>
        <v>1065</v>
      </c>
      <c r="B1066" s="53"/>
      <c r="C1066" s="57"/>
      <c r="D1066" s="57"/>
      <c r="E1066" s="52"/>
      <c r="F1066" s="52"/>
      <c r="G1066" s="52"/>
      <c r="H1066" s="58"/>
      <c r="I1066" s="58"/>
      <c r="J1066" s="52"/>
      <c r="K1066" s="53"/>
      <c r="L1066" s="53"/>
      <c r="M1066" s="59"/>
      <c r="N1066" s="54"/>
      <c r="O1066" s="54"/>
      <c r="P1066" s="54"/>
      <c r="Q1066" s="59"/>
      <c r="R1066" s="59"/>
    </row>
    <row r="1067" spans="1:18" x14ac:dyDescent="0.35">
      <c r="A1067" s="41">
        <f t="shared" ref="A1067:A1112" si="18">ROW()-1</f>
        <v>1066</v>
      </c>
      <c r="B1067" s="53"/>
      <c r="C1067" s="57"/>
      <c r="D1067" s="57"/>
      <c r="E1067" s="52"/>
      <c r="F1067" s="52"/>
      <c r="G1067" s="52"/>
      <c r="H1067" s="58"/>
      <c r="I1067" s="58"/>
      <c r="J1067" s="52"/>
      <c r="K1067" s="53"/>
      <c r="L1067" s="53"/>
      <c r="M1067" s="59"/>
      <c r="N1067" s="54"/>
      <c r="O1067" s="54"/>
      <c r="P1067" s="54"/>
      <c r="Q1067" s="59"/>
      <c r="R1067" s="59"/>
    </row>
    <row r="1068" spans="1:18" x14ac:dyDescent="0.35">
      <c r="A1068" s="41">
        <f t="shared" si="18"/>
        <v>1067</v>
      </c>
      <c r="B1068" s="53"/>
      <c r="C1068" s="57"/>
      <c r="D1068" s="57"/>
      <c r="E1068" s="52"/>
      <c r="F1068" s="52"/>
      <c r="G1068" s="52"/>
      <c r="H1068" s="58"/>
      <c r="I1068" s="58"/>
      <c r="J1068" s="52"/>
      <c r="K1068" s="53"/>
      <c r="L1068" s="53"/>
      <c r="M1068" s="59"/>
      <c r="N1068" s="54"/>
      <c r="O1068" s="54"/>
      <c r="P1068" s="54"/>
      <c r="Q1068" s="53"/>
      <c r="R1068" s="59"/>
    </row>
    <row r="1069" spans="1:18" x14ac:dyDescent="0.35">
      <c r="A1069" s="41">
        <f t="shared" si="18"/>
        <v>1068</v>
      </c>
      <c r="B1069" s="53"/>
      <c r="C1069" s="57"/>
      <c r="D1069" s="57"/>
      <c r="E1069" s="52"/>
      <c r="F1069" s="52"/>
      <c r="G1069" s="52"/>
      <c r="H1069" s="58"/>
      <c r="I1069" s="58"/>
      <c r="J1069" s="52"/>
      <c r="K1069" s="53"/>
      <c r="L1069" s="53"/>
      <c r="M1069" s="59"/>
      <c r="N1069" s="54"/>
      <c r="O1069" s="54"/>
      <c r="P1069" s="54"/>
      <c r="Q1069" s="69"/>
      <c r="R1069" s="59"/>
    </row>
    <row r="1070" spans="1:18" x14ac:dyDescent="0.35">
      <c r="A1070" s="41">
        <f t="shared" si="18"/>
        <v>1069</v>
      </c>
      <c r="B1070" s="53"/>
      <c r="C1070" s="57"/>
      <c r="D1070" s="57"/>
      <c r="E1070" s="52"/>
      <c r="F1070" s="52"/>
      <c r="G1070" s="52"/>
      <c r="H1070" s="58"/>
      <c r="I1070" s="58"/>
      <c r="J1070" s="52"/>
      <c r="K1070" s="53"/>
      <c r="L1070" s="53"/>
      <c r="M1070" s="59"/>
      <c r="N1070" s="54"/>
      <c r="O1070" s="54"/>
      <c r="P1070" s="54"/>
      <c r="Q1070" s="59"/>
      <c r="R1070" s="59"/>
    </row>
    <row r="1071" spans="1:18" x14ac:dyDescent="0.35">
      <c r="A1071" s="41">
        <f t="shared" si="18"/>
        <v>1070</v>
      </c>
      <c r="B1071" s="53"/>
      <c r="C1071" s="57"/>
      <c r="D1071" s="57"/>
      <c r="E1071" s="52"/>
      <c r="F1071" s="52"/>
      <c r="G1071" s="52"/>
      <c r="H1071" s="58"/>
      <c r="I1071" s="58"/>
      <c r="J1071" s="52"/>
      <c r="K1071" s="53"/>
      <c r="L1071" s="53"/>
      <c r="M1071" s="59"/>
      <c r="N1071" s="54"/>
      <c r="O1071" s="54"/>
      <c r="P1071" s="54"/>
      <c r="Q1071" s="59"/>
      <c r="R1071" s="59"/>
    </row>
    <row r="1072" spans="1:18" x14ac:dyDescent="0.35">
      <c r="A1072" s="41">
        <f t="shared" si="18"/>
        <v>1071</v>
      </c>
      <c r="B1072" s="53"/>
      <c r="C1072" s="57"/>
      <c r="D1072" s="57"/>
      <c r="E1072" s="52"/>
      <c r="F1072" s="52"/>
      <c r="G1072" s="52"/>
      <c r="H1072" s="58"/>
      <c r="I1072" s="58"/>
      <c r="J1072" s="52"/>
      <c r="K1072" s="53"/>
      <c r="L1072" s="53"/>
      <c r="M1072" s="59"/>
      <c r="N1072" s="54"/>
      <c r="O1072" s="54"/>
      <c r="P1072" s="54"/>
      <c r="Q1072" s="53"/>
      <c r="R1072" s="59"/>
    </row>
    <row r="1073" spans="1:18" x14ac:dyDescent="0.35">
      <c r="A1073" s="41">
        <f t="shared" si="18"/>
        <v>1072</v>
      </c>
      <c r="B1073" s="53"/>
      <c r="C1073" s="57"/>
      <c r="D1073" s="57"/>
      <c r="E1073" s="52"/>
      <c r="F1073" s="52"/>
      <c r="G1073" s="52"/>
      <c r="H1073" s="58"/>
      <c r="I1073" s="58"/>
      <c r="J1073" s="52"/>
      <c r="K1073" s="53"/>
      <c r="L1073" s="53"/>
      <c r="M1073" s="59"/>
      <c r="N1073" s="54"/>
      <c r="O1073" s="54"/>
      <c r="P1073" s="54"/>
      <c r="Q1073" s="53"/>
      <c r="R1073" s="59"/>
    </row>
    <row r="1074" spans="1:18" x14ac:dyDescent="0.35">
      <c r="A1074" s="41">
        <f t="shared" si="18"/>
        <v>1073</v>
      </c>
      <c r="B1074" s="53"/>
      <c r="C1074" s="57"/>
      <c r="D1074" s="57"/>
      <c r="E1074" s="52"/>
      <c r="F1074" s="52"/>
      <c r="G1074" s="52"/>
      <c r="H1074" s="58"/>
      <c r="I1074" s="58"/>
      <c r="J1074" s="52"/>
      <c r="K1074" s="53"/>
      <c r="L1074" s="53"/>
      <c r="M1074" s="59"/>
      <c r="N1074" s="54"/>
      <c r="O1074" s="54"/>
      <c r="P1074" s="54"/>
      <c r="Q1074" s="59"/>
      <c r="R1074" s="59"/>
    </row>
    <row r="1075" spans="1:18" x14ac:dyDescent="0.35">
      <c r="A1075" s="41">
        <f t="shared" si="18"/>
        <v>1074</v>
      </c>
      <c r="B1075" s="53"/>
      <c r="C1075" s="57"/>
      <c r="D1075" s="57"/>
      <c r="E1075" s="52"/>
      <c r="F1075" s="52"/>
      <c r="G1075" s="52"/>
      <c r="H1075" s="58"/>
      <c r="I1075" s="58"/>
      <c r="J1075" s="52"/>
      <c r="K1075" s="53"/>
      <c r="L1075" s="53"/>
      <c r="M1075" s="59"/>
      <c r="N1075" s="54"/>
      <c r="O1075" s="54"/>
      <c r="P1075" s="54"/>
      <c r="Q1075" s="69"/>
      <c r="R1075" s="59"/>
    </row>
    <row r="1076" spans="1:18" x14ac:dyDescent="0.35">
      <c r="A1076" s="41">
        <f t="shared" si="18"/>
        <v>1075</v>
      </c>
      <c r="B1076" s="53"/>
      <c r="C1076" s="57"/>
      <c r="D1076" s="57"/>
      <c r="E1076" s="52"/>
      <c r="F1076" s="52"/>
      <c r="G1076" s="52"/>
      <c r="H1076" s="58"/>
      <c r="I1076" s="58"/>
      <c r="J1076" s="52"/>
      <c r="K1076" s="53"/>
      <c r="L1076" s="53"/>
      <c r="M1076" s="59"/>
      <c r="N1076" s="54"/>
      <c r="O1076" s="54"/>
      <c r="P1076" s="54"/>
      <c r="Q1076" s="59"/>
      <c r="R1076" s="59"/>
    </row>
    <row r="1077" spans="1:18" x14ac:dyDescent="0.35">
      <c r="A1077" s="41">
        <f t="shared" si="18"/>
        <v>1076</v>
      </c>
      <c r="B1077" s="53"/>
      <c r="C1077" s="57"/>
      <c r="D1077" s="57"/>
      <c r="E1077" s="52"/>
      <c r="F1077" s="52"/>
      <c r="G1077" s="52"/>
      <c r="H1077" s="58"/>
      <c r="I1077" s="58"/>
      <c r="J1077" s="52"/>
      <c r="K1077" s="53"/>
      <c r="L1077" s="53"/>
      <c r="M1077" s="59"/>
      <c r="N1077" s="54"/>
      <c r="O1077" s="54"/>
      <c r="P1077" s="54"/>
      <c r="Q1077" s="59"/>
      <c r="R1077" s="59"/>
    </row>
    <row r="1078" spans="1:18" x14ac:dyDescent="0.35">
      <c r="A1078" s="41">
        <f t="shared" si="18"/>
        <v>1077</v>
      </c>
      <c r="B1078" s="53"/>
      <c r="C1078" s="57"/>
      <c r="D1078" s="57"/>
      <c r="E1078" s="52"/>
      <c r="F1078" s="52"/>
      <c r="G1078" s="52"/>
      <c r="H1078" s="58"/>
      <c r="I1078" s="58"/>
      <c r="J1078" s="52"/>
      <c r="K1078" s="53"/>
      <c r="L1078" s="53"/>
      <c r="M1078" s="59"/>
      <c r="N1078" s="54"/>
      <c r="O1078" s="54"/>
      <c r="P1078" s="54"/>
      <c r="Q1078" s="59"/>
      <c r="R1078" s="59"/>
    </row>
    <row r="1079" spans="1:18" x14ac:dyDescent="0.35">
      <c r="A1079" s="41">
        <f t="shared" si="18"/>
        <v>1078</v>
      </c>
      <c r="B1079" s="53"/>
      <c r="C1079" s="57"/>
      <c r="D1079" s="57"/>
      <c r="E1079" s="52"/>
      <c r="F1079" s="52"/>
      <c r="G1079" s="52"/>
      <c r="H1079" s="58"/>
      <c r="I1079" s="58"/>
      <c r="J1079" s="52"/>
      <c r="K1079" s="53"/>
      <c r="L1079" s="53"/>
      <c r="M1079" s="59"/>
      <c r="N1079" s="54"/>
      <c r="O1079" s="54"/>
      <c r="P1079" s="54"/>
      <c r="Q1079" s="59"/>
      <c r="R1079" s="59"/>
    </row>
    <row r="1080" spans="1:18" x14ac:dyDescent="0.35">
      <c r="A1080" s="41">
        <f t="shared" si="18"/>
        <v>1079</v>
      </c>
      <c r="B1080" s="53"/>
      <c r="C1080" s="57"/>
      <c r="D1080" s="57"/>
      <c r="E1080" s="52"/>
      <c r="F1080" s="52"/>
      <c r="G1080" s="52"/>
      <c r="H1080" s="58"/>
      <c r="I1080" s="58"/>
      <c r="J1080" s="52"/>
      <c r="K1080" s="53"/>
      <c r="L1080" s="53"/>
      <c r="M1080" s="59"/>
      <c r="N1080" s="54"/>
      <c r="O1080" s="54"/>
      <c r="P1080" s="54"/>
      <c r="Q1080" s="59"/>
      <c r="R1080" s="59"/>
    </row>
    <row r="1081" spans="1:18" x14ac:dyDescent="0.35">
      <c r="A1081" s="41">
        <f t="shared" si="18"/>
        <v>1080</v>
      </c>
      <c r="B1081" s="53"/>
      <c r="C1081" s="57"/>
      <c r="D1081" s="57"/>
      <c r="E1081" s="52"/>
      <c r="F1081" s="52"/>
      <c r="G1081" s="52"/>
      <c r="H1081" s="58"/>
      <c r="I1081" s="58"/>
      <c r="J1081" s="52"/>
      <c r="K1081" s="53"/>
      <c r="L1081" s="53"/>
      <c r="M1081" s="59"/>
      <c r="N1081" s="54"/>
      <c r="O1081" s="54"/>
      <c r="P1081" s="54"/>
      <c r="Q1081" s="53"/>
      <c r="R1081" s="59"/>
    </row>
    <row r="1082" spans="1:18" x14ac:dyDescent="0.35">
      <c r="A1082" s="41">
        <f t="shared" si="18"/>
        <v>1081</v>
      </c>
      <c r="B1082" s="53"/>
      <c r="C1082" s="57"/>
      <c r="D1082" s="57"/>
      <c r="E1082" s="52"/>
      <c r="F1082" s="52"/>
      <c r="G1082" s="52"/>
      <c r="H1082" s="58"/>
      <c r="I1082" s="58"/>
      <c r="J1082" s="52"/>
      <c r="K1082" s="53"/>
      <c r="L1082" s="53"/>
      <c r="M1082" s="59"/>
      <c r="N1082" s="54"/>
      <c r="O1082" s="54"/>
      <c r="P1082" s="54"/>
      <c r="Q1082" s="62"/>
      <c r="R1082" s="59"/>
    </row>
    <row r="1083" spans="1:18" x14ac:dyDescent="0.35">
      <c r="A1083" s="41">
        <f t="shared" si="18"/>
        <v>1082</v>
      </c>
      <c r="B1083" s="53"/>
      <c r="C1083" s="57"/>
      <c r="D1083" s="57"/>
      <c r="E1083" s="52"/>
      <c r="F1083" s="52"/>
      <c r="G1083" s="52"/>
      <c r="H1083" s="58"/>
      <c r="I1083" s="58"/>
      <c r="J1083" s="52"/>
      <c r="K1083" s="53"/>
      <c r="L1083" s="53"/>
      <c r="M1083" s="59"/>
      <c r="N1083" s="54"/>
      <c r="O1083" s="54"/>
      <c r="P1083" s="54"/>
      <c r="Q1083" s="59"/>
      <c r="R1083" s="59"/>
    </row>
    <row r="1084" spans="1:18" x14ac:dyDescent="0.35">
      <c r="A1084" s="41">
        <f t="shared" si="18"/>
        <v>1083</v>
      </c>
      <c r="B1084" s="53"/>
      <c r="C1084" s="57"/>
      <c r="D1084" s="57"/>
      <c r="E1084" s="52"/>
      <c r="F1084" s="52"/>
      <c r="G1084" s="52"/>
      <c r="H1084" s="58"/>
      <c r="I1084" s="58"/>
      <c r="J1084" s="52"/>
      <c r="K1084" s="53"/>
      <c r="L1084" s="53"/>
      <c r="M1084" s="59"/>
      <c r="N1084" s="54"/>
      <c r="O1084" s="54"/>
      <c r="P1084" s="54"/>
      <c r="Q1084" s="62"/>
      <c r="R1084" s="59"/>
    </row>
    <row r="1085" spans="1:18" x14ac:dyDescent="0.35">
      <c r="A1085" s="41">
        <f t="shared" si="18"/>
        <v>1084</v>
      </c>
      <c r="B1085" s="53"/>
      <c r="C1085" s="57"/>
      <c r="D1085" s="57"/>
      <c r="E1085" s="52"/>
      <c r="F1085" s="52"/>
      <c r="G1085" s="52"/>
      <c r="H1085" s="58"/>
      <c r="I1085" s="58"/>
      <c r="J1085" s="52"/>
      <c r="K1085" s="53"/>
      <c r="L1085" s="53"/>
      <c r="M1085" s="59"/>
      <c r="N1085" s="54"/>
      <c r="O1085" s="54"/>
      <c r="P1085" s="54"/>
      <c r="Q1085" s="59"/>
      <c r="R1085" s="59"/>
    </row>
    <row r="1086" spans="1:18" x14ac:dyDescent="0.35">
      <c r="A1086" s="41">
        <f t="shared" si="18"/>
        <v>1085</v>
      </c>
      <c r="B1086" s="53"/>
      <c r="C1086" s="57"/>
      <c r="D1086" s="57"/>
      <c r="E1086" s="52"/>
      <c r="F1086" s="52"/>
      <c r="G1086" s="52"/>
      <c r="H1086" s="58"/>
      <c r="I1086" s="58"/>
      <c r="J1086" s="52"/>
      <c r="K1086" s="53"/>
      <c r="L1086" s="53"/>
      <c r="M1086" s="59"/>
      <c r="N1086" s="54"/>
      <c r="O1086" s="54"/>
      <c r="P1086" s="54"/>
      <c r="Q1086" s="59"/>
      <c r="R1086" s="59"/>
    </row>
    <row r="1087" spans="1:18" x14ac:dyDescent="0.35">
      <c r="A1087" s="41">
        <f t="shared" si="18"/>
        <v>1086</v>
      </c>
      <c r="B1087" s="53"/>
      <c r="C1087" s="55"/>
      <c r="D1087" s="57"/>
      <c r="E1087" s="52"/>
      <c r="F1087" s="52"/>
      <c r="G1087" s="52"/>
      <c r="H1087" s="58"/>
      <c r="I1087" s="58"/>
      <c r="J1087" s="52"/>
      <c r="K1087" s="53"/>
      <c r="L1087" s="53"/>
      <c r="M1087" s="59"/>
      <c r="N1087" s="54"/>
      <c r="O1087" s="54"/>
      <c r="P1087" s="54"/>
      <c r="Q1087" s="53"/>
      <c r="R1087" s="59"/>
    </row>
    <row r="1088" spans="1:18" x14ac:dyDescent="0.35">
      <c r="A1088" s="41">
        <f t="shared" si="18"/>
        <v>1087</v>
      </c>
      <c r="B1088" s="53"/>
      <c r="C1088" s="57"/>
      <c r="D1088" s="57"/>
      <c r="E1088" s="52"/>
      <c r="F1088" s="52"/>
      <c r="G1088" s="52"/>
      <c r="H1088" s="58"/>
      <c r="I1088" s="58"/>
      <c r="J1088" s="52"/>
      <c r="K1088" s="53"/>
      <c r="L1088" s="53"/>
      <c r="M1088" s="59"/>
      <c r="N1088" s="54"/>
      <c r="O1088" s="54"/>
      <c r="P1088" s="54"/>
      <c r="Q1088" s="59"/>
      <c r="R1088" s="59"/>
    </row>
    <row r="1089" spans="1:18" x14ac:dyDescent="0.35">
      <c r="A1089" s="41">
        <f t="shared" si="18"/>
        <v>1088</v>
      </c>
      <c r="B1089" s="53"/>
      <c r="C1089" s="57"/>
      <c r="D1089" s="57"/>
      <c r="E1089" s="52"/>
      <c r="F1089" s="52"/>
      <c r="G1089" s="52"/>
      <c r="H1089" s="58"/>
      <c r="I1089" s="58"/>
      <c r="J1089" s="52"/>
      <c r="K1089" s="53"/>
      <c r="L1089" s="53"/>
      <c r="M1089" s="59"/>
      <c r="N1089" s="54"/>
      <c r="O1089" s="54"/>
      <c r="P1089" s="54"/>
      <c r="Q1089" s="59"/>
      <c r="R1089" s="59"/>
    </row>
    <row r="1090" spans="1:18" x14ac:dyDescent="0.35">
      <c r="A1090" s="41">
        <f t="shared" si="18"/>
        <v>1089</v>
      </c>
      <c r="B1090" s="53"/>
      <c r="C1090" s="57"/>
      <c r="D1090" s="57"/>
      <c r="E1090" s="52"/>
      <c r="F1090" s="52"/>
      <c r="G1090" s="52"/>
      <c r="H1090" s="58"/>
      <c r="I1090" s="58"/>
      <c r="J1090" s="52"/>
      <c r="K1090" s="53"/>
      <c r="L1090" s="53"/>
      <c r="M1090" s="59"/>
      <c r="N1090" s="54"/>
      <c r="O1090" s="54"/>
      <c r="P1090" s="54"/>
      <c r="Q1090" s="59"/>
      <c r="R1090" s="59"/>
    </row>
    <row r="1091" spans="1:18" x14ac:dyDescent="0.35">
      <c r="A1091" s="41">
        <f t="shared" si="18"/>
        <v>1090</v>
      </c>
      <c r="B1091" s="53"/>
      <c r="C1091" s="57"/>
      <c r="D1091" s="57"/>
      <c r="E1091" s="52"/>
      <c r="F1091" s="52"/>
      <c r="G1091" s="52"/>
      <c r="H1091" s="58"/>
      <c r="I1091" s="58"/>
      <c r="J1091" s="52"/>
      <c r="K1091" s="53"/>
      <c r="L1091" s="53"/>
      <c r="M1091" s="59"/>
      <c r="N1091" s="54"/>
      <c r="O1091" s="54"/>
      <c r="P1091" s="54"/>
      <c r="Q1091" s="59"/>
      <c r="R1091" s="59"/>
    </row>
    <row r="1092" spans="1:18" x14ac:dyDescent="0.35">
      <c r="A1092" s="41">
        <f t="shared" si="18"/>
        <v>1091</v>
      </c>
      <c r="B1092" s="53"/>
      <c r="C1092" s="57"/>
      <c r="D1092" s="57"/>
      <c r="E1092" s="52"/>
      <c r="F1092" s="52"/>
      <c r="G1092" s="52"/>
      <c r="H1092" s="58"/>
      <c r="I1092" s="58"/>
      <c r="J1092" s="52"/>
      <c r="K1092" s="53"/>
      <c r="L1092" s="53"/>
      <c r="M1092" s="59"/>
      <c r="N1092" s="54"/>
      <c r="O1092" s="54"/>
      <c r="P1092" s="54"/>
      <c r="Q1092" s="59"/>
      <c r="R1092" s="59"/>
    </row>
    <row r="1093" spans="1:18" x14ac:dyDescent="0.35">
      <c r="A1093" s="41">
        <f t="shared" si="18"/>
        <v>1092</v>
      </c>
      <c r="B1093" s="53"/>
      <c r="C1093" s="57"/>
      <c r="D1093" s="57"/>
      <c r="E1093" s="52"/>
      <c r="F1093" s="52"/>
      <c r="G1093" s="52"/>
      <c r="H1093" s="58"/>
      <c r="I1093" s="58"/>
      <c r="J1093" s="52"/>
      <c r="K1093" s="53"/>
      <c r="L1093" s="53"/>
      <c r="M1093" s="59"/>
      <c r="N1093" s="54"/>
      <c r="O1093" s="54"/>
      <c r="P1093" s="54"/>
      <c r="Q1093" s="59"/>
      <c r="R1093" s="59"/>
    </row>
    <row r="1094" spans="1:18" x14ac:dyDescent="0.35">
      <c r="A1094" s="41">
        <f t="shared" si="18"/>
        <v>1093</v>
      </c>
      <c r="B1094" s="53"/>
      <c r="C1094" s="57"/>
      <c r="D1094" s="57"/>
      <c r="E1094" s="52"/>
      <c r="F1094" s="52"/>
      <c r="G1094" s="52"/>
      <c r="H1094" s="58"/>
      <c r="I1094" s="58"/>
      <c r="J1094" s="52"/>
      <c r="K1094" s="53"/>
      <c r="L1094" s="53"/>
      <c r="M1094" s="59"/>
      <c r="N1094" s="54"/>
      <c r="O1094" s="54"/>
      <c r="P1094" s="54"/>
      <c r="Q1094" s="59"/>
      <c r="R1094" s="59"/>
    </row>
    <row r="1095" spans="1:18" x14ac:dyDescent="0.35">
      <c r="A1095" s="41">
        <f t="shared" si="18"/>
        <v>1094</v>
      </c>
      <c r="B1095" s="53"/>
      <c r="C1095" s="57"/>
      <c r="D1095" s="57"/>
      <c r="E1095" s="52"/>
      <c r="F1095" s="52"/>
      <c r="G1095" s="52"/>
      <c r="H1095" s="58"/>
      <c r="I1095" s="58"/>
      <c r="J1095" s="52"/>
      <c r="K1095" s="53"/>
      <c r="L1095" s="53"/>
      <c r="M1095" s="59"/>
      <c r="N1095" s="54"/>
      <c r="O1095" s="54"/>
      <c r="P1095" s="54"/>
      <c r="Q1095" s="59"/>
      <c r="R1095" s="59"/>
    </row>
    <row r="1096" spans="1:18" x14ac:dyDescent="0.35">
      <c r="A1096" s="41">
        <f t="shared" si="18"/>
        <v>1095</v>
      </c>
      <c r="B1096" s="53"/>
      <c r="C1096" s="57"/>
      <c r="D1096" s="57"/>
      <c r="E1096" s="52"/>
      <c r="F1096" s="52"/>
      <c r="G1096" s="52"/>
      <c r="H1096" s="58"/>
      <c r="I1096" s="58"/>
      <c r="J1096" s="52"/>
      <c r="K1096" s="53"/>
      <c r="L1096" s="53"/>
      <c r="M1096" s="59"/>
      <c r="N1096" s="54"/>
      <c r="O1096" s="54"/>
      <c r="P1096" s="54"/>
      <c r="Q1096" s="59"/>
      <c r="R1096" s="59"/>
    </row>
    <row r="1097" spans="1:18" x14ac:dyDescent="0.35">
      <c r="A1097" s="41">
        <f t="shared" si="18"/>
        <v>1096</v>
      </c>
      <c r="B1097" s="53"/>
      <c r="C1097" s="57"/>
      <c r="D1097" s="57"/>
      <c r="E1097" s="52"/>
      <c r="F1097" s="52"/>
      <c r="G1097" s="52"/>
      <c r="H1097" s="58"/>
      <c r="I1097" s="58"/>
      <c r="J1097" s="52"/>
      <c r="K1097" s="53"/>
      <c r="L1097" s="53"/>
      <c r="M1097" s="59"/>
      <c r="N1097" s="54"/>
      <c r="O1097" s="54"/>
      <c r="P1097" s="54"/>
      <c r="Q1097" s="59"/>
      <c r="R1097" s="59"/>
    </row>
    <row r="1098" spans="1:18" x14ac:dyDescent="0.35">
      <c r="A1098" s="41">
        <f t="shared" si="18"/>
        <v>1097</v>
      </c>
      <c r="B1098" s="53"/>
      <c r="C1098" s="55"/>
      <c r="D1098" s="57"/>
      <c r="E1098" s="52"/>
      <c r="F1098" s="52"/>
      <c r="G1098" s="52"/>
      <c r="H1098" s="58"/>
      <c r="I1098" s="58"/>
      <c r="J1098" s="52"/>
      <c r="K1098" s="53"/>
      <c r="L1098" s="53"/>
      <c r="M1098" s="59"/>
      <c r="N1098" s="54"/>
      <c r="O1098" s="54"/>
      <c r="P1098" s="54"/>
      <c r="Q1098" s="59"/>
      <c r="R1098" s="59"/>
    </row>
    <row r="1099" spans="1:18" x14ac:dyDescent="0.35">
      <c r="A1099" s="41">
        <f t="shared" si="18"/>
        <v>1098</v>
      </c>
      <c r="B1099" s="53"/>
      <c r="C1099" s="55"/>
      <c r="D1099" s="57"/>
      <c r="E1099" s="52"/>
      <c r="F1099" s="52"/>
      <c r="G1099" s="52"/>
      <c r="H1099" s="58"/>
      <c r="I1099" s="58"/>
      <c r="J1099" s="52"/>
      <c r="K1099" s="53"/>
      <c r="L1099" s="53"/>
      <c r="M1099" s="59"/>
      <c r="N1099" s="54"/>
      <c r="O1099" s="54"/>
      <c r="P1099" s="54"/>
      <c r="Q1099" s="53"/>
      <c r="R1099" s="59"/>
    </row>
    <row r="1100" spans="1:18" x14ac:dyDescent="0.35">
      <c r="A1100" s="41">
        <f t="shared" si="18"/>
        <v>1099</v>
      </c>
      <c r="B1100" s="53"/>
      <c r="C1100" s="55"/>
      <c r="D1100" s="57"/>
      <c r="E1100" s="52"/>
      <c r="F1100" s="52"/>
      <c r="G1100" s="52"/>
      <c r="H1100" s="58"/>
      <c r="I1100" s="58"/>
      <c r="J1100" s="52"/>
      <c r="K1100" s="53"/>
      <c r="L1100" s="53"/>
      <c r="M1100" s="59"/>
      <c r="N1100" s="54"/>
      <c r="O1100" s="54"/>
      <c r="P1100" s="54"/>
      <c r="Q1100" s="53"/>
      <c r="R1100" s="59"/>
    </row>
    <row r="1101" spans="1:18" x14ac:dyDescent="0.35">
      <c r="A1101" s="41">
        <f t="shared" si="18"/>
        <v>1100</v>
      </c>
      <c r="B1101" s="53"/>
      <c r="C1101" s="55"/>
      <c r="D1101" s="57"/>
      <c r="E1101" s="52"/>
      <c r="F1101" s="52"/>
      <c r="G1101" s="52"/>
      <c r="H1101" s="58"/>
      <c r="I1101" s="58"/>
      <c r="J1101" s="52"/>
      <c r="K1101" s="53"/>
      <c r="L1101" s="53"/>
      <c r="M1101" s="59"/>
      <c r="N1101" s="54"/>
      <c r="O1101" s="54"/>
      <c r="P1101" s="54"/>
      <c r="Q1101" s="53"/>
      <c r="R1101" s="59"/>
    </row>
    <row r="1102" spans="1:18" x14ac:dyDescent="0.35">
      <c r="A1102" s="41">
        <f t="shared" si="18"/>
        <v>1101</v>
      </c>
      <c r="B1102" s="53"/>
      <c r="C1102" s="55"/>
      <c r="D1102" s="57"/>
      <c r="E1102" s="52"/>
      <c r="F1102" s="52"/>
      <c r="G1102" s="52"/>
      <c r="H1102" s="58"/>
      <c r="I1102" s="58"/>
      <c r="J1102" s="52"/>
      <c r="K1102" s="53"/>
      <c r="L1102" s="53"/>
      <c r="M1102" s="59"/>
      <c r="N1102" s="54"/>
      <c r="O1102" s="54"/>
      <c r="P1102" s="54"/>
      <c r="Q1102" s="69"/>
      <c r="R1102" s="59"/>
    </row>
    <row r="1103" spans="1:18" x14ac:dyDescent="0.35">
      <c r="A1103" s="41">
        <f t="shared" si="18"/>
        <v>1102</v>
      </c>
      <c r="B1103" s="53"/>
      <c r="C1103" s="57"/>
      <c r="D1103" s="57"/>
      <c r="E1103" s="52"/>
      <c r="F1103" s="52"/>
      <c r="G1103" s="52"/>
      <c r="H1103" s="58"/>
      <c r="I1103" s="58"/>
      <c r="J1103" s="52"/>
      <c r="K1103" s="53"/>
      <c r="L1103" s="53"/>
      <c r="M1103" s="59"/>
      <c r="N1103" s="54"/>
      <c r="O1103" s="54"/>
      <c r="P1103" s="54"/>
      <c r="Q1103" s="59"/>
      <c r="R1103" s="59"/>
    </row>
    <row r="1104" spans="1:18" x14ac:dyDescent="0.35">
      <c r="A1104" s="41">
        <f t="shared" si="18"/>
        <v>1103</v>
      </c>
      <c r="B1104" s="53"/>
      <c r="C1104" s="57"/>
      <c r="D1104" s="57"/>
      <c r="E1104" s="52"/>
      <c r="F1104" s="52"/>
      <c r="G1104" s="52"/>
      <c r="H1104" s="58"/>
      <c r="I1104" s="58"/>
      <c r="J1104" s="52"/>
      <c r="K1104" s="53"/>
      <c r="L1104" s="53"/>
      <c r="M1104" s="59"/>
      <c r="N1104" s="54"/>
      <c r="O1104" s="54"/>
      <c r="P1104" s="54"/>
      <c r="Q1104" s="59"/>
      <c r="R1104" s="59"/>
    </row>
    <row r="1105" spans="1:18" x14ac:dyDescent="0.35">
      <c r="A1105" s="41">
        <f t="shared" si="18"/>
        <v>1104</v>
      </c>
      <c r="B1105" s="53"/>
      <c r="C1105" s="57"/>
      <c r="D1105" s="57"/>
      <c r="E1105" s="52"/>
      <c r="F1105" s="52"/>
      <c r="G1105" s="52"/>
      <c r="H1105" s="58"/>
      <c r="I1105" s="58"/>
      <c r="J1105" s="52"/>
      <c r="K1105" s="53"/>
      <c r="L1105" s="53"/>
      <c r="M1105" s="59"/>
      <c r="N1105" s="54"/>
      <c r="O1105" s="54"/>
      <c r="P1105" s="54"/>
      <c r="Q1105" s="59"/>
      <c r="R1105" s="59"/>
    </row>
    <row r="1106" spans="1:18" x14ac:dyDescent="0.35">
      <c r="A1106" s="41">
        <f t="shared" si="18"/>
        <v>1105</v>
      </c>
      <c r="B1106" s="53"/>
      <c r="C1106" s="57"/>
      <c r="D1106" s="57"/>
      <c r="E1106" s="52"/>
      <c r="F1106" s="52"/>
      <c r="G1106" s="52"/>
      <c r="H1106" s="58"/>
      <c r="I1106" s="58"/>
      <c r="J1106" s="52"/>
      <c r="K1106" s="53"/>
      <c r="L1106" s="53"/>
      <c r="M1106" s="59"/>
      <c r="N1106" s="54"/>
      <c r="O1106" s="54"/>
      <c r="P1106" s="54"/>
      <c r="Q1106" s="59"/>
      <c r="R1106" s="59"/>
    </row>
    <row r="1107" spans="1:18" x14ac:dyDescent="0.35">
      <c r="A1107" s="41">
        <f t="shared" si="18"/>
        <v>1106</v>
      </c>
      <c r="B1107" s="53"/>
      <c r="C1107" s="57"/>
      <c r="D1107" s="57"/>
      <c r="E1107" s="52"/>
      <c r="F1107" s="52"/>
      <c r="G1107" s="52"/>
      <c r="H1107" s="58"/>
      <c r="I1107" s="58"/>
      <c r="J1107" s="52"/>
      <c r="K1107" s="53"/>
      <c r="L1107" s="53"/>
      <c r="M1107" s="59"/>
      <c r="N1107" s="54"/>
      <c r="O1107" s="54"/>
      <c r="P1107" s="54"/>
      <c r="Q1107" s="59"/>
      <c r="R1107" s="59"/>
    </row>
    <row r="1108" spans="1:18" x14ac:dyDescent="0.35">
      <c r="A1108" s="41">
        <f t="shared" si="18"/>
        <v>1107</v>
      </c>
      <c r="B1108" s="53"/>
      <c r="C1108" s="57"/>
      <c r="D1108" s="57"/>
      <c r="E1108" s="52"/>
      <c r="F1108" s="52"/>
      <c r="G1108" s="52"/>
      <c r="H1108" s="58"/>
      <c r="I1108" s="58"/>
      <c r="J1108" s="52"/>
      <c r="K1108" s="53"/>
      <c r="L1108" s="53"/>
      <c r="M1108" s="59"/>
      <c r="N1108" s="54"/>
      <c r="O1108" s="54"/>
      <c r="P1108" s="54"/>
      <c r="Q1108" s="59"/>
      <c r="R1108" s="59"/>
    </row>
    <row r="1109" spans="1:18" x14ac:dyDescent="0.35">
      <c r="A1109" s="41">
        <f t="shared" si="18"/>
        <v>1108</v>
      </c>
      <c r="B1109" s="53"/>
      <c r="C1109" s="57"/>
      <c r="D1109" s="57"/>
      <c r="E1109" s="52"/>
      <c r="F1109" s="52"/>
      <c r="G1109" s="52"/>
      <c r="H1109" s="58"/>
      <c r="I1109" s="58"/>
      <c r="J1109" s="52"/>
      <c r="K1109" s="53"/>
      <c r="L1109" s="53"/>
      <c r="M1109" s="59"/>
      <c r="N1109" s="54"/>
      <c r="O1109" s="54"/>
      <c r="P1109" s="54"/>
      <c r="Q1109" s="59"/>
      <c r="R1109" s="59"/>
    </row>
    <row r="1110" spans="1:18" x14ac:dyDescent="0.35">
      <c r="A1110" s="41">
        <f t="shared" si="18"/>
        <v>1109</v>
      </c>
      <c r="B1110" s="53"/>
      <c r="C1110" s="57"/>
      <c r="D1110" s="57"/>
      <c r="E1110" s="52"/>
      <c r="F1110" s="52"/>
      <c r="G1110" s="52"/>
      <c r="H1110" s="58"/>
      <c r="I1110" s="58"/>
      <c r="J1110" s="52"/>
      <c r="K1110" s="53"/>
      <c r="L1110" s="53"/>
      <c r="M1110" s="59"/>
      <c r="N1110" s="54"/>
      <c r="O1110" s="54"/>
      <c r="P1110" s="54"/>
      <c r="Q1110" s="59"/>
      <c r="R1110" s="59"/>
    </row>
    <row r="1111" spans="1:18" x14ac:dyDescent="0.35">
      <c r="A1111" s="41">
        <f t="shared" si="18"/>
        <v>1110</v>
      </c>
      <c r="B1111" s="53"/>
      <c r="C1111" s="57"/>
      <c r="D1111" s="57"/>
      <c r="E1111" s="52"/>
      <c r="F1111" s="52"/>
      <c r="G1111" s="52"/>
      <c r="H1111" s="58"/>
      <c r="I1111" s="58"/>
      <c r="J1111" s="52"/>
      <c r="K1111" s="53"/>
      <c r="L1111" s="53"/>
      <c r="M1111" s="59"/>
      <c r="N1111" s="54"/>
      <c r="O1111" s="54"/>
      <c r="P1111" s="54"/>
      <c r="Q1111" s="59"/>
      <c r="R1111" s="59"/>
    </row>
    <row r="1112" spans="1:18" x14ac:dyDescent="0.35">
      <c r="A1112" s="41">
        <f t="shared" si="18"/>
        <v>1111</v>
      </c>
      <c r="B1112" s="53"/>
      <c r="C1112" s="57"/>
      <c r="D1112" s="57"/>
      <c r="E1112" s="52"/>
      <c r="F1112" s="52"/>
      <c r="G1112" s="52"/>
      <c r="H1112" s="58"/>
      <c r="I1112" s="58"/>
      <c r="J1112" s="52"/>
      <c r="K1112" s="53"/>
      <c r="L1112" s="53"/>
      <c r="M1112" s="59"/>
      <c r="N1112" s="54"/>
      <c r="O1112" s="54"/>
      <c r="P1112" s="54"/>
      <c r="Q1112" s="59"/>
      <c r="R1112" s="59"/>
    </row>
    <row r="1113" spans="1:18" x14ac:dyDescent="0.35">
      <c r="C1113" s="51"/>
      <c r="D1113" s="51"/>
    </row>
    <row r="1114" spans="1:18" x14ac:dyDescent="0.35">
      <c r="C1114" s="51"/>
      <c r="D1114" s="51"/>
    </row>
    <row r="1115" spans="1:18" x14ac:dyDescent="0.35">
      <c r="C1115" s="51"/>
      <c r="D1115" s="51"/>
    </row>
    <row r="1116" spans="1:18" x14ac:dyDescent="0.35">
      <c r="C1116" s="51"/>
      <c r="D1116" s="51"/>
    </row>
    <row r="1117" spans="1:18" x14ac:dyDescent="0.35">
      <c r="C1117" s="51"/>
      <c r="D1117" s="51"/>
    </row>
    <row r="1118" spans="1:18" x14ac:dyDescent="0.35">
      <c r="C1118" s="51"/>
      <c r="D1118" s="51"/>
    </row>
    <row r="1119" spans="1:18" x14ac:dyDescent="0.35">
      <c r="C1119" s="51"/>
      <c r="D1119" s="51"/>
    </row>
    <row r="1120" spans="1:18" x14ac:dyDescent="0.35">
      <c r="C1120" s="51"/>
      <c r="D1120" s="51"/>
    </row>
    <row r="1121" spans="3:4" x14ac:dyDescent="0.35">
      <c r="C1121" s="51"/>
      <c r="D1121" s="51"/>
    </row>
    <row r="1122" spans="3:4" x14ac:dyDescent="0.35">
      <c r="C1122" s="51"/>
      <c r="D1122" s="51"/>
    </row>
    <row r="1123" spans="3:4" x14ac:dyDescent="0.35">
      <c r="C1123" s="51"/>
      <c r="D1123" s="51"/>
    </row>
    <row r="1124" spans="3:4" x14ac:dyDescent="0.35">
      <c r="C1124" s="51"/>
      <c r="D1124" s="51"/>
    </row>
    <row r="1125" spans="3:4" x14ac:dyDescent="0.35">
      <c r="C1125" s="51"/>
      <c r="D1125" s="51"/>
    </row>
    <row r="1126" spans="3:4" x14ac:dyDescent="0.35">
      <c r="C1126" s="51"/>
      <c r="D1126" s="51"/>
    </row>
    <row r="1127" spans="3:4" x14ac:dyDescent="0.35">
      <c r="C1127" s="51"/>
      <c r="D1127" s="51"/>
    </row>
    <row r="1128" spans="3:4" x14ac:dyDescent="0.35">
      <c r="C1128" s="51"/>
      <c r="D1128" s="51"/>
    </row>
    <row r="1129" spans="3:4" x14ac:dyDescent="0.35">
      <c r="C1129" s="51"/>
      <c r="D1129" s="51"/>
    </row>
    <row r="1130" spans="3:4" x14ac:dyDescent="0.35">
      <c r="C1130" s="51"/>
      <c r="D1130" s="51"/>
    </row>
    <row r="1131" spans="3:4" x14ac:dyDescent="0.35">
      <c r="C1131" s="51"/>
      <c r="D1131" s="51"/>
    </row>
    <row r="1132" spans="3:4" x14ac:dyDescent="0.35">
      <c r="C1132" s="51"/>
      <c r="D1132" s="51"/>
    </row>
    <row r="1133" spans="3:4" x14ac:dyDescent="0.35">
      <c r="C1133" s="51"/>
      <c r="D1133" s="51"/>
    </row>
    <row r="1134" spans="3:4" x14ac:dyDescent="0.35">
      <c r="C1134" s="51"/>
      <c r="D1134" s="51"/>
    </row>
    <row r="1135" spans="3:4" x14ac:dyDescent="0.35">
      <c r="C1135" s="51"/>
      <c r="D1135" s="51"/>
    </row>
    <row r="1136" spans="3:4" x14ac:dyDescent="0.35">
      <c r="C1136" s="51"/>
      <c r="D1136" s="51"/>
    </row>
    <row r="1137" spans="3:4" x14ac:dyDescent="0.35">
      <c r="C1137" s="51"/>
      <c r="D1137" s="51"/>
    </row>
    <row r="1138" spans="3:4" x14ac:dyDescent="0.35">
      <c r="C1138" s="51"/>
      <c r="D1138" s="51"/>
    </row>
    <row r="1139" spans="3:4" x14ac:dyDescent="0.35">
      <c r="C1139" s="51"/>
      <c r="D1139" s="51"/>
    </row>
    <row r="1140" spans="3:4" x14ac:dyDescent="0.35">
      <c r="C1140" s="51"/>
      <c r="D1140" s="51"/>
    </row>
    <row r="1141" spans="3:4" x14ac:dyDescent="0.35">
      <c r="C1141" s="51"/>
      <c r="D1141" s="51"/>
    </row>
    <row r="1142" spans="3:4" x14ac:dyDescent="0.35">
      <c r="C1142" s="51"/>
      <c r="D1142" s="51"/>
    </row>
    <row r="1143" spans="3:4" x14ac:dyDescent="0.35">
      <c r="C1143" s="51"/>
      <c r="D1143" s="51"/>
    </row>
    <row r="1144" spans="3:4" x14ac:dyDescent="0.35">
      <c r="C1144" s="51"/>
      <c r="D1144" s="51"/>
    </row>
    <row r="1145" spans="3:4" x14ac:dyDescent="0.35">
      <c r="C1145" s="51"/>
      <c r="D1145" s="51"/>
    </row>
    <row r="1146" spans="3:4" x14ac:dyDescent="0.35">
      <c r="C1146" s="51"/>
      <c r="D1146" s="51"/>
    </row>
    <row r="1147" spans="3:4" x14ac:dyDescent="0.35">
      <c r="C1147" s="51"/>
      <c r="D1147" s="51"/>
    </row>
    <row r="1148" spans="3:4" x14ac:dyDescent="0.35">
      <c r="C1148" s="51"/>
      <c r="D1148" s="51"/>
    </row>
    <row r="1149" spans="3:4" x14ac:dyDescent="0.35">
      <c r="C1149" s="51"/>
      <c r="D1149" s="51"/>
    </row>
    <row r="1150" spans="3:4" x14ac:dyDescent="0.35">
      <c r="C1150" s="51"/>
      <c r="D1150" s="51"/>
    </row>
    <row r="1151" spans="3:4" x14ac:dyDescent="0.35">
      <c r="C1151" s="51"/>
      <c r="D1151" s="51"/>
    </row>
    <row r="1152" spans="3:4" x14ac:dyDescent="0.35">
      <c r="C1152" s="51"/>
      <c r="D1152" s="51"/>
    </row>
    <row r="1153" spans="3:4" x14ac:dyDescent="0.35">
      <c r="C1153" s="51"/>
      <c r="D1153" s="51"/>
    </row>
    <row r="1154" spans="3:4" x14ac:dyDescent="0.35">
      <c r="C1154" s="51"/>
      <c r="D1154" s="51"/>
    </row>
    <row r="1155" spans="3:4" x14ac:dyDescent="0.35">
      <c r="C1155" s="51"/>
      <c r="D1155" s="51"/>
    </row>
    <row r="1156" spans="3:4" x14ac:dyDescent="0.35">
      <c r="C1156" s="51"/>
      <c r="D1156" s="51"/>
    </row>
    <row r="1157" spans="3:4" x14ac:dyDescent="0.35">
      <c r="C1157" s="51"/>
      <c r="D1157" s="51"/>
    </row>
    <row r="1158" spans="3:4" x14ac:dyDescent="0.35">
      <c r="C1158" s="51"/>
      <c r="D1158" s="51"/>
    </row>
    <row r="1159" spans="3:4" x14ac:dyDescent="0.35">
      <c r="C1159" s="51"/>
      <c r="D1159" s="51"/>
    </row>
    <row r="1160" spans="3:4" x14ac:dyDescent="0.35">
      <c r="C1160" s="51"/>
      <c r="D1160" s="51"/>
    </row>
    <row r="1161" spans="3:4" x14ac:dyDescent="0.35">
      <c r="C1161" s="51"/>
      <c r="D1161" s="51"/>
    </row>
    <row r="1162" spans="3:4" x14ac:dyDescent="0.35">
      <c r="C1162" s="51"/>
      <c r="D1162" s="51"/>
    </row>
    <row r="1163" spans="3:4" x14ac:dyDescent="0.35">
      <c r="C1163" s="51"/>
      <c r="D1163" s="51"/>
    </row>
    <row r="1164" spans="3:4" x14ac:dyDescent="0.35">
      <c r="C1164" s="51"/>
      <c r="D1164" s="51"/>
    </row>
    <row r="1165" spans="3:4" x14ac:dyDescent="0.35">
      <c r="C1165" s="51"/>
      <c r="D1165" s="51"/>
    </row>
    <row r="1166" spans="3:4" x14ac:dyDescent="0.35">
      <c r="C1166" s="51"/>
      <c r="D1166" s="51"/>
    </row>
    <row r="1167" spans="3:4" x14ac:dyDescent="0.35">
      <c r="C1167" s="51"/>
      <c r="D1167" s="51"/>
    </row>
    <row r="1168" spans="3:4" x14ac:dyDescent="0.35">
      <c r="C1168" s="51"/>
      <c r="D1168" s="51"/>
    </row>
    <row r="1169" spans="3:4" x14ac:dyDescent="0.35">
      <c r="C1169" s="51"/>
      <c r="D1169" s="51"/>
    </row>
    <row r="1170" spans="3:4" x14ac:dyDescent="0.35">
      <c r="C1170" s="51"/>
      <c r="D1170" s="51"/>
    </row>
    <row r="1171" spans="3:4" x14ac:dyDescent="0.35">
      <c r="C1171" s="51"/>
      <c r="D1171" s="51"/>
    </row>
    <row r="1172" spans="3:4" x14ac:dyDescent="0.35">
      <c r="C1172" s="51"/>
      <c r="D1172" s="51"/>
    </row>
    <row r="1173" spans="3:4" x14ac:dyDescent="0.35">
      <c r="C1173" s="51"/>
      <c r="D1173" s="51"/>
    </row>
    <row r="1174" spans="3:4" x14ac:dyDescent="0.35">
      <c r="C1174" s="51"/>
      <c r="D1174" s="51"/>
    </row>
    <row r="1175" spans="3:4" x14ac:dyDescent="0.35">
      <c r="C1175" s="51"/>
      <c r="D1175" s="51"/>
    </row>
    <row r="1176" spans="3:4" x14ac:dyDescent="0.35">
      <c r="C1176" s="51"/>
      <c r="D1176" s="51"/>
    </row>
    <row r="1177" spans="3:4" x14ac:dyDescent="0.35">
      <c r="C1177" s="51"/>
      <c r="D1177" s="51"/>
    </row>
    <row r="1178" spans="3:4" x14ac:dyDescent="0.35">
      <c r="C1178" s="51"/>
      <c r="D1178" s="51"/>
    </row>
    <row r="1179" spans="3:4" x14ac:dyDescent="0.35">
      <c r="C1179" s="51"/>
      <c r="D1179" s="51"/>
    </row>
    <row r="1180" spans="3:4" x14ac:dyDescent="0.35">
      <c r="C1180" s="51"/>
      <c r="D1180" s="51"/>
    </row>
    <row r="1181" spans="3:4" x14ac:dyDescent="0.35">
      <c r="C1181" s="51"/>
      <c r="D1181" s="51"/>
    </row>
    <row r="1182" spans="3:4" x14ac:dyDescent="0.35">
      <c r="C1182" s="51"/>
      <c r="D1182" s="51"/>
    </row>
    <row r="1183" spans="3:4" x14ac:dyDescent="0.35">
      <c r="C1183" s="51"/>
      <c r="D1183" s="51"/>
    </row>
    <row r="1184" spans="3:4" x14ac:dyDescent="0.35">
      <c r="C1184" s="51"/>
      <c r="D1184" s="51"/>
    </row>
    <row r="1185" spans="3:4" x14ac:dyDescent="0.35">
      <c r="C1185" s="51"/>
      <c r="D1185" s="51"/>
    </row>
    <row r="1186" spans="3:4" x14ac:dyDescent="0.35">
      <c r="C1186" s="51"/>
      <c r="D1186" s="51"/>
    </row>
    <row r="1187" spans="3:4" x14ac:dyDescent="0.35">
      <c r="C1187" s="51"/>
      <c r="D1187" s="51"/>
    </row>
    <row r="1188" spans="3:4" x14ac:dyDescent="0.35">
      <c r="C1188" s="51"/>
      <c r="D1188" s="51"/>
    </row>
    <row r="1189" spans="3:4" x14ac:dyDescent="0.35">
      <c r="C1189" s="51"/>
      <c r="D1189" s="51"/>
    </row>
    <row r="1190" spans="3:4" x14ac:dyDescent="0.35">
      <c r="C1190" s="51"/>
      <c r="D1190" s="51"/>
    </row>
    <row r="1191" spans="3:4" x14ac:dyDescent="0.35">
      <c r="C1191" s="51"/>
      <c r="D1191" s="51"/>
    </row>
    <row r="1192" spans="3:4" x14ac:dyDescent="0.35">
      <c r="C1192" s="51"/>
      <c r="D1192" s="51"/>
    </row>
    <row r="1193" spans="3:4" x14ac:dyDescent="0.35">
      <c r="C1193" s="51"/>
      <c r="D1193" s="51"/>
    </row>
    <row r="1194" spans="3:4" x14ac:dyDescent="0.35">
      <c r="C1194" s="51"/>
      <c r="D1194" s="51"/>
    </row>
    <row r="1195" spans="3:4" x14ac:dyDescent="0.35">
      <c r="C1195" s="51"/>
      <c r="D1195" s="51"/>
    </row>
    <row r="1196" spans="3:4" x14ac:dyDescent="0.35">
      <c r="C1196" s="51"/>
      <c r="D1196" s="51"/>
    </row>
    <row r="1197" spans="3:4" x14ac:dyDescent="0.35">
      <c r="C1197" s="51"/>
      <c r="D1197" s="51"/>
    </row>
    <row r="1198" spans="3:4" x14ac:dyDescent="0.35">
      <c r="C1198" s="51"/>
      <c r="D1198" s="51"/>
    </row>
    <row r="1199" spans="3:4" x14ac:dyDescent="0.35">
      <c r="C1199" s="51"/>
      <c r="D1199" s="51"/>
    </row>
    <row r="1200" spans="3:4" x14ac:dyDescent="0.35">
      <c r="C1200" s="51"/>
      <c r="D1200" s="51"/>
    </row>
    <row r="1201" spans="3:4" x14ac:dyDescent="0.35">
      <c r="C1201" s="51"/>
      <c r="D1201" s="51"/>
    </row>
    <row r="1202" spans="3:4" x14ac:dyDescent="0.35">
      <c r="C1202" s="51"/>
      <c r="D1202" s="51"/>
    </row>
    <row r="1203" spans="3:4" x14ac:dyDescent="0.35">
      <c r="C1203" s="51"/>
      <c r="D1203" s="51"/>
    </row>
    <row r="1204" spans="3:4" x14ac:dyDescent="0.35">
      <c r="C1204" s="51"/>
      <c r="D1204" s="51"/>
    </row>
    <row r="1205" spans="3:4" x14ac:dyDescent="0.35">
      <c r="C1205" s="51"/>
      <c r="D1205" s="51"/>
    </row>
    <row r="1206" spans="3:4" x14ac:dyDescent="0.35">
      <c r="C1206" s="51"/>
      <c r="D1206" s="51"/>
    </row>
    <row r="1207" spans="3:4" x14ac:dyDescent="0.35">
      <c r="C1207" s="51"/>
      <c r="D1207" s="51"/>
    </row>
    <row r="1208" spans="3:4" x14ac:dyDescent="0.35">
      <c r="C1208" s="51"/>
      <c r="D1208" s="51"/>
    </row>
    <row r="1209" spans="3:4" x14ac:dyDescent="0.35">
      <c r="C1209" s="51"/>
      <c r="D1209" s="51"/>
    </row>
    <row r="1210" spans="3:4" x14ac:dyDescent="0.35">
      <c r="C1210" s="51"/>
      <c r="D1210" s="51"/>
    </row>
    <row r="1211" spans="3:4" x14ac:dyDescent="0.35">
      <c r="C1211" s="51"/>
      <c r="D1211" s="51"/>
    </row>
    <row r="1212" spans="3:4" x14ac:dyDescent="0.35">
      <c r="C1212" s="51"/>
      <c r="D1212" s="51"/>
    </row>
    <row r="1213" spans="3:4" x14ac:dyDescent="0.35">
      <c r="C1213" s="51"/>
      <c r="D1213" s="51"/>
    </row>
    <row r="1214" spans="3:4" x14ac:dyDescent="0.35">
      <c r="C1214" s="51"/>
      <c r="D1214" s="51"/>
    </row>
    <row r="1215" spans="3:4" x14ac:dyDescent="0.35">
      <c r="C1215" s="51"/>
      <c r="D1215" s="51"/>
    </row>
    <row r="1216" spans="3:4" x14ac:dyDescent="0.35">
      <c r="C1216" s="51"/>
      <c r="D1216" s="51"/>
    </row>
    <row r="1217" spans="3:4" x14ac:dyDescent="0.35">
      <c r="C1217" s="51"/>
      <c r="D1217" s="51"/>
    </row>
    <row r="1218" spans="3:4" x14ac:dyDescent="0.35">
      <c r="C1218" s="51"/>
      <c r="D1218" s="51"/>
    </row>
    <row r="1219" spans="3:4" x14ac:dyDescent="0.35">
      <c r="C1219" s="51"/>
      <c r="D1219" s="51"/>
    </row>
    <row r="1220" spans="3:4" x14ac:dyDescent="0.35">
      <c r="C1220" s="51"/>
      <c r="D1220" s="51"/>
    </row>
    <row r="1221" spans="3:4" x14ac:dyDescent="0.35">
      <c r="C1221" s="51"/>
      <c r="D1221" s="51"/>
    </row>
    <row r="1222" spans="3:4" x14ac:dyDescent="0.35">
      <c r="C1222" s="51"/>
      <c r="D1222" s="51"/>
    </row>
    <row r="1223" spans="3:4" x14ac:dyDescent="0.35">
      <c r="C1223" s="51"/>
      <c r="D1223" s="51"/>
    </row>
    <row r="1224" spans="3:4" x14ac:dyDescent="0.35">
      <c r="C1224" s="51"/>
      <c r="D1224" s="51"/>
    </row>
    <row r="1225" spans="3:4" x14ac:dyDescent="0.35">
      <c r="C1225" s="51"/>
      <c r="D1225" s="51"/>
    </row>
    <row r="1226" spans="3:4" x14ac:dyDescent="0.35">
      <c r="C1226" s="51"/>
      <c r="D1226" s="51"/>
    </row>
    <row r="1227" spans="3:4" x14ac:dyDescent="0.35">
      <c r="C1227" s="51"/>
      <c r="D1227" s="51"/>
    </row>
    <row r="1228" spans="3:4" x14ac:dyDescent="0.35">
      <c r="C1228" s="51"/>
      <c r="D1228" s="51"/>
    </row>
    <row r="1229" spans="3:4" x14ac:dyDescent="0.35">
      <c r="C1229" s="51"/>
      <c r="D1229" s="51"/>
    </row>
    <row r="1230" spans="3:4" x14ac:dyDescent="0.35">
      <c r="C1230" s="51"/>
      <c r="D1230" s="51"/>
    </row>
    <row r="1231" spans="3:4" x14ac:dyDescent="0.35">
      <c r="C1231" s="51"/>
      <c r="D1231" s="51"/>
    </row>
    <row r="1232" spans="3:4" x14ac:dyDescent="0.35">
      <c r="C1232" s="51"/>
      <c r="D1232" s="51"/>
    </row>
    <row r="1233" spans="3:4" x14ac:dyDescent="0.35">
      <c r="C1233" s="51"/>
      <c r="D1233" s="51"/>
    </row>
    <row r="1234" spans="3:4" x14ac:dyDescent="0.35">
      <c r="C1234" s="51"/>
      <c r="D1234" s="51"/>
    </row>
    <row r="1235" spans="3:4" x14ac:dyDescent="0.35">
      <c r="C1235" s="51"/>
      <c r="D1235" s="51"/>
    </row>
    <row r="1236" spans="3:4" x14ac:dyDescent="0.35">
      <c r="C1236" s="51"/>
      <c r="D1236" s="51"/>
    </row>
    <row r="1237" spans="3:4" x14ac:dyDescent="0.35">
      <c r="C1237" s="51"/>
      <c r="D1237" s="51"/>
    </row>
    <row r="1238" spans="3:4" x14ac:dyDescent="0.35">
      <c r="C1238" s="51"/>
      <c r="D1238" s="51"/>
    </row>
    <row r="1239" spans="3:4" x14ac:dyDescent="0.35">
      <c r="C1239" s="51"/>
      <c r="D1239" s="51"/>
    </row>
    <row r="1240" spans="3:4" x14ac:dyDescent="0.35">
      <c r="C1240" s="51"/>
      <c r="D1240" s="51"/>
    </row>
    <row r="1241" spans="3:4" x14ac:dyDescent="0.35">
      <c r="C1241" s="51"/>
      <c r="D1241" s="51"/>
    </row>
    <row r="1242" spans="3:4" x14ac:dyDescent="0.35">
      <c r="C1242" s="51"/>
      <c r="D1242" s="51"/>
    </row>
    <row r="1243" spans="3:4" x14ac:dyDescent="0.35">
      <c r="C1243" s="51"/>
      <c r="D1243" s="51"/>
    </row>
    <row r="1244" spans="3:4" x14ac:dyDescent="0.35">
      <c r="C1244" s="51"/>
      <c r="D1244" s="51"/>
    </row>
    <row r="1245" spans="3:4" x14ac:dyDescent="0.35">
      <c r="C1245" s="51"/>
      <c r="D1245" s="51"/>
    </row>
    <row r="1246" spans="3:4" x14ac:dyDescent="0.35">
      <c r="C1246" s="51"/>
      <c r="D1246" s="51"/>
    </row>
    <row r="1247" spans="3:4" x14ac:dyDescent="0.35">
      <c r="C1247" s="51"/>
      <c r="D1247" s="51"/>
    </row>
    <row r="1248" spans="3:4" x14ac:dyDescent="0.35">
      <c r="C1248" s="51"/>
      <c r="D1248" s="51"/>
    </row>
    <row r="1249" spans="3:4" x14ac:dyDescent="0.35">
      <c r="C1249" s="51"/>
      <c r="D1249" s="51"/>
    </row>
    <row r="1250" spans="3:4" x14ac:dyDescent="0.35">
      <c r="C1250" s="51"/>
      <c r="D1250" s="51"/>
    </row>
    <row r="1251" spans="3:4" x14ac:dyDescent="0.35">
      <c r="C1251" s="51"/>
      <c r="D1251" s="51"/>
    </row>
    <row r="1252" spans="3:4" x14ac:dyDescent="0.35">
      <c r="C1252" s="51"/>
      <c r="D1252" s="51"/>
    </row>
    <row r="1253" spans="3:4" x14ac:dyDescent="0.35">
      <c r="C1253" s="51"/>
      <c r="D1253" s="51"/>
    </row>
    <row r="1254" spans="3:4" x14ac:dyDescent="0.35">
      <c r="C1254" s="51"/>
      <c r="D1254" s="51"/>
    </row>
    <row r="1255" spans="3:4" x14ac:dyDescent="0.35">
      <c r="C1255" s="51"/>
      <c r="D1255" s="51"/>
    </row>
    <row r="1256" spans="3:4" x14ac:dyDescent="0.35">
      <c r="C1256" s="51"/>
      <c r="D1256" s="51"/>
    </row>
    <row r="1257" spans="3:4" x14ac:dyDescent="0.35">
      <c r="C1257" s="51"/>
      <c r="D1257" s="51"/>
    </row>
    <row r="1258" spans="3:4" x14ac:dyDescent="0.35">
      <c r="C1258" s="51"/>
      <c r="D1258" s="51"/>
    </row>
    <row r="1259" spans="3:4" x14ac:dyDescent="0.35">
      <c r="C1259" s="51"/>
      <c r="D1259" s="51"/>
    </row>
    <row r="1260" spans="3:4" x14ac:dyDescent="0.35">
      <c r="C1260" s="51"/>
      <c r="D1260" s="51"/>
    </row>
    <row r="1261" spans="3:4" x14ac:dyDescent="0.35">
      <c r="C1261" s="51"/>
      <c r="D1261" s="51"/>
    </row>
    <row r="1262" spans="3:4" x14ac:dyDescent="0.35">
      <c r="C1262" s="51"/>
      <c r="D1262" s="51"/>
    </row>
    <row r="1263" spans="3:4" x14ac:dyDescent="0.35">
      <c r="C1263" s="51"/>
      <c r="D1263" s="51"/>
    </row>
    <row r="1264" spans="3:4" x14ac:dyDescent="0.35">
      <c r="C1264" s="51"/>
      <c r="D1264" s="51"/>
    </row>
    <row r="1265" spans="3:4" x14ac:dyDescent="0.35">
      <c r="C1265" s="51"/>
      <c r="D1265" s="51"/>
    </row>
    <row r="1266" spans="3:4" x14ac:dyDescent="0.35">
      <c r="C1266" s="51"/>
      <c r="D1266" s="51"/>
    </row>
    <row r="1267" spans="3:4" x14ac:dyDescent="0.35">
      <c r="C1267" s="51"/>
      <c r="D1267" s="51"/>
    </row>
    <row r="1268" spans="3:4" x14ac:dyDescent="0.35">
      <c r="C1268" s="51"/>
      <c r="D1268" s="51"/>
    </row>
    <row r="1269" spans="3:4" x14ac:dyDescent="0.35">
      <c r="C1269" s="51"/>
      <c r="D1269" s="51"/>
    </row>
    <row r="1270" spans="3:4" x14ac:dyDescent="0.35">
      <c r="C1270" s="51"/>
      <c r="D1270" s="51"/>
    </row>
    <row r="1271" spans="3:4" x14ac:dyDescent="0.35">
      <c r="C1271" s="51"/>
      <c r="D1271" s="51"/>
    </row>
    <row r="1272" spans="3:4" x14ac:dyDescent="0.35">
      <c r="C1272" s="51"/>
      <c r="D1272" s="51"/>
    </row>
    <row r="1273" spans="3:4" x14ac:dyDescent="0.35">
      <c r="C1273" s="51"/>
      <c r="D1273" s="51"/>
    </row>
    <row r="1274" spans="3:4" x14ac:dyDescent="0.35">
      <c r="C1274" s="51"/>
      <c r="D1274" s="51"/>
    </row>
    <row r="1275" spans="3:4" x14ac:dyDescent="0.35">
      <c r="C1275" s="51"/>
      <c r="D1275" s="51"/>
    </row>
    <row r="1276" spans="3:4" x14ac:dyDescent="0.35">
      <c r="C1276" s="51"/>
      <c r="D1276" s="51"/>
    </row>
    <row r="1277" spans="3:4" x14ac:dyDescent="0.35">
      <c r="C1277" s="51"/>
      <c r="D1277" s="51"/>
    </row>
    <row r="1278" spans="3:4" x14ac:dyDescent="0.35">
      <c r="C1278" s="51"/>
      <c r="D1278" s="51"/>
    </row>
    <row r="1279" spans="3:4" x14ac:dyDescent="0.35">
      <c r="C1279" s="51"/>
      <c r="D1279" s="51"/>
    </row>
    <row r="1280" spans="3:4" x14ac:dyDescent="0.35">
      <c r="C1280" s="51"/>
      <c r="D1280" s="51"/>
    </row>
    <row r="1281" spans="3:4" x14ac:dyDescent="0.35">
      <c r="C1281" s="51"/>
      <c r="D1281" s="51"/>
    </row>
    <row r="1282" spans="3:4" x14ac:dyDescent="0.35">
      <c r="C1282" s="51"/>
      <c r="D1282" s="51"/>
    </row>
    <row r="1283" spans="3:4" x14ac:dyDescent="0.35">
      <c r="C1283" s="51"/>
      <c r="D1283" s="51"/>
    </row>
    <row r="1284" spans="3:4" x14ac:dyDescent="0.35">
      <c r="C1284" s="51"/>
      <c r="D1284" s="51"/>
    </row>
    <row r="1285" spans="3:4" x14ac:dyDescent="0.35">
      <c r="C1285" s="51"/>
      <c r="D1285" s="51"/>
    </row>
    <row r="1286" spans="3:4" x14ac:dyDescent="0.35">
      <c r="C1286" s="51"/>
      <c r="D1286" s="51"/>
    </row>
    <row r="1287" spans="3:4" x14ac:dyDescent="0.35">
      <c r="C1287" s="51"/>
      <c r="D1287" s="51"/>
    </row>
    <row r="1288" spans="3:4" x14ac:dyDescent="0.35">
      <c r="C1288" s="51"/>
      <c r="D1288" s="51"/>
    </row>
    <row r="1289" spans="3:4" x14ac:dyDescent="0.35">
      <c r="C1289" s="51"/>
      <c r="D1289" s="51"/>
    </row>
    <row r="1290" spans="3:4" x14ac:dyDescent="0.35">
      <c r="C1290" s="51"/>
      <c r="D1290" s="51"/>
    </row>
    <row r="1291" spans="3:4" x14ac:dyDescent="0.35">
      <c r="C1291" s="51"/>
      <c r="D1291" s="51"/>
    </row>
    <row r="1292" spans="3:4" x14ac:dyDescent="0.35">
      <c r="C1292" s="51"/>
      <c r="D1292" s="51"/>
    </row>
    <row r="1293" spans="3:4" x14ac:dyDescent="0.35">
      <c r="C1293" s="51"/>
      <c r="D1293" s="51"/>
    </row>
    <row r="1294" spans="3:4" x14ac:dyDescent="0.35">
      <c r="C1294" s="51"/>
      <c r="D1294" s="51"/>
    </row>
    <row r="1295" spans="3:4" x14ac:dyDescent="0.35">
      <c r="C1295" s="51"/>
      <c r="D1295" s="51"/>
    </row>
    <row r="1296" spans="3:4" x14ac:dyDescent="0.35">
      <c r="C1296" s="51"/>
      <c r="D1296" s="51"/>
    </row>
    <row r="1297" spans="3:4" x14ac:dyDescent="0.35">
      <c r="C1297" s="51"/>
      <c r="D1297" s="51"/>
    </row>
    <row r="1298" spans="3:4" x14ac:dyDescent="0.35">
      <c r="C1298" s="51"/>
      <c r="D1298" s="51"/>
    </row>
    <row r="1299" spans="3:4" x14ac:dyDescent="0.35">
      <c r="C1299" s="51"/>
      <c r="D1299" s="51"/>
    </row>
    <row r="1300" spans="3:4" x14ac:dyDescent="0.35">
      <c r="C1300" s="51"/>
      <c r="D1300" s="51"/>
    </row>
    <row r="1301" spans="3:4" x14ac:dyDescent="0.35">
      <c r="C1301" s="51"/>
      <c r="D1301" s="51"/>
    </row>
    <row r="1302" spans="3:4" x14ac:dyDescent="0.35">
      <c r="C1302" s="51"/>
      <c r="D1302" s="51"/>
    </row>
    <row r="1303" spans="3:4" x14ac:dyDescent="0.35">
      <c r="C1303" s="51"/>
      <c r="D1303" s="51"/>
    </row>
    <row r="1304" spans="3:4" x14ac:dyDescent="0.35">
      <c r="C1304" s="51"/>
      <c r="D1304" s="51"/>
    </row>
    <row r="1305" spans="3:4" x14ac:dyDescent="0.35">
      <c r="C1305" s="51"/>
      <c r="D1305" s="51"/>
    </row>
    <row r="1306" spans="3:4" x14ac:dyDescent="0.35">
      <c r="C1306" s="51"/>
      <c r="D1306" s="51"/>
    </row>
    <row r="1307" spans="3:4" x14ac:dyDescent="0.35">
      <c r="C1307" s="51"/>
      <c r="D1307" s="51"/>
    </row>
    <row r="1308" spans="3:4" x14ac:dyDescent="0.35">
      <c r="C1308" s="51"/>
      <c r="D1308" s="51"/>
    </row>
    <row r="1309" spans="3:4" x14ac:dyDescent="0.35">
      <c r="C1309" s="51"/>
      <c r="D1309" s="51"/>
    </row>
    <row r="1310" spans="3:4" x14ac:dyDescent="0.35">
      <c r="C1310" s="51"/>
      <c r="D1310" s="51"/>
    </row>
    <row r="1311" spans="3:4" x14ac:dyDescent="0.35">
      <c r="C1311" s="51"/>
      <c r="D1311" s="51"/>
    </row>
    <row r="1312" spans="3:4" x14ac:dyDescent="0.35">
      <c r="C1312" s="51"/>
      <c r="D1312" s="51"/>
    </row>
    <row r="1313" spans="3:4" x14ac:dyDescent="0.35">
      <c r="C1313" s="51"/>
      <c r="D1313" s="51"/>
    </row>
    <row r="1314" spans="3:4" x14ac:dyDescent="0.35">
      <c r="C1314" s="51"/>
      <c r="D1314" s="51"/>
    </row>
    <row r="1315" spans="3:4" x14ac:dyDescent="0.35">
      <c r="C1315" s="51"/>
      <c r="D1315" s="51"/>
    </row>
    <row r="1316" spans="3:4" x14ac:dyDescent="0.35">
      <c r="C1316" s="51"/>
      <c r="D1316" s="51"/>
    </row>
    <row r="1317" spans="3:4" x14ac:dyDescent="0.35">
      <c r="C1317" s="51"/>
      <c r="D1317" s="51"/>
    </row>
    <row r="1318" spans="3:4" x14ac:dyDescent="0.35">
      <c r="C1318" s="51"/>
      <c r="D1318" s="51"/>
    </row>
    <row r="1319" spans="3:4" x14ac:dyDescent="0.35">
      <c r="C1319" s="51"/>
      <c r="D1319" s="51"/>
    </row>
    <row r="1320" spans="3:4" x14ac:dyDescent="0.35">
      <c r="C1320" s="51"/>
      <c r="D1320" s="51"/>
    </row>
    <row r="1321" spans="3:4" x14ac:dyDescent="0.35">
      <c r="C1321" s="51"/>
      <c r="D1321" s="51"/>
    </row>
    <row r="1322" spans="3:4" x14ac:dyDescent="0.35">
      <c r="C1322" s="51"/>
      <c r="D1322" s="51"/>
    </row>
    <row r="1323" spans="3:4" x14ac:dyDescent="0.35">
      <c r="C1323" s="51"/>
      <c r="D1323" s="51"/>
    </row>
    <row r="1324" spans="3:4" x14ac:dyDescent="0.35">
      <c r="C1324" s="51"/>
      <c r="D1324" s="51"/>
    </row>
    <row r="1325" spans="3:4" x14ac:dyDescent="0.35">
      <c r="C1325" s="51"/>
      <c r="D1325" s="51"/>
    </row>
    <row r="1326" spans="3:4" x14ac:dyDescent="0.35">
      <c r="C1326" s="51"/>
      <c r="D1326" s="51"/>
    </row>
    <row r="1327" spans="3:4" x14ac:dyDescent="0.35">
      <c r="C1327" s="51"/>
      <c r="D1327" s="51"/>
    </row>
    <row r="1328" spans="3:4" x14ac:dyDescent="0.35">
      <c r="C1328" s="51"/>
      <c r="D1328" s="51"/>
    </row>
    <row r="1329" spans="3:4" x14ac:dyDescent="0.35">
      <c r="C1329" s="51"/>
      <c r="D1329" s="51"/>
    </row>
    <row r="1330" spans="3:4" x14ac:dyDescent="0.35">
      <c r="C1330" s="51"/>
      <c r="D1330" s="51"/>
    </row>
    <row r="1331" spans="3:4" x14ac:dyDescent="0.35">
      <c r="C1331" s="51"/>
      <c r="D1331" s="51"/>
    </row>
    <row r="1332" spans="3:4" x14ac:dyDescent="0.35">
      <c r="C1332" s="51"/>
      <c r="D1332" s="51"/>
    </row>
    <row r="1333" spans="3:4" x14ac:dyDescent="0.35">
      <c r="C1333" s="51"/>
      <c r="D1333" s="51"/>
    </row>
    <row r="1334" spans="3:4" x14ac:dyDescent="0.35">
      <c r="C1334" s="51"/>
      <c r="D1334" s="51"/>
    </row>
    <row r="1335" spans="3:4" x14ac:dyDescent="0.35">
      <c r="C1335" s="51"/>
      <c r="D1335" s="51"/>
    </row>
    <row r="1336" spans="3:4" x14ac:dyDescent="0.35">
      <c r="C1336" s="51"/>
      <c r="D1336" s="51"/>
    </row>
    <row r="1337" spans="3:4" x14ac:dyDescent="0.35">
      <c r="C1337" s="51"/>
      <c r="D1337" s="51"/>
    </row>
    <row r="1338" spans="3:4" x14ac:dyDescent="0.35">
      <c r="C1338" s="51"/>
      <c r="D1338" s="51"/>
    </row>
    <row r="1339" spans="3:4" x14ac:dyDescent="0.35">
      <c r="C1339" s="51"/>
      <c r="D1339" s="51"/>
    </row>
    <row r="1340" spans="3:4" x14ac:dyDescent="0.35">
      <c r="C1340" s="51"/>
      <c r="D1340" s="51"/>
    </row>
    <row r="1341" spans="3:4" x14ac:dyDescent="0.35">
      <c r="C1341" s="51"/>
      <c r="D1341" s="51"/>
    </row>
    <row r="1342" spans="3:4" x14ac:dyDescent="0.35">
      <c r="C1342" s="51"/>
      <c r="D1342" s="51"/>
    </row>
    <row r="1343" spans="3:4" x14ac:dyDescent="0.35">
      <c r="C1343" s="51"/>
      <c r="D1343" s="51"/>
    </row>
    <row r="1344" spans="3:4" x14ac:dyDescent="0.35">
      <c r="C1344" s="51"/>
      <c r="D1344" s="51"/>
    </row>
    <row r="1345" spans="3:4" x14ac:dyDescent="0.35">
      <c r="C1345" s="51"/>
      <c r="D1345" s="51"/>
    </row>
    <row r="1346" spans="3:4" x14ac:dyDescent="0.35">
      <c r="C1346" s="51"/>
      <c r="D1346" s="51"/>
    </row>
    <row r="1347" spans="3:4" x14ac:dyDescent="0.35">
      <c r="C1347" s="51"/>
      <c r="D1347" s="51"/>
    </row>
    <row r="1348" spans="3:4" x14ac:dyDescent="0.35">
      <c r="C1348" s="51"/>
      <c r="D1348" s="51"/>
    </row>
    <row r="1349" spans="3:4" x14ac:dyDescent="0.35">
      <c r="C1349" s="51"/>
      <c r="D1349" s="51"/>
    </row>
    <row r="1350" spans="3:4" x14ac:dyDescent="0.35">
      <c r="C1350" s="51"/>
      <c r="D1350" s="51"/>
    </row>
    <row r="1351" spans="3:4" x14ac:dyDescent="0.35">
      <c r="C1351" s="51"/>
      <c r="D1351" s="51"/>
    </row>
    <row r="1352" spans="3:4" x14ac:dyDescent="0.35">
      <c r="C1352" s="51"/>
      <c r="D1352" s="51"/>
    </row>
    <row r="1353" spans="3:4" x14ac:dyDescent="0.35">
      <c r="C1353" s="51"/>
      <c r="D1353" s="51"/>
    </row>
    <row r="1354" spans="3:4" x14ac:dyDescent="0.35">
      <c r="C1354" s="51"/>
      <c r="D1354" s="51"/>
    </row>
    <row r="1355" spans="3:4" x14ac:dyDescent="0.35">
      <c r="C1355" s="51"/>
      <c r="D1355" s="51"/>
    </row>
    <row r="1356" spans="3:4" x14ac:dyDescent="0.35">
      <c r="C1356" s="51"/>
      <c r="D1356" s="51"/>
    </row>
    <row r="1357" spans="3:4" x14ac:dyDescent="0.35">
      <c r="C1357" s="51"/>
      <c r="D1357" s="51"/>
    </row>
    <row r="1358" spans="3:4" x14ac:dyDescent="0.35">
      <c r="C1358" s="51"/>
      <c r="D1358" s="51"/>
    </row>
    <row r="1359" spans="3:4" x14ac:dyDescent="0.35">
      <c r="C1359" s="51"/>
      <c r="D1359" s="51"/>
    </row>
    <row r="1360" spans="3:4" x14ac:dyDescent="0.35">
      <c r="C1360" s="51"/>
      <c r="D1360" s="51"/>
    </row>
    <row r="1361" spans="3:4" x14ac:dyDescent="0.35">
      <c r="C1361" s="51"/>
      <c r="D1361" s="51"/>
    </row>
    <row r="1362" spans="3:4" x14ac:dyDescent="0.35">
      <c r="C1362" s="51"/>
      <c r="D1362" s="51"/>
    </row>
    <row r="1363" spans="3:4" x14ac:dyDescent="0.35">
      <c r="C1363" s="51"/>
      <c r="D1363" s="51"/>
    </row>
    <row r="1364" spans="3:4" x14ac:dyDescent="0.35">
      <c r="C1364" s="51"/>
      <c r="D1364" s="51"/>
    </row>
    <row r="1365" spans="3:4" x14ac:dyDescent="0.35">
      <c r="C1365" s="51"/>
      <c r="D1365" s="51"/>
    </row>
    <row r="1366" spans="3:4" x14ac:dyDescent="0.35">
      <c r="C1366" s="51"/>
      <c r="D1366" s="51"/>
    </row>
    <row r="1367" spans="3:4" x14ac:dyDescent="0.35">
      <c r="C1367" s="51"/>
      <c r="D1367" s="51"/>
    </row>
    <row r="1368" spans="3:4" x14ac:dyDescent="0.35">
      <c r="C1368" s="51"/>
      <c r="D1368" s="51"/>
    </row>
    <row r="1369" spans="3:4" x14ac:dyDescent="0.35">
      <c r="C1369" s="51"/>
      <c r="D1369" s="51"/>
    </row>
    <row r="1370" spans="3:4" x14ac:dyDescent="0.35">
      <c r="C1370" s="51"/>
      <c r="D1370" s="51"/>
    </row>
    <row r="1371" spans="3:4" x14ac:dyDescent="0.35">
      <c r="C1371" s="51"/>
      <c r="D1371" s="51"/>
    </row>
    <row r="1372" spans="3:4" x14ac:dyDescent="0.35">
      <c r="C1372" s="51"/>
      <c r="D1372" s="51"/>
    </row>
    <row r="1373" spans="3:4" x14ac:dyDescent="0.35">
      <c r="C1373" s="51"/>
      <c r="D1373" s="51"/>
    </row>
    <row r="1374" spans="3:4" x14ac:dyDescent="0.35">
      <c r="C1374" s="51"/>
      <c r="D1374" s="51"/>
    </row>
    <row r="1375" spans="3:4" x14ac:dyDescent="0.35">
      <c r="C1375" s="51"/>
      <c r="D1375" s="51"/>
    </row>
    <row r="1376" spans="3:4" x14ac:dyDescent="0.35">
      <c r="C1376" s="51"/>
      <c r="D1376" s="51"/>
    </row>
    <row r="1377" spans="3:4" x14ac:dyDescent="0.35">
      <c r="C1377" s="51"/>
      <c r="D1377" s="51"/>
    </row>
    <row r="1378" spans="3:4" x14ac:dyDescent="0.35">
      <c r="C1378" s="51"/>
      <c r="D1378" s="51"/>
    </row>
    <row r="1379" spans="3:4" x14ac:dyDescent="0.35">
      <c r="C1379" s="51"/>
      <c r="D1379" s="51"/>
    </row>
    <row r="1380" spans="3:4" x14ac:dyDescent="0.35">
      <c r="C1380" s="51"/>
      <c r="D1380" s="51"/>
    </row>
    <row r="1381" spans="3:4" x14ac:dyDescent="0.35">
      <c r="C1381" s="51"/>
      <c r="D1381" s="51"/>
    </row>
    <row r="1382" spans="3:4" x14ac:dyDescent="0.35">
      <c r="C1382" s="51"/>
      <c r="D1382" s="51"/>
    </row>
    <row r="1383" spans="3:4" x14ac:dyDescent="0.35">
      <c r="C1383" s="51"/>
      <c r="D1383" s="51"/>
    </row>
    <row r="1384" spans="3:4" x14ac:dyDescent="0.35">
      <c r="C1384" s="51"/>
      <c r="D1384" s="51"/>
    </row>
    <row r="1385" spans="3:4" x14ac:dyDescent="0.35">
      <c r="C1385" s="51"/>
      <c r="D1385" s="51"/>
    </row>
    <row r="1386" spans="3:4" x14ac:dyDescent="0.35">
      <c r="C1386" s="51"/>
      <c r="D1386" s="51"/>
    </row>
    <row r="1387" spans="3:4" x14ac:dyDescent="0.35">
      <c r="C1387" s="51"/>
      <c r="D1387" s="51"/>
    </row>
    <row r="1388" spans="3:4" x14ac:dyDescent="0.35">
      <c r="C1388" s="51"/>
      <c r="D1388" s="51"/>
    </row>
    <row r="1389" spans="3:4" x14ac:dyDescent="0.35">
      <c r="C1389" s="51"/>
      <c r="D1389" s="51"/>
    </row>
    <row r="1390" spans="3:4" x14ac:dyDescent="0.35">
      <c r="C1390" s="51"/>
      <c r="D1390" s="51"/>
    </row>
    <row r="1391" spans="3:4" x14ac:dyDescent="0.35">
      <c r="C1391" s="51"/>
      <c r="D1391" s="51"/>
    </row>
    <row r="1392" spans="3:4" x14ac:dyDescent="0.35">
      <c r="C1392" s="51"/>
      <c r="D1392" s="51"/>
    </row>
    <row r="1393" spans="3:4" x14ac:dyDescent="0.35">
      <c r="C1393" s="51"/>
      <c r="D1393" s="51"/>
    </row>
    <row r="1394" spans="3:4" x14ac:dyDescent="0.35">
      <c r="C1394" s="51"/>
      <c r="D1394" s="51"/>
    </row>
    <row r="1395" spans="3:4" x14ac:dyDescent="0.35">
      <c r="C1395" s="51"/>
      <c r="D1395" s="51"/>
    </row>
    <row r="1396" spans="3:4" x14ac:dyDescent="0.35">
      <c r="C1396" s="51"/>
      <c r="D1396" s="51"/>
    </row>
    <row r="1397" spans="3:4" x14ac:dyDescent="0.35">
      <c r="C1397" s="51"/>
      <c r="D1397" s="51"/>
    </row>
    <row r="1398" spans="3:4" x14ac:dyDescent="0.35">
      <c r="C1398" s="51"/>
      <c r="D1398" s="51"/>
    </row>
    <row r="1399" spans="3:4" x14ac:dyDescent="0.35">
      <c r="C1399" s="51"/>
      <c r="D1399" s="51"/>
    </row>
    <row r="1400" spans="3:4" x14ac:dyDescent="0.35">
      <c r="C1400" s="51"/>
      <c r="D1400" s="51"/>
    </row>
    <row r="1401" spans="3:4" x14ac:dyDescent="0.35">
      <c r="C1401" s="51"/>
      <c r="D1401" s="51"/>
    </row>
    <row r="1402" spans="3:4" x14ac:dyDescent="0.35">
      <c r="C1402" s="51"/>
      <c r="D1402" s="51"/>
    </row>
    <row r="1403" spans="3:4" x14ac:dyDescent="0.35">
      <c r="C1403" s="51"/>
      <c r="D1403" s="51"/>
    </row>
    <row r="1404" spans="3:4" x14ac:dyDescent="0.35">
      <c r="C1404" s="51"/>
      <c r="D1404" s="51"/>
    </row>
    <row r="1405" spans="3:4" x14ac:dyDescent="0.35">
      <c r="C1405" s="51"/>
      <c r="D1405" s="51"/>
    </row>
    <row r="1406" spans="3:4" x14ac:dyDescent="0.35">
      <c r="C1406" s="51"/>
      <c r="D1406" s="51"/>
    </row>
    <row r="1407" spans="3:4" x14ac:dyDescent="0.35">
      <c r="C1407" s="51"/>
      <c r="D1407" s="51"/>
    </row>
    <row r="1408" spans="3:4" x14ac:dyDescent="0.35">
      <c r="C1408" s="51"/>
      <c r="D1408" s="51"/>
    </row>
    <row r="1409" spans="3:4" x14ac:dyDescent="0.35">
      <c r="C1409" s="51"/>
      <c r="D1409" s="51"/>
    </row>
    <row r="1410" spans="3:4" x14ac:dyDescent="0.35">
      <c r="C1410" s="51"/>
      <c r="D1410" s="51"/>
    </row>
    <row r="1411" spans="3:4" x14ac:dyDescent="0.35">
      <c r="C1411" s="51"/>
      <c r="D1411" s="51"/>
    </row>
    <row r="1412" spans="3:4" x14ac:dyDescent="0.35">
      <c r="C1412" s="51"/>
      <c r="D1412" s="51"/>
    </row>
    <row r="1413" spans="3:4" x14ac:dyDescent="0.35">
      <c r="C1413" s="51"/>
      <c r="D1413" s="51"/>
    </row>
    <row r="1414" spans="3:4" x14ac:dyDescent="0.35">
      <c r="C1414" s="51"/>
      <c r="D1414" s="51"/>
    </row>
    <row r="1415" spans="3:4" x14ac:dyDescent="0.35">
      <c r="C1415" s="51"/>
      <c r="D1415" s="51"/>
    </row>
    <row r="1416" spans="3:4" x14ac:dyDescent="0.35">
      <c r="C1416" s="51"/>
      <c r="D1416" s="51"/>
    </row>
    <row r="1417" spans="3:4" x14ac:dyDescent="0.35">
      <c r="C1417" s="51"/>
      <c r="D1417" s="51"/>
    </row>
    <row r="1418" spans="3:4" x14ac:dyDescent="0.35">
      <c r="C1418" s="51"/>
      <c r="D1418" s="51"/>
    </row>
    <row r="1419" spans="3:4" x14ac:dyDescent="0.35">
      <c r="C1419" s="51"/>
      <c r="D1419" s="51"/>
    </row>
    <row r="1420" spans="3:4" x14ac:dyDescent="0.35">
      <c r="C1420" s="51"/>
      <c r="D1420" s="51"/>
    </row>
    <row r="1421" spans="3:4" x14ac:dyDescent="0.35">
      <c r="C1421" s="51"/>
      <c r="D1421" s="51"/>
    </row>
    <row r="1422" spans="3:4" x14ac:dyDescent="0.35">
      <c r="C1422" s="51"/>
      <c r="D1422" s="51"/>
    </row>
    <row r="1423" spans="3:4" x14ac:dyDescent="0.35">
      <c r="C1423" s="51"/>
      <c r="D1423" s="51"/>
    </row>
    <row r="1424" spans="3:4" x14ac:dyDescent="0.35">
      <c r="C1424" s="51"/>
      <c r="D1424" s="51"/>
    </row>
    <row r="1425" spans="3:4" x14ac:dyDescent="0.35">
      <c r="C1425" s="51"/>
      <c r="D1425" s="51"/>
    </row>
    <row r="1426" spans="3:4" x14ac:dyDescent="0.35">
      <c r="C1426" s="51"/>
      <c r="D1426" s="51"/>
    </row>
    <row r="1427" spans="3:4" x14ac:dyDescent="0.35">
      <c r="C1427" s="51"/>
      <c r="D1427" s="51"/>
    </row>
    <row r="1428" spans="3:4" x14ac:dyDescent="0.35">
      <c r="C1428" s="51"/>
      <c r="D1428" s="51"/>
    </row>
    <row r="1429" spans="3:4" x14ac:dyDescent="0.35">
      <c r="C1429" s="51"/>
      <c r="D1429" s="51"/>
    </row>
    <row r="1430" spans="3:4" x14ac:dyDescent="0.35">
      <c r="C1430" s="51"/>
      <c r="D1430" s="51"/>
    </row>
    <row r="1431" spans="3:4" x14ac:dyDescent="0.35">
      <c r="C1431" s="51"/>
      <c r="D1431" s="51"/>
    </row>
    <row r="1432" spans="3:4" x14ac:dyDescent="0.35">
      <c r="C1432" s="51"/>
      <c r="D1432" s="51"/>
    </row>
    <row r="1433" spans="3:4" x14ac:dyDescent="0.35">
      <c r="C1433" s="51"/>
      <c r="D1433" s="51"/>
    </row>
    <row r="1434" spans="3:4" x14ac:dyDescent="0.35">
      <c r="C1434" s="51"/>
      <c r="D1434" s="51"/>
    </row>
    <row r="1435" spans="3:4" x14ac:dyDescent="0.35">
      <c r="C1435" s="51"/>
      <c r="D1435" s="51"/>
    </row>
    <row r="1436" spans="3:4" x14ac:dyDescent="0.35">
      <c r="C1436" s="51"/>
      <c r="D1436" s="51"/>
    </row>
    <row r="1437" spans="3:4" x14ac:dyDescent="0.35">
      <c r="C1437" s="51"/>
      <c r="D1437" s="51"/>
    </row>
    <row r="1438" spans="3:4" x14ac:dyDescent="0.35">
      <c r="C1438" s="51"/>
      <c r="D1438" s="51"/>
    </row>
    <row r="1439" spans="3:4" x14ac:dyDescent="0.35">
      <c r="C1439" s="51"/>
      <c r="D1439" s="51"/>
    </row>
    <row r="1440" spans="3:4" x14ac:dyDescent="0.35">
      <c r="C1440" s="51"/>
      <c r="D1440" s="51"/>
    </row>
    <row r="1441" spans="3:4" x14ac:dyDescent="0.35">
      <c r="C1441" s="51"/>
      <c r="D1441" s="51"/>
    </row>
    <row r="1442" spans="3:4" x14ac:dyDescent="0.35">
      <c r="C1442" s="51"/>
      <c r="D1442" s="51"/>
    </row>
    <row r="1443" spans="3:4" x14ac:dyDescent="0.35">
      <c r="C1443" s="51"/>
      <c r="D1443" s="51"/>
    </row>
    <row r="1444" spans="3:4" x14ac:dyDescent="0.35">
      <c r="C1444" s="51"/>
      <c r="D1444" s="51"/>
    </row>
    <row r="1445" spans="3:4" x14ac:dyDescent="0.35">
      <c r="C1445" s="51"/>
      <c r="D1445" s="51"/>
    </row>
    <row r="1446" spans="3:4" x14ac:dyDescent="0.35">
      <c r="C1446" s="51"/>
      <c r="D1446" s="51"/>
    </row>
    <row r="1447" spans="3:4" x14ac:dyDescent="0.35">
      <c r="C1447" s="51"/>
      <c r="D1447" s="51"/>
    </row>
    <row r="1448" spans="3:4" x14ac:dyDescent="0.35">
      <c r="C1448" s="51"/>
      <c r="D1448" s="51"/>
    </row>
    <row r="1449" spans="3:4" x14ac:dyDescent="0.35">
      <c r="C1449" s="51"/>
      <c r="D1449" s="51"/>
    </row>
    <row r="1450" spans="3:4" x14ac:dyDescent="0.35">
      <c r="C1450" s="51"/>
      <c r="D1450" s="51"/>
    </row>
    <row r="1451" spans="3:4" x14ac:dyDescent="0.35">
      <c r="C1451" s="51"/>
      <c r="D1451" s="51"/>
    </row>
    <row r="1452" spans="3:4" x14ac:dyDescent="0.35">
      <c r="C1452" s="51"/>
      <c r="D1452" s="51"/>
    </row>
    <row r="1453" spans="3:4" x14ac:dyDescent="0.35">
      <c r="C1453" s="51"/>
      <c r="D1453" s="51"/>
    </row>
    <row r="1454" spans="3:4" x14ac:dyDescent="0.35">
      <c r="C1454" s="51"/>
      <c r="D1454" s="51"/>
    </row>
    <row r="1455" spans="3:4" x14ac:dyDescent="0.35">
      <c r="C1455" s="51"/>
      <c r="D1455" s="51"/>
    </row>
    <row r="1456" spans="3:4" x14ac:dyDescent="0.35">
      <c r="C1456" s="51"/>
      <c r="D1456" s="51"/>
    </row>
    <row r="1457" spans="3:4" x14ac:dyDescent="0.35">
      <c r="C1457" s="51"/>
      <c r="D1457" s="51"/>
    </row>
    <row r="1458" spans="3:4" x14ac:dyDescent="0.35">
      <c r="C1458" s="51"/>
      <c r="D1458" s="51"/>
    </row>
    <row r="1459" spans="3:4" x14ac:dyDescent="0.35">
      <c r="C1459" s="51"/>
      <c r="D1459" s="51"/>
    </row>
    <row r="1460" spans="3:4" x14ac:dyDescent="0.35">
      <c r="C1460" s="51"/>
      <c r="D1460" s="51"/>
    </row>
    <row r="1461" spans="3:4" x14ac:dyDescent="0.35">
      <c r="C1461" s="51"/>
      <c r="D1461" s="51"/>
    </row>
    <row r="1462" spans="3:4" x14ac:dyDescent="0.35">
      <c r="C1462" s="51"/>
      <c r="D1462" s="51"/>
    </row>
    <row r="1463" spans="3:4" x14ac:dyDescent="0.35">
      <c r="C1463" s="51"/>
      <c r="D1463" s="51"/>
    </row>
    <row r="1464" spans="3:4" x14ac:dyDescent="0.35">
      <c r="C1464" s="51"/>
      <c r="D1464" s="51"/>
    </row>
    <row r="1465" spans="3:4" x14ac:dyDescent="0.35">
      <c r="C1465" s="51"/>
      <c r="D1465" s="51"/>
    </row>
    <row r="1466" spans="3:4" x14ac:dyDescent="0.35">
      <c r="C1466" s="51"/>
      <c r="D1466" s="51"/>
    </row>
    <row r="1467" spans="3:4" x14ac:dyDescent="0.35">
      <c r="C1467" s="51"/>
      <c r="D1467" s="51"/>
    </row>
    <row r="1468" spans="3:4" x14ac:dyDescent="0.35">
      <c r="C1468" s="51"/>
      <c r="D1468" s="51"/>
    </row>
    <row r="1469" spans="3:4" x14ac:dyDescent="0.35">
      <c r="C1469" s="51"/>
      <c r="D1469" s="51"/>
    </row>
    <row r="1470" spans="3:4" x14ac:dyDescent="0.35">
      <c r="C1470" s="51"/>
      <c r="D1470" s="51"/>
    </row>
    <row r="1471" spans="3:4" x14ac:dyDescent="0.35">
      <c r="C1471" s="51"/>
      <c r="D1471" s="51"/>
    </row>
    <row r="1472" spans="3:4" x14ac:dyDescent="0.35">
      <c r="C1472" s="51"/>
      <c r="D1472" s="51"/>
    </row>
    <row r="1473" spans="3:4" x14ac:dyDescent="0.35">
      <c r="C1473" s="51"/>
      <c r="D1473" s="51"/>
    </row>
    <row r="1474" spans="3:4" x14ac:dyDescent="0.35">
      <c r="C1474" s="51"/>
      <c r="D1474" s="51"/>
    </row>
    <row r="1475" spans="3:4" x14ac:dyDescent="0.35">
      <c r="C1475" s="51"/>
      <c r="D1475" s="51"/>
    </row>
    <row r="1476" spans="3:4" x14ac:dyDescent="0.35">
      <c r="C1476" s="51"/>
      <c r="D1476" s="51"/>
    </row>
    <row r="1477" spans="3:4" x14ac:dyDescent="0.35">
      <c r="C1477" s="51"/>
      <c r="D1477" s="51"/>
    </row>
    <row r="1478" spans="3:4" x14ac:dyDescent="0.35">
      <c r="C1478" s="51"/>
      <c r="D1478" s="51"/>
    </row>
    <row r="1479" spans="3:4" x14ac:dyDescent="0.35">
      <c r="C1479" s="51"/>
      <c r="D1479" s="51"/>
    </row>
    <row r="1480" spans="3:4" x14ac:dyDescent="0.35">
      <c r="C1480" s="51"/>
      <c r="D1480" s="51"/>
    </row>
    <row r="1481" spans="3:4" x14ac:dyDescent="0.35">
      <c r="C1481" s="51"/>
      <c r="D1481" s="51"/>
    </row>
    <row r="1482" spans="3:4" x14ac:dyDescent="0.35">
      <c r="C1482" s="51"/>
      <c r="D1482" s="51"/>
    </row>
    <row r="1483" spans="3:4" x14ac:dyDescent="0.35">
      <c r="C1483" s="51"/>
      <c r="D1483" s="51"/>
    </row>
    <row r="1484" spans="3:4" x14ac:dyDescent="0.35">
      <c r="C1484" s="51"/>
      <c r="D1484" s="51"/>
    </row>
    <row r="1485" spans="3:4" x14ac:dyDescent="0.35">
      <c r="C1485" s="51"/>
      <c r="D1485" s="51"/>
    </row>
    <row r="1486" spans="3:4" x14ac:dyDescent="0.35">
      <c r="C1486" s="51"/>
      <c r="D1486" s="51"/>
    </row>
    <row r="1487" spans="3:4" x14ac:dyDescent="0.35">
      <c r="C1487" s="51"/>
      <c r="D1487" s="51"/>
    </row>
    <row r="1488" spans="3:4" x14ac:dyDescent="0.35">
      <c r="C1488" s="51"/>
      <c r="D1488" s="51"/>
    </row>
    <row r="1489" spans="3:4" x14ac:dyDescent="0.35">
      <c r="C1489" s="51"/>
      <c r="D1489" s="51"/>
    </row>
    <row r="1490" spans="3:4" x14ac:dyDescent="0.35">
      <c r="C1490" s="51"/>
      <c r="D1490" s="51"/>
    </row>
    <row r="1491" spans="3:4" x14ac:dyDescent="0.35">
      <c r="C1491" s="51"/>
      <c r="D1491" s="51"/>
    </row>
    <row r="1492" spans="3:4" x14ac:dyDescent="0.35">
      <c r="C1492" s="51"/>
      <c r="D1492" s="51"/>
    </row>
    <row r="1493" spans="3:4" x14ac:dyDescent="0.35">
      <c r="C1493" s="51"/>
      <c r="D1493" s="51"/>
    </row>
    <row r="1494" spans="3:4" x14ac:dyDescent="0.35">
      <c r="C1494" s="51"/>
      <c r="D1494" s="51"/>
    </row>
    <row r="1495" spans="3:4" x14ac:dyDescent="0.35">
      <c r="C1495" s="51"/>
      <c r="D1495" s="51"/>
    </row>
    <row r="1496" spans="3:4" x14ac:dyDescent="0.35">
      <c r="C1496" s="51"/>
      <c r="D1496" s="51"/>
    </row>
    <row r="1497" spans="3:4" x14ac:dyDescent="0.35">
      <c r="C1497" s="51"/>
      <c r="D1497" s="51"/>
    </row>
    <row r="1498" spans="3:4" x14ac:dyDescent="0.35">
      <c r="C1498" s="51"/>
      <c r="D1498" s="51"/>
    </row>
    <row r="1499" spans="3:4" x14ac:dyDescent="0.35">
      <c r="C1499" s="51"/>
      <c r="D1499" s="51"/>
    </row>
    <row r="1500" spans="3:4" x14ac:dyDescent="0.35">
      <c r="C1500" s="51"/>
      <c r="D1500" s="51"/>
    </row>
    <row r="1501" spans="3:4" x14ac:dyDescent="0.35">
      <c r="C1501" s="51"/>
      <c r="D1501" s="51"/>
    </row>
    <row r="1502" spans="3:4" x14ac:dyDescent="0.35">
      <c r="C1502" s="51"/>
      <c r="D1502" s="51"/>
    </row>
    <row r="1503" spans="3:4" x14ac:dyDescent="0.35">
      <c r="C1503" s="51"/>
      <c r="D1503" s="51"/>
    </row>
    <row r="1504" spans="3:4" x14ac:dyDescent="0.35">
      <c r="C1504" s="51"/>
      <c r="D1504" s="51"/>
    </row>
    <row r="1505" spans="3:4" x14ac:dyDescent="0.35">
      <c r="C1505" s="51"/>
      <c r="D1505" s="51"/>
    </row>
    <row r="1506" spans="3:4" x14ac:dyDescent="0.35">
      <c r="C1506" s="51"/>
      <c r="D1506" s="51"/>
    </row>
    <row r="1507" spans="3:4" x14ac:dyDescent="0.35">
      <c r="C1507" s="51"/>
      <c r="D1507" s="51"/>
    </row>
    <row r="1508" spans="3:4" x14ac:dyDescent="0.35">
      <c r="C1508" s="51"/>
      <c r="D1508" s="51"/>
    </row>
    <row r="1509" spans="3:4" x14ac:dyDescent="0.35">
      <c r="C1509" s="51"/>
      <c r="D1509" s="51"/>
    </row>
    <row r="1510" spans="3:4" x14ac:dyDescent="0.35">
      <c r="C1510" s="51"/>
      <c r="D1510" s="51"/>
    </row>
    <row r="1511" spans="3:4" x14ac:dyDescent="0.35">
      <c r="C1511" s="51"/>
      <c r="D1511" s="51"/>
    </row>
    <row r="1512" spans="3:4" x14ac:dyDescent="0.35">
      <c r="C1512" s="51"/>
      <c r="D1512" s="51"/>
    </row>
    <row r="1513" spans="3:4" x14ac:dyDescent="0.35">
      <c r="C1513" s="51"/>
      <c r="D1513" s="51"/>
    </row>
    <row r="1514" spans="3:4" x14ac:dyDescent="0.35">
      <c r="C1514" s="51"/>
      <c r="D1514" s="51"/>
    </row>
    <row r="1515" spans="3:4" x14ac:dyDescent="0.35">
      <c r="C1515" s="51"/>
      <c r="D1515" s="51"/>
    </row>
    <row r="1516" spans="3:4" x14ac:dyDescent="0.35">
      <c r="C1516" s="51"/>
      <c r="D1516" s="51"/>
    </row>
    <row r="1517" spans="3:4" x14ac:dyDescent="0.35">
      <c r="C1517" s="51"/>
      <c r="D1517" s="51"/>
    </row>
    <row r="1518" spans="3:4" x14ac:dyDescent="0.35">
      <c r="C1518" s="51"/>
      <c r="D1518" s="51"/>
    </row>
    <row r="1519" spans="3:4" x14ac:dyDescent="0.35">
      <c r="C1519" s="51"/>
      <c r="D1519" s="51"/>
    </row>
    <row r="1520" spans="3:4" x14ac:dyDescent="0.35">
      <c r="C1520" s="51"/>
      <c r="D1520" s="51"/>
    </row>
    <row r="1521" spans="3:4" x14ac:dyDescent="0.35">
      <c r="C1521" s="51"/>
      <c r="D1521" s="51"/>
    </row>
    <row r="1522" spans="3:4" x14ac:dyDescent="0.35">
      <c r="C1522" s="51"/>
      <c r="D1522" s="51"/>
    </row>
    <row r="1523" spans="3:4" x14ac:dyDescent="0.35">
      <c r="C1523" s="51"/>
      <c r="D1523" s="51"/>
    </row>
    <row r="1524" spans="3:4" x14ac:dyDescent="0.35">
      <c r="C1524" s="51"/>
      <c r="D1524" s="51"/>
    </row>
    <row r="1525" spans="3:4" x14ac:dyDescent="0.35">
      <c r="C1525" s="51"/>
      <c r="D1525" s="51"/>
    </row>
    <row r="1526" spans="3:4" x14ac:dyDescent="0.35">
      <c r="C1526" s="51"/>
      <c r="D1526" s="51"/>
    </row>
    <row r="1527" spans="3:4" x14ac:dyDescent="0.35">
      <c r="C1527" s="51"/>
      <c r="D1527" s="51"/>
    </row>
    <row r="1528" spans="3:4" x14ac:dyDescent="0.35">
      <c r="C1528" s="51"/>
      <c r="D1528" s="51"/>
    </row>
    <row r="1529" spans="3:4" x14ac:dyDescent="0.35">
      <c r="C1529" s="51"/>
      <c r="D1529" s="51"/>
    </row>
    <row r="1530" spans="3:4" x14ac:dyDescent="0.35">
      <c r="C1530" s="51"/>
      <c r="D1530" s="51"/>
    </row>
    <row r="1531" spans="3:4" x14ac:dyDescent="0.35">
      <c r="C1531" s="51"/>
      <c r="D1531" s="51"/>
    </row>
    <row r="1532" spans="3:4" x14ac:dyDescent="0.35">
      <c r="C1532" s="51"/>
      <c r="D1532" s="51"/>
    </row>
    <row r="1533" spans="3:4" x14ac:dyDescent="0.35">
      <c r="C1533" s="51"/>
      <c r="D1533" s="51"/>
    </row>
    <row r="1534" spans="3:4" x14ac:dyDescent="0.35">
      <c r="C1534" s="51"/>
      <c r="D1534" s="51"/>
    </row>
    <row r="1535" spans="3:4" x14ac:dyDescent="0.35">
      <c r="C1535" s="51"/>
      <c r="D1535" s="51"/>
    </row>
    <row r="1536" spans="3:4" x14ac:dyDescent="0.35">
      <c r="C1536" s="51"/>
      <c r="D1536" s="51"/>
    </row>
    <row r="1537" spans="3:4" x14ac:dyDescent="0.35">
      <c r="C1537" s="51"/>
      <c r="D1537" s="51"/>
    </row>
    <row r="1538" spans="3:4" x14ac:dyDescent="0.35">
      <c r="C1538" s="51"/>
      <c r="D1538" s="51"/>
    </row>
    <row r="1539" spans="3:4" x14ac:dyDescent="0.35">
      <c r="C1539" s="51"/>
      <c r="D1539" s="51"/>
    </row>
    <row r="1540" spans="3:4" x14ac:dyDescent="0.35">
      <c r="C1540" s="51"/>
      <c r="D1540" s="51"/>
    </row>
    <row r="1541" spans="3:4" x14ac:dyDescent="0.35">
      <c r="C1541" s="51"/>
      <c r="D1541" s="51"/>
    </row>
    <row r="1542" spans="3:4" x14ac:dyDescent="0.35">
      <c r="C1542" s="51"/>
      <c r="D1542" s="51"/>
    </row>
    <row r="1543" spans="3:4" x14ac:dyDescent="0.35">
      <c r="C1543" s="51"/>
      <c r="D1543" s="51"/>
    </row>
    <row r="1544" spans="3:4" x14ac:dyDescent="0.35">
      <c r="C1544" s="51"/>
      <c r="D1544" s="51"/>
    </row>
    <row r="1545" spans="3:4" x14ac:dyDescent="0.35">
      <c r="C1545" s="51"/>
      <c r="D1545" s="51"/>
    </row>
    <row r="1546" spans="3:4" x14ac:dyDescent="0.35">
      <c r="C1546" s="51"/>
      <c r="D1546" s="51"/>
    </row>
    <row r="1547" spans="3:4" x14ac:dyDescent="0.35">
      <c r="C1547" s="51"/>
      <c r="D1547" s="51"/>
    </row>
    <row r="1548" spans="3:4" x14ac:dyDescent="0.35">
      <c r="C1548" s="51"/>
      <c r="D1548" s="51"/>
    </row>
    <row r="1549" spans="3:4" x14ac:dyDescent="0.35">
      <c r="C1549" s="51"/>
      <c r="D1549" s="51"/>
    </row>
    <row r="1550" spans="3:4" x14ac:dyDescent="0.35">
      <c r="C1550" s="51"/>
      <c r="D1550" s="51"/>
    </row>
    <row r="1551" spans="3:4" x14ac:dyDescent="0.35">
      <c r="C1551" s="51"/>
      <c r="D1551" s="51"/>
    </row>
    <row r="1552" spans="3:4" x14ac:dyDescent="0.35">
      <c r="C1552" s="51"/>
      <c r="D1552" s="51"/>
    </row>
    <row r="1553" spans="3:4" x14ac:dyDescent="0.35">
      <c r="C1553" s="51"/>
      <c r="D1553" s="51"/>
    </row>
    <row r="1554" spans="3:4" x14ac:dyDescent="0.35">
      <c r="C1554" s="51"/>
      <c r="D1554" s="51"/>
    </row>
    <row r="1555" spans="3:4" x14ac:dyDescent="0.35">
      <c r="C1555" s="51"/>
      <c r="D1555" s="51"/>
    </row>
    <row r="1556" spans="3:4" x14ac:dyDescent="0.35">
      <c r="C1556" s="51"/>
      <c r="D1556" s="51"/>
    </row>
    <row r="1557" spans="3:4" x14ac:dyDescent="0.35">
      <c r="C1557" s="51"/>
      <c r="D1557" s="51"/>
    </row>
    <row r="1558" spans="3:4" x14ac:dyDescent="0.35">
      <c r="C1558" s="51"/>
      <c r="D1558" s="51"/>
    </row>
    <row r="1559" spans="3:4" x14ac:dyDescent="0.35">
      <c r="C1559" s="51"/>
      <c r="D1559" s="51"/>
    </row>
    <row r="1560" spans="3:4" x14ac:dyDescent="0.35">
      <c r="C1560" s="51"/>
      <c r="D1560" s="51"/>
    </row>
    <row r="1561" spans="3:4" x14ac:dyDescent="0.35">
      <c r="C1561" s="51"/>
      <c r="D1561" s="51"/>
    </row>
    <row r="1562" spans="3:4" x14ac:dyDescent="0.35">
      <c r="C1562" s="51"/>
      <c r="D1562" s="51"/>
    </row>
    <row r="1563" spans="3:4" x14ac:dyDescent="0.35">
      <c r="C1563" s="51"/>
      <c r="D1563" s="51"/>
    </row>
    <row r="1564" spans="3:4" x14ac:dyDescent="0.35">
      <c r="C1564" s="51"/>
      <c r="D1564" s="51"/>
    </row>
    <row r="1565" spans="3:4" x14ac:dyDescent="0.35">
      <c r="C1565" s="51"/>
      <c r="D1565" s="51"/>
    </row>
    <row r="1566" spans="3:4" x14ac:dyDescent="0.35">
      <c r="C1566" s="51"/>
      <c r="D1566" s="51"/>
    </row>
    <row r="1567" spans="3:4" x14ac:dyDescent="0.35">
      <c r="C1567" s="51"/>
      <c r="D1567" s="51"/>
    </row>
    <row r="1568" spans="3:4" x14ac:dyDescent="0.35">
      <c r="C1568" s="51"/>
      <c r="D1568" s="51"/>
    </row>
    <row r="1569" spans="3:4" x14ac:dyDescent="0.35">
      <c r="C1569" s="51"/>
      <c r="D1569" s="51"/>
    </row>
    <row r="1570" spans="3:4" x14ac:dyDescent="0.35">
      <c r="C1570" s="51"/>
      <c r="D1570" s="51"/>
    </row>
    <row r="1571" spans="3:4" x14ac:dyDescent="0.35">
      <c r="C1571" s="51"/>
      <c r="D1571" s="51"/>
    </row>
    <row r="1572" spans="3:4" x14ac:dyDescent="0.35">
      <c r="C1572" s="51"/>
      <c r="D1572" s="51"/>
    </row>
    <row r="1573" spans="3:4" x14ac:dyDescent="0.35">
      <c r="C1573" s="51"/>
      <c r="D1573" s="51"/>
    </row>
    <row r="1574" spans="3:4" x14ac:dyDescent="0.35">
      <c r="C1574" s="51"/>
      <c r="D1574" s="51"/>
    </row>
    <row r="1575" spans="3:4" x14ac:dyDescent="0.35">
      <c r="C1575" s="51"/>
      <c r="D1575" s="51"/>
    </row>
    <row r="1576" spans="3:4" x14ac:dyDescent="0.35">
      <c r="C1576" s="51"/>
      <c r="D1576" s="51"/>
    </row>
    <row r="1577" spans="3:4" x14ac:dyDescent="0.35">
      <c r="C1577" s="51"/>
      <c r="D1577" s="51"/>
    </row>
    <row r="1578" spans="3:4" x14ac:dyDescent="0.35">
      <c r="C1578" s="51"/>
      <c r="D1578" s="51"/>
    </row>
    <row r="1579" spans="3:4" x14ac:dyDescent="0.35">
      <c r="C1579" s="51"/>
      <c r="D1579" s="51"/>
    </row>
    <row r="1580" spans="3:4" x14ac:dyDescent="0.35">
      <c r="C1580" s="51"/>
      <c r="D1580" s="51"/>
    </row>
    <row r="1581" spans="3:4" x14ac:dyDescent="0.35">
      <c r="C1581" s="51"/>
      <c r="D1581" s="51"/>
    </row>
    <row r="1582" spans="3:4" x14ac:dyDescent="0.35">
      <c r="C1582" s="51"/>
      <c r="D1582" s="51"/>
    </row>
    <row r="1583" spans="3:4" x14ac:dyDescent="0.35">
      <c r="C1583" s="51"/>
      <c r="D1583" s="51"/>
    </row>
    <row r="1584" spans="3:4" x14ac:dyDescent="0.35">
      <c r="C1584" s="51"/>
      <c r="D1584" s="51"/>
    </row>
    <row r="1585" spans="3:4" x14ac:dyDescent="0.35">
      <c r="C1585" s="51"/>
      <c r="D1585" s="51"/>
    </row>
    <row r="1586" spans="3:4" x14ac:dyDescent="0.35">
      <c r="C1586" s="51"/>
      <c r="D1586" s="51"/>
    </row>
    <row r="1587" spans="3:4" x14ac:dyDescent="0.35">
      <c r="C1587" s="51"/>
      <c r="D1587" s="51"/>
    </row>
    <row r="1588" spans="3:4" x14ac:dyDescent="0.35">
      <c r="C1588" s="51"/>
      <c r="D1588" s="51"/>
    </row>
    <row r="1589" spans="3:4" x14ac:dyDescent="0.35">
      <c r="C1589" s="51"/>
      <c r="D1589" s="51"/>
    </row>
    <row r="1590" spans="3:4" x14ac:dyDescent="0.35">
      <c r="C1590" s="51"/>
      <c r="D1590" s="51"/>
    </row>
    <row r="1591" spans="3:4" x14ac:dyDescent="0.35">
      <c r="C1591" s="51"/>
      <c r="D1591" s="51"/>
    </row>
    <row r="1592" spans="3:4" x14ac:dyDescent="0.35">
      <c r="C1592" s="51"/>
      <c r="D1592" s="51"/>
    </row>
    <row r="1593" spans="3:4" x14ac:dyDescent="0.35">
      <c r="C1593" s="51"/>
      <c r="D1593" s="51"/>
    </row>
    <row r="1594" spans="3:4" x14ac:dyDescent="0.35">
      <c r="C1594" s="51"/>
      <c r="D1594" s="51"/>
    </row>
    <row r="1595" spans="3:4" x14ac:dyDescent="0.35">
      <c r="C1595" s="51"/>
      <c r="D1595" s="51"/>
    </row>
    <row r="1596" spans="3:4" x14ac:dyDescent="0.35">
      <c r="C1596" s="51"/>
      <c r="D1596" s="51"/>
    </row>
    <row r="1597" spans="3:4" x14ac:dyDescent="0.35">
      <c r="C1597" s="51"/>
      <c r="D1597" s="51"/>
    </row>
    <row r="1598" spans="3:4" x14ac:dyDescent="0.35">
      <c r="C1598" s="51"/>
      <c r="D1598" s="51"/>
    </row>
    <row r="1599" spans="3:4" x14ac:dyDescent="0.35">
      <c r="C1599" s="51"/>
      <c r="D1599" s="51"/>
    </row>
    <row r="1600" spans="3:4" x14ac:dyDescent="0.35">
      <c r="C1600" s="51"/>
      <c r="D1600" s="51"/>
    </row>
    <row r="1601" spans="3:4" x14ac:dyDescent="0.35">
      <c r="C1601" s="51"/>
      <c r="D1601" s="51"/>
    </row>
    <row r="1602" spans="3:4" x14ac:dyDescent="0.35">
      <c r="C1602" s="51"/>
      <c r="D1602" s="51"/>
    </row>
    <row r="1603" spans="3:4" x14ac:dyDescent="0.35">
      <c r="C1603" s="51"/>
      <c r="D1603" s="51"/>
    </row>
    <row r="1604" spans="3:4" x14ac:dyDescent="0.35">
      <c r="C1604" s="51"/>
      <c r="D1604" s="51"/>
    </row>
    <row r="1605" spans="3:4" x14ac:dyDescent="0.35">
      <c r="C1605" s="51"/>
      <c r="D1605" s="51"/>
    </row>
    <row r="1606" spans="3:4" x14ac:dyDescent="0.35">
      <c r="C1606" s="51"/>
      <c r="D1606" s="51"/>
    </row>
    <row r="1607" spans="3:4" x14ac:dyDescent="0.35">
      <c r="C1607" s="51"/>
      <c r="D1607" s="51"/>
    </row>
    <row r="1608" spans="3:4" x14ac:dyDescent="0.35">
      <c r="C1608" s="51"/>
      <c r="D1608" s="51"/>
    </row>
    <row r="1609" spans="3:4" x14ac:dyDescent="0.35">
      <c r="C1609" s="51"/>
      <c r="D1609" s="51"/>
    </row>
    <row r="1610" spans="3:4" x14ac:dyDescent="0.35">
      <c r="C1610" s="51"/>
      <c r="D1610" s="51"/>
    </row>
    <row r="1611" spans="3:4" x14ac:dyDescent="0.35">
      <c r="C1611" s="51"/>
      <c r="D1611" s="51"/>
    </row>
    <row r="1612" spans="3:4" x14ac:dyDescent="0.35">
      <c r="C1612" s="51"/>
      <c r="D1612" s="51"/>
    </row>
    <row r="1613" spans="3:4" x14ac:dyDescent="0.35">
      <c r="C1613" s="51"/>
      <c r="D1613" s="51"/>
    </row>
    <row r="1614" spans="3:4" x14ac:dyDescent="0.35">
      <c r="C1614" s="51"/>
      <c r="D1614" s="51"/>
    </row>
    <row r="1615" spans="3:4" x14ac:dyDescent="0.35">
      <c r="C1615" s="51"/>
      <c r="D1615" s="51"/>
    </row>
    <row r="1616" spans="3:4" x14ac:dyDescent="0.35">
      <c r="C1616" s="51"/>
      <c r="D1616" s="51"/>
    </row>
    <row r="1617" spans="3:4" x14ac:dyDescent="0.35">
      <c r="C1617" s="51"/>
      <c r="D1617" s="51"/>
    </row>
    <row r="1618" spans="3:4" x14ac:dyDescent="0.35">
      <c r="C1618" s="51"/>
      <c r="D1618" s="51"/>
    </row>
    <row r="1619" spans="3:4" x14ac:dyDescent="0.35">
      <c r="C1619" s="51"/>
      <c r="D1619" s="51"/>
    </row>
    <row r="1620" spans="3:4" x14ac:dyDescent="0.35">
      <c r="C1620" s="51"/>
      <c r="D1620" s="51"/>
    </row>
    <row r="1621" spans="3:4" x14ac:dyDescent="0.35">
      <c r="C1621" s="51"/>
      <c r="D1621" s="51"/>
    </row>
    <row r="1622" spans="3:4" x14ac:dyDescent="0.35">
      <c r="C1622" s="51"/>
      <c r="D1622" s="51"/>
    </row>
    <row r="1623" spans="3:4" x14ac:dyDescent="0.35">
      <c r="C1623" s="51"/>
      <c r="D1623" s="51"/>
    </row>
    <row r="1624" spans="3:4" x14ac:dyDescent="0.35">
      <c r="C1624" s="51"/>
      <c r="D1624" s="51"/>
    </row>
    <row r="1625" spans="3:4" x14ac:dyDescent="0.35">
      <c r="C1625" s="51"/>
      <c r="D1625" s="51"/>
    </row>
    <row r="1626" spans="3:4" x14ac:dyDescent="0.35">
      <c r="C1626" s="51"/>
      <c r="D1626" s="51"/>
    </row>
    <row r="1627" spans="3:4" x14ac:dyDescent="0.35">
      <c r="C1627" s="51"/>
      <c r="D1627" s="51"/>
    </row>
    <row r="1628" spans="3:4" x14ac:dyDescent="0.35">
      <c r="C1628" s="51"/>
      <c r="D1628" s="51"/>
    </row>
    <row r="1629" spans="3:4" x14ac:dyDescent="0.35">
      <c r="C1629" s="51"/>
      <c r="D1629" s="51"/>
    </row>
    <row r="1630" spans="3:4" x14ac:dyDescent="0.35">
      <c r="C1630" s="51"/>
      <c r="D1630" s="51"/>
    </row>
    <row r="1631" spans="3:4" x14ac:dyDescent="0.35">
      <c r="C1631" s="51"/>
      <c r="D1631" s="51"/>
    </row>
    <row r="1632" spans="3:4" x14ac:dyDescent="0.35">
      <c r="C1632" s="51"/>
      <c r="D1632" s="51"/>
    </row>
    <row r="1633" spans="3:4" x14ac:dyDescent="0.35">
      <c r="C1633" s="51"/>
      <c r="D1633" s="51"/>
    </row>
    <row r="1634" spans="3:4" x14ac:dyDescent="0.35">
      <c r="C1634" s="51"/>
      <c r="D1634" s="51"/>
    </row>
    <row r="1635" spans="3:4" x14ac:dyDescent="0.35">
      <c r="C1635" s="51"/>
      <c r="D1635" s="51"/>
    </row>
    <row r="1636" spans="3:4" x14ac:dyDescent="0.35">
      <c r="C1636" s="51"/>
      <c r="D1636" s="51"/>
    </row>
    <row r="1637" spans="3:4" x14ac:dyDescent="0.35">
      <c r="C1637" s="51"/>
      <c r="D1637" s="51"/>
    </row>
    <row r="1638" spans="3:4" x14ac:dyDescent="0.35">
      <c r="C1638" s="51"/>
      <c r="D1638" s="51"/>
    </row>
    <row r="1639" spans="3:4" x14ac:dyDescent="0.35">
      <c r="C1639" s="51"/>
      <c r="D1639" s="51"/>
    </row>
    <row r="1640" spans="3:4" x14ac:dyDescent="0.35">
      <c r="C1640" s="51"/>
      <c r="D1640" s="51"/>
    </row>
    <row r="1641" spans="3:4" x14ac:dyDescent="0.35">
      <c r="C1641" s="51"/>
      <c r="D1641" s="51"/>
    </row>
    <row r="1642" spans="3:4" x14ac:dyDescent="0.35">
      <c r="C1642" s="51"/>
      <c r="D1642" s="51"/>
    </row>
    <row r="1643" spans="3:4" x14ac:dyDescent="0.35">
      <c r="C1643" s="51"/>
      <c r="D1643" s="51"/>
    </row>
    <row r="1644" spans="3:4" x14ac:dyDescent="0.35">
      <c r="C1644" s="51"/>
      <c r="D1644" s="51"/>
    </row>
    <row r="1645" spans="3:4" x14ac:dyDescent="0.35">
      <c r="C1645" s="51"/>
      <c r="D1645" s="51"/>
    </row>
    <row r="1646" spans="3:4" x14ac:dyDescent="0.35">
      <c r="C1646" s="51"/>
      <c r="D1646" s="51"/>
    </row>
    <row r="1647" spans="3:4" x14ac:dyDescent="0.35">
      <c r="C1647" s="51"/>
      <c r="D1647" s="51"/>
    </row>
    <row r="1648" spans="3:4" x14ac:dyDescent="0.35">
      <c r="C1648" s="51"/>
      <c r="D1648" s="51"/>
    </row>
    <row r="1649" spans="3:4" x14ac:dyDescent="0.35">
      <c r="C1649" s="51"/>
      <c r="D1649" s="51"/>
    </row>
    <row r="1650" spans="3:4" x14ac:dyDescent="0.35">
      <c r="C1650" s="51"/>
      <c r="D1650" s="51"/>
    </row>
    <row r="1651" spans="3:4" x14ac:dyDescent="0.35">
      <c r="C1651" s="51"/>
      <c r="D1651" s="51"/>
    </row>
    <row r="1652" spans="3:4" x14ac:dyDescent="0.35">
      <c r="C1652" s="51"/>
      <c r="D1652" s="51"/>
    </row>
    <row r="1653" spans="3:4" x14ac:dyDescent="0.35">
      <c r="C1653" s="51"/>
      <c r="D1653" s="51"/>
    </row>
    <row r="1654" spans="3:4" x14ac:dyDescent="0.35">
      <c r="C1654" s="51"/>
      <c r="D1654" s="51"/>
    </row>
    <row r="1655" spans="3:4" x14ac:dyDescent="0.35">
      <c r="C1655" s="51"/>
      <c r="D1655" s="51"/>
    </row>
    <row r="1656" spans="3:4" x14ac:dyDescent="0.35">
      <c r="C1656" s="51"/>
      <c r="D1656" s="51"/>
    </row>
    <row r="1657" spans="3:4" x14ac:dyDescent="0.35">
      <c r="C1657" s="51"/>
      <c r="D1657" s="51"/>
    </row>
    <row r="1658" spans="3:4" x14ac:dyDescent="0.35">
      <c r="C1658" s="51"/>
      <c r="D1658" s="51"/>
    </row>
    <row r="1659" spans="3:4" x14ac:dyDescent="0.35">
      <c r="C1659" s="51"/>
      <c r="D1659" s="51"/>
    </row>
    <row r="1660" spans="3:4" x14ac:dyDescent="0.35">
      <c r="C1660" s="51"/>
      <c r="D1660" s="51"/>
    </row>
    <row r="1661" spans="3:4" x14ac:dyDescent="0.35">
      <c r="C1661" s="51"/>
      <c r="D1661" s="51"/>
    </row>
    <row r="1662" spans="3:4" x14ac:dyDescent="0.35">
      <c r="C1662" s="51"/>
      <c r="D1662" s="51"/>
    </row>
    <row r="1663" spans="3:4" x14ac:dyDescent="0.35">
      <c r="C1663" s="51"/>
      <c r="D1663" s="51"/>
    </row>
    <row r="1664" spans="3:4" x14ac:dyDescent="0.35">
      <c r="C1664" s="51"/>
      <c r="D1664" s="51"/>
    </row>
    <row r="1665" spans="3:4" x14ac:dyDescent="0.35">
      <c r="C1665" s="51"/>
      <c r="D1665" s="51"/>
    </row>
    <row r="1666" spans="3:4" x14ac:dyDescent="0.35">
      <c r="C1666" s="51"/>
      <c r="D1666" s="51"/>
    </row>
    <row r="1667" spans="3:4" x14ac:dyDescent="0.35">
      <c r="C1667" s="51"/>
      <c r="D1667" s="51"/>
    </row>
    <row r="1668" spans="3:4" x14ac:dyDescent="0.35">
      <c r="C1668" s="51"/>
      <c r="D1668" s="51"/>
    </row>
    <row r="1669" spans="3:4" x14ac:dyDescent="0.35">
      <c r="C1669" s="51"/>
      <c r="D1669" s="51"/>
    </row>
    <row r="1670" spans="3:4" x14ac:dyDescent="0.35">
      <c r="C1670" s="51"/>
      <c r="D1670" s="51"/>
    </row>
    <row r="1671" spans="3:4" x14ac:dyDescent="0.35">
      <c r="C1671" s="51"/>
      <c r="D1671" s="51"/>
    </row>
    <row r="1672" spans="3:4" x14ac:dyDescent="0.35">
      <c r="C1672" s="51"/>
      <c r="D1672" s="51"/>
    </row>
    <row r="1673" spans="3:4" x14ac:dyDescent="0.35">
      <c r="C1673" s="51"/>
      <c r="D1673" s="51"/>
    </row>
    <row r="1674" spans="3:4" x14ac:dyDescent="0.35">
      <c r="C1674" s="51"/>
      <c r="D1674" s="51"/>
    </row>
    <row r="1675" spans="3:4" x14ac:dyDescent="0.35">
      <c r="C1675" s="51"/>
      <c r="D1675" s="51"/>
    </row>
    <row r="1676" spans="3:4" x14ac:dyDescent="0.35">
      <c r="C1676" s="51"/>
      <c r="D1676" s="51"/>
    </row>
    <row r="1677" spans="3:4" x14ac:dyDescent="0.35">
      <c r="C1677" s="51"/>
      <c r="D1677" s="51"/>
    </row>
    <row r="1678" spans="3:4" x14ac:dyDescent="0.35">
      <c r="C1678" s="51"/>
      <c r="D1678" s="51"/>
    </row>
    <row r="1679" spans="3:4" x14ac:dyDescent="0.35">
      <c r="C1679" s="51"/>
      <c r="D1679" s="51"/>
    </row>
    <row r="1680" spans="3:4" x14ac:dyDescent="0.35">
      <c r="C1680" s="51"/>
      <c r="D1680" s="51"/>
    </row>
    <row r="1681" spans="3:4" x14ac:dyDescent="0.35">
      <c r="C1681" s="51"/>
      <c r="D1681" s="51"/>
    </row>
    <row r="1682" spans="3:4" x14ac:dyDescent="0.35">
      <c r="C1682" s="51"/>
      <c r="D1682" s="51"/>
    </row>
    <row r="1683" spans="3:4" x14ac:dyDescent="0.35">
      <c r="C1683" s="51"/>
      <c r="D1683" s="51"/>
    </row>
    <row r="1684" spans="3:4" x14ac:dyDescent="0.35">
      <c r="C1684" s="51"/>
      <c r="D1684" s="51"/>
    </row>
    <row r="1685" spans="3:4" x14ac:dyDescent="0.35">
      <c r="C1685" s="51"/>
      <c r="D1685" s="51"/>
    </row>
    <row r="1686" spans="3:4" x14ac:dyDescent="0.35">
      <c r="C1686" s="51"/>
      <c r="D1686" s="51"/>
    </row>
    <row r="1687" spans="3:4" x14ac:dyDescent="0.35">
      <c r="C1687" s="51"/>
      <c r="D1687" s="51"/>
    </row>
    <row r="1688" spans="3:4" x14ac:dyDescent="0.35">
      <c r="C1688" s="51"/>
      <c r="D1688" s="51"/>
    </row>
    <row r="1689" spans="3:4" x14ac:dyDescent="0.35">
      <c r="C1689" s="51"/>
      <c r="D1689" s="51"/>
    </row>
    <row r="1690" spans="3:4" x14ac:dyDescent="0.35">
      <c r="C1690" s="51"/>
      <c r="D1690" s="51"/>
    </row>
    <row r="1691" spans="3:4" x14ac:dyDescent="0.35">
      <c r="C1691" s="51"/>
      <c r="D1691" s="51"/>
    </row>
    <row r="1692" spans="3:4" x14ac:dyDescent="0.35">
      <c r="C1692" s="51"/>
      <c r="D1692" s="51"/>
    </row>
    <row r="1693" spans="3:4" x14ac:dyDescent="0.35">
      <c r="C1693" s="51"/>
      <c r="D1693" s="51"/>
    </row>
    <row r="1694" spans="3:4" x14ac:dyDescent="0.35">
      <c r="C1694" s="51"/>
      <c r="D1694" s="51"/>
    </row>
    <row r="1695" spans="3:4" x14ac:dyDescent="0.35">
      <c r="C1695" s="51"/>
      <c r="D1695" s="51"/>
    </row>
    <row r="1696" spans="3:4" x14ac:dyDescent="0.35">
      <c r="C1696" s="51"/>
      <c r="D1696" s="51"/>
    </row>
    <row r="1697" spans="3:4" x14ac:dyDescent="0.35">
      <c r="C1697" s="51"/>
      <c r="D1697" s="51"/>
    </row>
    <row r="1698" spans="3:4" x14ac:dyDescent="0.35">
      <c r="C1698" s="51"/>
      <c r="D1698" s="51"/>
    </row>
    <row r="1699" spans="3:4" x14ac:dyDescent="0.35">
      <c r="C1699" s="51"/>
      <c r="D1699" s="51"/>
    </row>
    <row r="1700" spans="3:4" x14ac:dyDescent="0.35">
      <c r="C1700" s="51"/>
      <c r="D1700" s="51"/>
    </row>
    <row r="1701" spans="3:4" x14ac:dyDescent="0.35">
      <c r="C1701" s="51"/>
      <c r="D1701" s="51"/>
    </row>
    <row r="1702" spans="3:4" x14ac:dyDescent="0.35">
      <c r="C1702" s="51"/>
      <c r="D1702" s="51"/>
    </row>
    <row r="1703" spans="3:4" x14ac:dyDescent="0.35">
      <c r="C1703" s="51"/>
      <c r="D1703" s="51"/>
    </row>
    <row r="1704" spans="3:4" x14ac:dyDescent="0.35">
      <c r="C1704" s="51"/>
      <c r="D1704" s="51"/>
    </row>
    <row r="1705" spans="3:4" x14ac:dyDescent="0.35">
      <c r="C1705" s="51"/>
      <c r="D1705" s="51"/>
    </row>
    <row r="1706" spans="3:4" x14ac:dyDescent="0.35">
      <c r="C1706" s="51"/>
      <c r="D1706" s="51"/>
    </row>
    <row r="1707" spans="3:4" x14ac:dyDescent="0.35">
      <c r="C1707" s="51"/>
      <c r="D1707" s="51"/>
    </row>
    <row r="1708" spans="3:4" x14ac:dyDescent="0.35">
      <c r="C1708" s="51"/>
      <c r="D1708" s="51"/>
    </row>
    <row r="1709" spans="3:4" x14ac:dyDescent="0.35">
      <c r="C1709" s="51"/>
      <c r="D1709" s="51"/>
    </row>
    <row r="1710" spans="3:4" x14ac:dyDescent="0.35">
      <c r="C1710" s="51"/>
      <c r="D1710" s="51"/>
    </row>
    <row r="1711" spans="3:4" x14ac:dyDescent="0.35">
      <c r="C1711" s="51"/>
      <c r="D1711" s="51"/>
    </row>
    <row r="1712" spans="3:4" x14ac:dyDescent="0.35">
      <c r="C1712" s="51"/>
      <c r="D1712" s="51"/>
    </row>
    <row r="1713" spans="3:4" x14ac:dyDescent="0.35">
      <c r="C1713" s="51"/>
      <c r="D1713" s="51"/>
    </row>
    <row r="1714" spans="3:4" x14ac:dyDescent="0.35">
      <c r="C1714" s="51"/>
      <c r="D1714" s="51"/>
    </row>
    <row r="1715" spans="3:4" x14ac:dyDescent="0.35">
      <c r="C1715" s="51"/>
      <c r="D1715" s="51"/>
    </row>
    <row r="1716" spans="3:4" x14ac:dyDescent="0.35">
      <c r="C1716" s="51"/>
      <c r="D1716" s="51"/>
    </row>
    <row r="1717" spans="3:4" x14ac:dyDescent="0.35">
      <c r="C1717" s="51"/>
      <c r="D1717" s="51"/>
    </row>
    <row r="1718" spans="3:4" x14ac:dyDescent="0.35">
      <c r="C1718" s="51"/>
      <c r="D1718" s="51"/>
    </row>
    <row r="1719" spans="3:4" x14ac:dyDescent="0.35">
      <c r="C1719" s="51"/>
      <c r="D1719" s="51"/>
    </row>
    <row r="1720" spans="3:4" x14ac:dyDescent="0.35">
      <c r="C1720" s="51"/>
      <c r="D1720" s="51"/>
    </row>
    <row r="1721" spans="3:4" x14ac:dyDescent="0.35">
      <c r="C1721" s="51"/>
      <c r="D1721" s="51"/>
    </row>
    <row r="1722" spans="3:4" x14ac:dyDescent="0.35">
      <c r="C1722" s="51"/>
      <c r="D1722" s="51"/>
    </row>
    <row r="1723" spans="3:4" x14ac:dyDescent="0.35">
      <c r="C1723" s="51"/>
      <c r="D1723" s="51"/>
    </row>
    <row r="1724" spans="3:4" x14ac:dyDescent="0.35">
      <c r="C1724" s="51"/>
      <c r="D1724" s="51"/>
    </row>
    <row r="1725" spans="3:4" x14ac:dyDescent="0.35">
      <c r="C1725" s="51"/>
      <c r="D1725" s="51"/>
    </row>
    <row r="1726" spans="3:4" x14ac:dyDescent="0.35">
      <c r="C1726" s="51"/>
      <c r="D1726" s="51"/>
    </row>
    <row r="1727" spans="3:4" x14ac:dyDescent="0.35">
      <c r="C1727" s="51"/>
      <c r="D1727" s="51"/>
    </row>
    <row r="1728" spans="3:4" x14ac:dyDescent="0.35">
      <c r="C1728" s="51"/>
      <c r="D1728" s="51"/>
    </row>
    <row r="1729" spans="3:4" x14ac:dyDescent="0.35">
      <c r="C1729" s="51"/>
      <c r="D1729" s="51"/>
    </row>
    <row r="1730" spans="3:4" x14ac:dyDescent="0.35">
      <c r="C1730" s="51"/>
      <c r="D1730" s="51"/>
    </row>
    <row r="1731" spans="3:4" x14ac:dyDescent="0.35">
      <c r="C1731" s="51"/>
      <c r="D1731" s="51"/>
    </row>
    <row r="1732" spans="3:4" x14ac:dyDescent="0.35">
      <c r="C1732" s="51"/>
      <c r="D1732" s="51"/>
    </row>
    <row r="1733" spans="3:4" x14ac:dyDescent="0.35">
      <c r="C1733" s="51"/>
      <c r="D1733" s="51"/>
    </row>
    <row r="1734" spans="3:4" x14ac:dyDescent="0.35">
      <c r="C1734" s="51"/>
      <c r="D1734" s="51"/>
    </row>
    <row r="1735" spans="3:4" x14ac:dyDescent="0.35">
      <c r="C1735" s="51"/>
      <c r="D1735" s="51"/>
    </row>
    <row r="1736" spans="3:4" x14ac:dyDescent="0.35">
      <c r="C1736" s="51"/>
      <c r="D1736" s="51"/>
    </row>
    <row r="1737" spans="3:4" x14ac:dyDescent="0.35">
      <c r="C1737" s="51"/>
      <c r="D1737" s="51"/>
    </row>
    <row r="1738" spans="3:4" x14ac:dyDescent="0.35">
      <c r="C1738" s="51"/>
      <c r="D1738" s="51"/>
    </row>
    <row r="1739" spans="3:4" x14ac:dyDescent="0.35">
      <c r="C1739" s="51"/>
      <c r="D1739" s="51"/>
    </row>
    <row r="1740" spans="3:4" x14ac:dyDescent="0.35">
      <c r="C1740" s="51"/>
      <c r="D1740" s="51"/>
    </row>
    <row r="1741" spans="3:4" x14ac:dyDescent="0.35">
      <c r="C1741" s="51"/>
      <c r="D1741" s="51"/>
    </row>
    <row r="1742" spans="3:4" x14ac:dyDescent="0.35">
      <c r="C1742" s="51"/>
      <c r="D1742" s="51"/>
    </row>
    <row r="1743" spans="3:4" x14ac:dyDescent="0.35">
      <c r="C1743" s="51"/>
      <c r="D1743" s="51"/>
    </row>
    <row r="1744" spans="3:4" x14ac:dyDescent="0.35">
      <c r="C1744" s="51"/>
      <c r="D1744" s="51"/>
    </row>
    <row r="1745" spans="3:4" x14ac:dyDescent="0.35">
      <c r="C1745" s="51"/>
      <c r="D1745" s="51"/>
    </row>
    <row r="1746" spans="3:4" x14ac:dyDescent="0.35">
      <c r="C1746" s="51"/>
      <c r="D1746" s="51"/>
    </row>
    <row r="1747" spans="3:4" x14ac:dyDescent="0.35">
      <c r="C1747" s="51"/>
      <c r="D1747" s="51"/>
    </row>
    <row r="1748" spans="3:4" x14ac:dyDescent="0.35">
      <c r="C1748" s="51"/>
      <c r="D1748" s="51"/>
    </row>
    <row r="1749" spans="3:4" x14ac:dyDescent="0.35">
      <c r="C1749" s="51"/>
      <c r="D1749" s="51"/>
    </row>
    <row r="1750" spans="3:4" x14ac:dyDescent="0.35">
      <c r="C1750" s="51"/>
      <c r="D1750" s="51"/>
    </row>
    <row r="1751" spans="3:4" x14ac:dyDescent="0.35">
      <c r="C1751" s="51"/>
      <c r="D1751" s="51"/>
    </row>
    <row r="1752" spans="3:4" x14ac:dyDescent="0.35">
      <c r="C1752" s="51"/>
      <c r="D1752" s="51"/>
    </row>
    <row r="1753" spans="3:4" x14ac:dyDescent="0.35">
      <c r="C1753" s="51"/>
      <c r="D1753" s="51"/>
    </row>
    <row r="1754" spans="3:4" x14ac:dyDescent="0.35">
      <c r="C1754" s="51"/>
      <c r="D1754" s="51"/>
    </row>
    <row r="1755" spans="3:4" x14ac:dyDescent="0.35">
      <c r="C1755" s="51"/>
      <c r="D1755" s="51"/>
    </row>
    <row r="1756" spans="3:4" x14ac:dyDescent="0.35">
      <c r="C1756" s="51"/>
      <c r="D1756" s="51"/>
    </row>
    <row r="1757" spans="3:4" x14ac:dyDescent="0.35">
      <c r="C1757" s="51"/>
      <c r="D1757" s="51"/>
    </row>
    <row r="1758" spans="3:4" x14ac:dyDescent="0.35">
      <c r="C1758" s="51"/>
      <c r="D1758" s="51"/>
    </row>
    <row r="1759" spans="3:4" x14ac:dyDescent="0.35">
      <c r="C1759" s="51"/>
      <c r="D1759" s="51"/>
    </row>
    <row r="1760" spans="3:4" x14ac:dyDescent="0.35">
      <c r="C1760" s="51"/>
      <c r="D1760" s="51"/>
    </row>
    <row r="1761" spans="3:4" x14ac:dyDescent="0.35">
      <c r="C1761" s="51"/>
      <c r="D1761" s="51"/>
    </row>
    <row r="1762" spans="3:4" x14ac:dyDescent="0.35">
      <c r="C1762" s="51"/>
      <c r="D1762" s="51"/>
    </row>
    <row r="1763" spans="3:4" x14ac:dyDescent="0.35">
      <c r="C1763" s="51"/>
      <c r="D1763" s="51"/>
    </row>
    <row r="1764" spans="3:4" x14ac:dyDescent="0.35">
      <c r="C1764" s="51"/>
      <c r="D1764" s="51"/>
    </row>
    <row r="1765" spans="3:4" x14ac:dyDescent="0.35">
      <c r="C1765" s="51"/>
      <c r="D1765" s="51"/>
    </row>
    <row r="1766" spans="3:4" x14ac:dyDescent="0.35">
      <c r="C1766" s="51"/>
      <c r="D1766" s="51"/>
    </row>
    <row r="1767" spans="3:4" x14ac:dyDescent="0.35">
      <c r="C1767" s="51"/>
      <c r="D1767" s="51"/>
    </row>
    <row r="1768" spans="3:4" x14ac:dyDescent="0.35">
      <c r="C1768" s="51"/>
      <c r="D1768" s="51"/>
    </row>
    <row r="1769" spans="3:4" x14ac:dyDescent="0.35">
      <c r="C1769" s="51"/>
      <c r="D1769" s="51"/>
    </row>
    <row r="1770" spans="3:4" x14ac:dyDescent="0.35">
      <c r="C1770" s="51"/>
      <c r="D1770" s="51"/>
    </row>
    <row r="1771" spans="3:4" x14ac:dyDescent="0.35">
      <c r="C1771" s="51"/>
      <c r="D1771" s="51"/>
    </row>
    <row r="1772" spans="3:4" x14ac:dyDescent="0.35">
      <c r="C1772" s="51"/>
      <c r="D1772" s="51"/>
    </row>
    <row r="1773" spans="3:4" x14ac:dyDescent="0.35">
      <c r="C1773" s="51"/>
      <c r="D1773" s="51"/>
    </row>
    <row r="1774" spans="3:4" x14ac:dyDescent="0.35">
      <c r="C1774" s="51"/>
      <c r="D1774" s="51"/>
    </row>
    <row r="1775" spans="3:4" x14ac:dyDescent="0.35">
      <c r="C1775" s="51"/>
      <c r="D1775" s="51"/>
    </row>
    <row r="1776" spans="3:4" x14ac:dyDescent="0.35">
      <c r="C1776" s="51"/>
      <c r="D1776" s="51"/>
    </row>
    <row r="1777" spans="3:4" x14ac:dyDescent="0.35">
      <c r="C1777" s="51"/>
      <c r="D1777" s="51"/>
    </row>
    <row r="1778" spans="3:4" x14ac:dyDescent="0.35">
      <c r="C1778" s="51"/>
      <c r="D1778" s="51"/>
    </row>
    <row r="1779" spans="3:4" x14ac:dyDescent="0.35">
      <c r="C1779" s="51"/>
      <c r="D1779" s="51"/>
    </row>
    <row r="1780" spans="3:4" x14ac:dyDescent="0.35">
      <c r="C1780" s="51"/>
      <c r="D1780" s="51"/>
    </row>
    <row r="1781" spans="3:4" x14ac:dyDescent="0.35">
      <c r="C1781" s="51"/>
      <c r="D1781" s="51"/>
    </row>
    <row r="1782" spans="3:4" x14ac:dyDescent="0.35">
      <c r="C1782" s="51"/>
      <c r="D1782" s="51"/>
    </row>
    <row r="1783" spans="3:4" x14ac:dyDescent="0.35">
      <c r="C1783" s="51"/>
      <c r="D1783" s="51"/>
    </row>
    <row r="1784" spans="3:4" x14ac:dyDescent="0.35">
      <c r="C1784" s="51"/>
      <c r="D1784" s="51"/>
    </row>
    <row r="1785" spans="3:4" x14ac:dyDescent="0.35">
      <c r="C1785" s="51"/>
      <c r="D1785" s="51"/>
    </row>
    <row r="1786" spans="3:4" x14ac:dyDescent="0.35">
      <c r="C1786" s="51"/>
      <c r="D1786" s="51"/>
    </row>
    <row r="1787" spans="3:4" x14ac:dyDescent="0.35">
      <c r="C1787" s="51"/>
      <c r="D1787" s="51"/>
    </row>
    <row r="1788" spans="3:4" x14ac:dyDescent="0.35">
      <c r="C1788" s="51"/>
      <c r="D1788" s="51"/>
    </row>
    <row r="1789" spans="3:4" x14ac:dyDescent="0.35">
      <c r="C1789" s="51"/>
      <c r="D1789" s="51"/>
    </row>
    <row r="1790" spans="3:4" x14ac:dyDescent="0.35">
      <c r="C1790" s="51"/>
      <c r="D1790" s="51"/>
    </row>
    <row r="1791" spans="3:4" x14ac:dyDescent="0.35">
      <c r="C1791" s="51"/>
      <c r="D1791" s="51"/>
    </row>
    <row r="1792" spans="3:4" x14ac:dyDescent="0.35">
      <c r="C1792" s="51"/>
      <c r="D1792" s="51"/>
    </row>
    <row r="1793" spans="3:4" x14ac:dyDescent="0.35">
      <c r="C1793" s="51"/>
      <c r="D1793" s="51"/>
    </row>
    <row r="1794" spans="3:4" x14ac:dyDescent="0.35">
      <c r="C1794" s="51"/>
      <c r="D1794" s="51"/>
    </row>
    <row r="1795" spans="3:4" x14ac:dyDescent="0.35">
      <c r="C1795" s="51"/>
      <c r="D1795" s="51"/>
    </row>
    <row r="1796" spans="3:4" x14ac:dyDescent="0.35">
      <c r="C1796" s="51"/>
      <c r="D1796" s="51"/>
    </row>
    <row r="1797" spans="3:4" x14ac:dyDescent="0.35">
      <c r="C1797" s="51"/>
      <c r="D1797" s="51"/>
    </row>
    <row r="1798" spans="3:4" x14ac:dyDescent="0.35">
      <c r="C1798" s="51"/>
      <c r="D1798" s="51"/>
    </row>
    <row r="1799" spans="3:4" x14ac:dyDescent="0.35">
      <c r="C1799" s="51"/>
      <c r="D1799" s="51"/>
    </row>
    <row r="1800" spans="3:4" x14ac:dyDescent="0.35">
      <c r="C1800" s="51"/>
      <c r="D1800" s="51"/>
    </row>
    <row r="1801" spans="3:4" x14ac:dyDescent="0.35">
      <c r="C1801" s="51"/>
      <c r="D1801" s="51"/>
    </row>
    <row r="1802" spans="3:4" x14ac:dyDescent="0.35">
      <c r="C1802" s="51"/>
      <c r="D1802" s="51"/>
    </row>
    <row r="1803" spans="3:4" x14ac:dyDescent="0.35">
      <c r="C1803" s="51"/>
      <c r="D1803" s="51"/>
    </row>
    <row r="1804" spans="3:4" x14ac:dyDescent="0.35">
      <c r="C1804" s="51"/>
      <c r="D1804" s="51"/>
    </row>
    <row r="1805" spans="3:4" x14ac:dyDescent="0.35">
      <c r="C1805" s="51"/>
      <c r="D1805" s="51"/>
    </row>
    <row r="1806" spans="3:4" x14ac:dyDescent="0.35">
      <c r="C1806" s="51"/>
      <c r="D1806" s="51"/>
    </row>
    <row r="1807" spans="3:4" x14ac:dyDescent="0.35">
      <c r="C1807" s="51"/>
      <c r="D1807" s="51"/>
    </row>
    <row r="1808" spans="3:4" x14ac:dyDescent="0.35">
      <c r="C1808" s="51"/>
      <c r="D1808" s="51"/>
    </row>
    <row r="1809" spans="3:4" x14ac:dyDescent="0.35">
      <c r="C1809" s="51"/>
      <c r="D1809" s="51"/>
    </row>
    <row r="1810" spans="3:4" x14ac:dyDescent="0.35">
      <c r="C1810" s="51"/>
      <c r="D1810" s="51"/>
    </row>
    <row r="1811" spans="3:4" x14ac:dyDescent="0.35">
      <c r="C1811" s="51"/>
      <c r="D1811" s="51"/>
    </row>
    <row r="1812" spans="3:4" x14ac:dyDescent="0.35">
      <c r="C1812" s="51"/>
      <c r="D1812" s="51"/>
    </row>
    <row r="1813" spans="3:4" x14ac:dyDescent="0.35">
      <c r="C1813" s="51"/>
      <c r="D1813" s="51"/>
    </row>
    <row r="1814" spans="3:4" x14ac:dyDescent="0.35">
      <c r="C1814" s="51"/>
      <c r="D1814" s="51"/>
    </row>
    <row r="1815" spans="3:4" x14ac:dyDescent="0.35">
      <c r="C1815" s="51"/>
      <c r="D1815" s="51"/>
    </row>
    <row r="1816" spans="3:4" x14ac:dyDescent="0.35">
      <c r="C1816" s="51"/>
      <c r="D1816" s="51"/>
    </row>
    <row r="1817" spans="3:4" x14ac:dyDescent="0.35">
      <c r="C1817" s="51"/>
      <c r="D1817" s="51"/>
    </row>
    <row r="1818" spans="3:4" x14ac:dyDescent="0.35">
      <c r="C1818" s="51"/>
      <c r="D1818" s="51"/>
    </row>
    <row r="1819" spans="3:4" x14ac:dyDescent="0.35">
      <c r="C1819" s="51"/>
      <c r="D1819" s="51"/>
    </row>
    <row r="1820" spans="3:4" x14ac:dyDescent="0.35">
      <c r="C1820" s="51"/>
      <c r="D1820" s="51"/>
    </row>
    <row r="1821" spans="3:4" x14ac:dyDescent="0.35">
      <c r="C1821" s="51"/>
      <c r="D1821" s="51"/>
    </row>
    <row r="1822" spans="3:4" x14ac:dyDescent="0.35">
      <c r="C1822" s="51"/>
      <c r="D1822" s="51"/>
    </row>
    <row r="1823" spans="3:4" x14ac:dyDescent="0.35">
      <c r="C1823" s="51"/>
      <c r="D1823" s="51"/>
    </row>
    <row r="1824" spans="3:4" x14ac:dyDescent="0.35">
      <c r="C1824" s="51"/>
      <c r="D1824" s="51"/>
    </row>
    <row r="1825" spans="3:4" x14ac:dyDescent="0.35">
      <c r="C1825" s="51"/>
      <c r="D1825" s="51"/>
    </row>
    <row r="1826" spans="3:4" x14ac:dyDescent="0.35">
      <c r="C1826" s="51"/>
      <c r="D1826" s="51"/>
    </row>
    <row r="1827" spans="3:4" x14ac:dyDescent="0.35">
      <c r="C1827" s="51"/>
      <c r="D1827" s="51"/>
    </row>
    <row r="1828" spans="3:4" x14ac:dyDescent="0.35">
      <c r="C1828" s="51"/>
      <c r="D1828" s="51"/>
    </row>
    <row r="1829" spans="3:4" x14ac:dyDescent="0.35">
      <c r="C1829" s="51"/>
      <c r="D1829" s="51"/>
    </row>
    <row r="1830" spans="3:4" x14ac:dyDescent="0.35">
      <c r="C1830" s="51"/>
      <c r="D1830" s="51"/>
    </row>
    <row r="1831" spans="3:4" x14ac:dyDescent="0.35">
      <c r="C1831" s="51"/>
      <c r="D1831" s="51"/>
    </row>
    <row r="1832" spans="3:4" x14ac:dyDescent="0.35">
      <c r="C1832" s="51"/>
      <c r="D1832" s="51"/>
    </row>
    <row r="1833" spans="3:4" x14ac:dyDescent="0.35">
      <c r="C1833" s="51"/>
      <c r="D1833" s="51"/>
    </row>
    <row r="1834" spans="3:4" x14ac:dyDescent="0.35">
      <c r="C1834" s="51"/>
      <c r="D1834" s="51"/>
    </row>
    <row r="1835" spans="3:4" x14ac:dyDescent="0.35">
      <c r="C1835" s="51"/>
      <c r="D1835" s="51"/>
    </row>
    <row r="1836" spans="3:4" x14ac:dyDescent="0.35">
      <c r="C1836" s="51"/>
      <c r="D1836" s="51"/>
    </row>
    <row r="1837" spans="3:4" x14ac:dyDescent="0.35">
      <c r="C1837" s="51"/>
      <c r="D1837" s="51"/>
    </row>
    <row r="1838" spans="3:4" x14ac:dyDescent="0.35">
      <c r="C1838" s="51"/>
      <c r="D1838" s="51"/>
    </row>
    <row r="1839" spans="3:4" x14ac:dyDescent="0.35">
      <c r="C1839" s="51"/>
      <c r="D1839" s="51"/>
    </row>
    <row r="1840" spans="3:4" x14ac:dyDescent="0.35">
      <c r="C1840" s="51"/>
      <c r="D1840" s="51"/>
    </row>
    <row r="1841" spans="3:4" x14ac:dyDescent="0.35">
      <c r="C1841" s="51"/>
      <c r="D1841" s="51"/>
    </row>
    <row r="1842" spans="3:4" x14ac:dyDescent="0.35">
      <c r="C1842" s="51"/>
      <c r="D1842" s="51"/>
    </row>
    <row r="1843" spans="3:4" x14ac:dyDescent="0.35">
      <c r="C1843" s="51"/>
      <c r="D1843" s="51"/>
    </row>
    <row r="1844" spans="3:4" x14ac:dyDescent="0.35">
      <c r="C1844" s="51"/>
      <c r="D1844" s="51"/>
    </row>
    <row r="1845" spans="3:4" x14ac:dyDescent="0.35">
      <c r="C1845" s="51"/>
      <c r="D1845" s="51"/>
    </row>
    <row r="1846" spans="3:4" x14ac:dyDescent="0.35">
      <c r="C1846" s="51"/>
      <c r="D1846" s="51"/>
    </row>
    <row r="1847" spans="3:4" x14ac:dyDescent="0.35">
      <c r="C1847" s="51"/>
      <c r="D1847" s="51"/>
    </row>
    <row r="1848" spans="3:4" x14ac:dyDescent="0.35">
      <c r="C1848" s="51"/>
      <c r="D1848" s="51"/>
    </row>
    <row r="1849" spans="3:4" x14ac:dyDescent="0.35">
      <c r="C1849" s="51"/>
      <c r="D1849" s="51"/>
    </row>
    <row r="1850" spans="3:4" x14ac:dyDescent="0.35">
      <c r="C1850" s="51"/>
      <c r="D1850" s="51"/>
    </row>
    <row r="1851" spans="3:4" x14ac:dyDescent="0.35">
      <c r="C1851" s="51"/>
      <c r="D1851" s="51"/>
    </row>
    <row r="1852" spans="3:4" x14ac:dyDescent="0.35">
      <c r="C1852" s="51"/>
      <c r="D1852" s="51"/>
    </row>
    <row r="1853" spans="3:4" x14ac:dyDescent="0.35">
      <c r="C1853" s="51"/>
      <c r="D1853" s="51"/>
    </row>
    <row r="1854" spans="3:4" x14ac:dyDescent="0.35">
      <c r="C1854" s="51"/>
      <c r="D1854" s="51"/>
    </row>
    <row r="1855" spans="3:4" x14ac:dyDescent="0.35">
      <c r="C1855" s="51"/>
      <c r="D1855" s="51"/>
    </row>
    <row r="1856" spans="3:4" x14ac:dyDescent="0.35">
      <c r="C1856" s="51"/>
      <c r="D1856" s="51"/>
    </row>
    <row r="1857" spans="3:4" x14ac:dyDescent="0.35">
      <c r="C1857" s="51"/>
      <c r="D1857" s="51"/>
    </row>
    <row r="1858" spans="3:4" x14ac:dyDescent="0.35">
      <c r="C1858" s="51"/>
      <c r="D1858" s="51"/>
    </row>
    <row r="1859" spans="3:4" x14ac:dyDescent="0.35">
      <c r="C1859" s="51"/>
      <c r="D1859" s="51"/>
    </row>
    <row r="1860" spans="3:4" x14ac:dyDescent="0.35">
      <c r="C1860" s="51"/>
      <c r="D1860" s="51"/>
    </row>
    <row r="1861" spans="3:4" x14ac:dyDescent="0.35">
      <c r="C1861" s="51"/>
      <c r="D1861" s="51"/>
    </row>
    <row r="1862" spans="3:4" x14ac:dyDescent="0.35">
      <c r="C1862" s="51"/>
      <c r="D1862" s="51"/>
    </row>
    <row r="1863" spans="3:4" x14ac:dyDescent="0.35">
      <c r="C1863" s="51"/>
      <c r="D1863" s="51"/>
    </row>
    <row r="1864" spans="3:4" x14ac:dyDescent="0.35">
      <c r="C1864" s="51"/>
      <c r="D1864" s="51"/>
    </row>
    <row r="1865" spans="3:4" x14ac:dyDescent="0.35">
      <c r="C1865" s="51"/>
      <c r="D1865" s="51"/>
    </row>
    <row r="1866" spans="3:4" x14ac:dyDescent="0.35">
      <c r="C1866" s="51"/>
      <c r="D1866" s="51"/>
    </row>
    <row r="1867" spans="3:4" x14ac:dyDescent="0.35">
      <c r="C1867" s="51"/>
      <c r="D1867" s="51"/>
    </row>
    <row r="1868" spans="3:4" x14ac:dyDescent="0.35">
      <c r="C1868" s="51"/>
      <c r="D1868" s="51"/>
    </row>
    <row r="1869" spans="3:4" x14ac:dyDescent="0.35">
      <c r="C1869" s="51"/>
      <c r="D1869" s="51"/>
    </row>
    <row r="1870" spans="3:4" x14ac:dyDescent="0.35">
      <c r="C1870" s="51"/>
      <c r="D1870" s="51"/>
    </row>
    <row r="1871" spans="3:4" x14ac:dyDescent="0.35">
      <c r="C1871" s="51"/>
      <c r="D1871" s="51"/>
    </row>
    <row r="1872" spans="3:4" x14ac:dyDescent="0.35">
      <c r="C1872" s="51"/>
      <c r="D1872" s="51"/>
    </row>
    <row r="1873" spans="3:4" x14ac:dyDescent="0.35">
      <c r="C1873" s="51"/>
      <c r="D1873" s="51"/>
    </row>
    <row r="1874" spans="3:4" x14ac:dyDescent="0.35">
      <c r="C1874" s="51"/>
      <c r="D1874" s="51"/>
    </row>
    <row r="1875" spans="3:4" x14ac:dyDescent="0.35">
      <c r="C1875" s="51"/>
      <c r="D1875" s="51"/>
    </row>
    <row r="1876" spans="3:4" x14ac:dyDescent="0.35">
      <c r="C1876" s="51"/>
      <c r="D1876" s="51"/>
    </row>
    <row r="1877" spans="3:4" x14ac:dyDescent="0.35">
      <c r="C1877" s="51"/>
      <c r="D1877" s="51"/>
    </row>
    <row r="1878" spans="3:4" x14ac:dyDescent="0.35">
      <c r="C1878" s="51"/>
      <c r="D1878" s="51"/>
    </row>
    <row r="1879" spans="3:4" x14ac:dyDescent="0.35">
      <c r="C1879" s="51"/>
      <c r="D1879" s="51"/>
    </row>
    <row r="1880" spans="3:4" x14ac:dyDescent="0.35">
      <c r="C1880" s="51"/>
      <c r="D1880" s="51"/>
    </row>
    <row r="1881" spans="3:4" x14ac:dyDescent="0.35">
      <c r="C1881" s="51"/>
      <c r="D1881" s="51"/>
    </row>
    <row r="1882" spans="3:4" x14ac:dyDescent="0.35">
      <c r="C1882" s="51"/>
      <c r="D1882" s="51"/>
    </row>
    <row r="1883" spans="3:4" x14ac:dyDescent="0.35">
      <c r="C1883" s="51"/>
      <c r="D1883" s="51"/>
    </row>
    <row r="1884" spans="3:4" x14ac:dyDescent="0.35">
      <c r="C1884" s="51"/>
      <c r="D1884" s="51"/>
    </row>
    <row r="1885" spans="3:4" x14ac:dyDescent="0.35">
      <c r="C1885" s="51"/>
      <c r="D1885" s="51"/>
    </row>
    <row r="1886" spans="3:4" x14ac:dyDescent="0.35">
      <c r="C1886" s="51"/>
      <c r="D1886" s="51"/>
    </row>
    <row r="1887" spans="3:4" x14ac:dyDescent="0.35">
      <c r="C1887" s="51"/>
      <c r="D1887" s="51"/>
    </row>
    <row r="1888" spans="3:4" x14ac:dyDescent="0.35">
      <c r="C1888" s="51"/>
      <c r="D1888" s="51"/>
    </row>
    <row r="1889" spans="3:4" x14ac:dyDescent="0.35">
      <c r="C1889" s="51"/>
      <c r="D1889" s="51"/>
    </row>
    <row r="1890" spans="3:4" x14ac:dyDescent="0.35">
      <c r="C1890" s="51"/>
      <c r="D1890" s="51"/>
    </row>
    <row r="1891" spans="3:4" x14ac:dyDescent="0.35">
      <c r="C1891" s="51"/>
      <c r="D1891" s="51"/>
    </row>
    <row r="1892" spans="3:4" x14ac:dyDescent="0.35">
      <c r="C1892" s="51"/>
      <c r="D1892" s="51"/>
    </row>
    <row r="1893" spans="3:4" x14ac:dyDescent="0.35">
      <c r="C1893" s="51"/>
      <c r="D1893" s="51"/>
    </row>
    <row r="1894" spans="3:4" x14ac:dyDescent="0.35">
      <c r="C1894" s="51"/>
      <c r="D1894" s="51"/>
    </row>
    <row r="1895" spans="3:4" x14ac:dyDescent="0.35">
      <c r="C1895" s="51"/>
      <c r="D1895" s="51"/>
    </row>
    <row r="1896" spans="3:4" x14ac:dyDescent="0.35">
      <c r="C1896" s="51"/>
      <c r="D1896" s="51"/>
    </row>
    <row r="1897" spans="3:4" x14ac:dyDescent="0.35">
      <c r="C1897" s="51"/>
      <c r="D1897" s="51"/>
    </row>
    <row r="1898" spans="3:4" x14ac:dyDescent="0.35">
      <c r="C1898" s="51"/>
      <c r="D1898" s="51"/>
    </row>
    <row r="1899" spans="3:4" x14ac:dyDescent="0.35">
      <c r="C1899" s="51"/>
      <c r="D1899" s="51"/>
    </row>
    <row r="1900" spans="3:4" x14ac:dyDescent="0.35">
      <c r="C1900" s="51"/>
      <c r="D1900" s="51"/>
    </row>
    <row r="1901" spans="3:4" x14ac:dyDescent="0.35">
      <c r="C1901" s="51"/>
      <c r="D1901" s="51"/>
    </row>
    <row r="1902" spans="3:4" x14ac:dyDescent="0.35">
      <c r="C1902" s="51"/>
      <c r="D1902" s="51"/>
    </row>
    <row r="1903" spans="3:4" x14ac:dyDescent="0.35">
      <c r="C1903" s="51"/>
      <c r="D1903" s="51"/>
    </row>
    <row r="1904" spans="3:4" x14ac:dyDescent="0.35">
      <c r="C1904" s="51"/>
      <c r="D1904" s="51"/>
    </row>
    <row r="1905" spans="3:4" x14ac:dyDescent="0.35">
      <c r="C1905" s="51"/>
      <c r="D1905" s="51"/>
    </row>
    <row r="1906" spans="3:4" x14ac:dyDescent="0.35">
      <c r="C1906" s="51"/>
      <c r="D1906" s="51"/>
    </row>
    <row r="1907" spans="3:4" x14ac:dyDescent="0.35">
      <c r="C1907" s="51"/>
      <c r="D1907" s="51"/>
    </row>
    <row r="1908" spans="3:4" x14ac:dyDescent="0.35">
      <c r="C1908" s="51"/>
      <c r="D1908" s="51"/>
    </row>
    <row r="1909" spans="3:4" x14ac:dyDescent="0.35">
      <c r="C1909" s="51"/>
      <c r="D1909" s="51"/>
    </row>
    <row r="1910" spans="3:4" x14ac:dyDescent="0.35">
      <c r="C1910" s="51"/>
      <c r="D1910" s="51"/>
    </row>
    <row r="1911" spans="3:4" x14ac:dyDescent="0.35">
      <c r="C1911" s="51"/>
      <c r="D1911" s="51"/>
    </row>
    <row r="1912" spans="3:4" x14ac:dyDescent="0.35">
      <c r="C1912" s="51"/>
      <c r="D1912" s="51"/>
    </row>
    <row r="1913" spans="3:4" x14ac:dyDescent="0.35">
      <c r="C1913" s="51"/>
      <c r="D1913" s="51"/>
    </row>
    <row r="1914" spans="3:4" x14ac:dyDescent="0.35">
      <c r="C1914" s="51"/>
      <c r="D1914" s="51"/>
    </row>
    <row r="1915" spans="3:4" x14ac:dyDescent="0.35">
      <c r="C1915" s="51"/>
      <c r="D1915" s="51"/>
    </row>
    <row r="1916" spans="3:4" x14ac:dyDescent="0.35">
      <c r="C1916" s="51"/>
      <c r="D1916" s="51"/>
    </row>
    <row r="1917" spans="3:4" x14ac:dyDescent="0.35">
      <c r="C1917" s="51"/>
      <c r="D1917" s="51"/>
    </row>
    <row r="1918" spans="3:4" x14ac:dyDescent="0.35">
      <c r="C1918" s="51"/>
      <c r="D1918" s="51"/>
    </row>
    <row r="1919" spans="3:4" x14ac:dyDescent="0.35">
      <c r="C1919" s="51"/>
      <c r="D1919" s="51"/>
    </row>
    <row r="1920" spans="3:4" x14ac:dyDescent="0.35">
      <c r="C1920" s="51"/>
      <c r="D1920" s="51"/>
    </row>
    <row r="1921" spans="3:4" x14ac:dyDescent="0.35">
      <c r="C1921" s="51"/>
      <c r="D1921" s="51"/>
    </row>
    <row r="1922" spans="3:4" x14ac:dyDescent="0.35">
      <c r="C1922" s="51"/>
      <c r="D1922" s="51"/>
    </row>
    <row r="1923" spans="3:4" x14ac:dyDescent="0.35">
      <c r="C1923" s="51"/>
      <c r="D1923" s="51"/>
    </row>
    <row r="1924" spans="3:4" x14ac:dyDescent="0.35">
      <c r="C1924" s="51"/>
      <c r="D1924" s="51"/>
    </row>
    <row r="1925" spans="3:4" x14ac:dyDescent="0.35">
      <c r="C1925" s="51"/>
      <c r="D1925" s="51"/>
    </row>
    <row r="1926" spans="3:4" x14ac:dyDescent="0.35">
      <c r="C1926" s="51"/>
      <c r="D1926" s="51"/>
    </row>
    <row r="1927" spans="3:4" x14ac:dyDescent="0.35">
      <c r="C1927" s="51"/>
      <c r="D1927" s="51"/>
    </row>
    <row r="1928" spans="3:4" x14ac:dyDescent="0.35">
      <c r="C1928" s="51"/>
      <c r="D1928" s="51"/>
    </row>
    <row r="1929" spans="3:4" x14ac:dyDescent="0.35">
      <c r="C1929" s="51"/>
      <c r="D1929" s="51"/>
    </row>
    <row r="1930" spans="3:4" x14ac:dyDescent="0.35">
      <c r="C1930" s="51"/>
      <c r="D1930" s="51"/>
    </row>
    <row r="1931" spans="3:4" x14ac:dyDescent="0.35">
      <c r="C1931" s="51"/>
      <c r="D1931" s="51"/>
    </row>
    <row r="1932" spans="3:4" x14ac:dyDescent="0.35">
      <c r="C1932" s="51"/>
      <c r="D1932" s="51"/>
    </row>
    <row r="1933" spans="3:4" x14ac:dyDescent="0.35">
      <c r="C1933" s="51"/>
      <c r="D1933" s="51"/>
    </row>
    <row r="1934" spans="3:4" x14ac:dyDescent="0.35">
      <c r="C1934" s="51"/>
      <c r="D1934" s="51"/>
    </row>
    <row r="1935" spans="3:4" x14ac:dyDescent="0.35">
      <c r="C1935" s="51"/>
      <c r="D1935" s="51"/>
    </row>
    <row r="1936" spans="3:4" x14ac:dyDescent="0.35">
      <c r="C1936" s="51"/>
      <c r="D1936" s="51"/>
    </row>
    <row r="1937" spans="3:4" x14ac:dyDescent="0.35">
      <c r="C1937" s="51"/>
      <c r="D1937" s="51"/>
    </row>
    <row r="1938" spans="3:4" x14ac:dyDescent="0.35">
      <c r="C1938" s="51"/>
      <c r="D1938" s="51"/>
    </row>
    <row r="1939" spans="3:4" x14ac:dyDescent="0.35">
      <c r="C1939" s="51"/>
      <c r="D1939" s="51"/>
    </row>
    <row r="1940" spans="3:4" x14ac:dyDescent="0.35">
      <c r="C1940" s="51"/>
      <c r="D1940" s="51"/>
    </row>
    <row r="1941" spans="3:4" x14ac:dyDescent="0.35">
      <c r="C1941" s="51"/>
      <c r="D1941" s="51"/>
    </row>
    <row r="1942" spans="3:4" x14ac:dyDescent="0.35">
      <c r="C1942" s="51"/>
      <c r="D1942" s="51"/>
    </row>
    <row r="1943" spans="3:4" x14ac:dyDescent="0.35">
      <c r="C1943" s="51"/>
      <c r="D1943" s="51"/>
    </row>
    <row r="1944" spans="3:4" x14ac:dyDescent="0.35">
      <c r="C1944" s="51"/>
      <c r="D1944" s="51"/>
    </row>
    <row r="1945" spans="3:4" x14ac:dyDescent="0.35">
      <c r="C1945" s="51"/>
      <c r="D1945" s="51"/>
    </row>
    <row r="1946" spans="3:4" x14ac:dyDescent="0.35">
      <c r="C1946" s="51"/>
      <c r="D1946" s="51"/>
    </row>
    <row r="1947" spans="3:4" x14ac:dyDescent="0.35">
      <c r="C1947" s="51"/>
      <c r="D1947" s="51"/>
    </row>
    <row r="1948" spans="3:4" x14ac:dyDescent="0.35">
      <c r="C1948" s="51"/>
      <c r="D1948" s="51"/>
    </row>
    <row r="1949" spans="3:4" x14ac:dyDescent="0.35">
      <c r="C1949" s="51"/>
      <c r="D1949" s="51"/>
    </row>
    <row r="1950" spans="3:4" x14ac:dyDescent="0.35">
      <c r="C1950" s="51"/>
      <c r="D1950" s="51"/>
    </row>
    <row r="1951" spans="3:4" x14ac:dyDescent="0.35">
      <c r="C1951" s="51"/>
      <c r="D1951" s="51"/>
    </row>
    <row r="1952" spans="3:4" x14ac:dyDescent="0.35">
      <c r="C1952" s="51"/>
      <c r="D1952" s="51"/>
    </row>
    <row r="1953" spans="3:4" x14ac:dyDescent="0.35">
      <c r="C1953" s="51"/>
      <c r="D1953" s="51"/>
    </row>
    <row r="1954" spans="3:4" x14ac:dyDescent="0.35">
      <c r="C1954" s="51"/>
      <c r="D1954" s="51"/>
    </row>
    <row r="1955" spans="3:4" x14ac:dyDescent="0.35">
      <c r="C1955" s="51"/>
      <c r="D1955" s="51"/>
    </row>
    <row r="1956" spans="3:4" x14ac:dyDescent="0.35">
      <c r="C1956" s="51"/>
      <c r="D1956" s="51"/>
    </row>
    <row r="1957" spans="3:4" x14ac:dyDescent="0.35">
      <c r="C1957" s="51"/>
      <c r="D1957" s="51"/>
    </row>
    <row r="1958" spans="3:4" x14ac:dyDescent="0.35">
      <c r="C1958" s="51"/>
      <c r="D1958" s="51"/>
    </row>
    <row r="1959" spans="3:4" x14ac:dyDescent="0.35">
      <c r="C1959" s="51"/>
      <c r="D1959" s="51"/>
    </row>
    <row r="1960" spans="3:4" x14ac:dyDescent="0.35">
      <c r="C1960" s="51"/>
      <c r="D1960" s="51"/>
    </row>
    <row r="1961" spans="3:4" x14ac:dyDescent="0.35">
      <c r="C1961" s="51"/>
      <c r="D1961" s="51"/>
    </row>
    <row r="1962" spans="3:4" x14ac:dyDescent="0.35">
      <c r="C1962" s="51"/>
      <c r="D1962" s="51"/>
    </row>
    <row r="1963" spans="3:4" x14ac:dyDescent="0.35">
      <c r="C1963" s="51"/>
      <c r="D1963" s="51"/>
    </row>
    <row r="1964" spans="3:4" x14ac:dyDescent="0.35">
      <c r="C1964" s="51"/>
      <c r="D1964" s="51"/>
    </row>
    <row r="1965" spans="3:4" x14ac:dyDescent="0.35">
      <c r="C1965" s="51"/>
      <c r="D1965" s="51"/>
    </row>
    <row r="1966" spans="3:4" x14ac:dyDescent="0.35">
      <c r="C1966" s="51"/>
      <c r="D1966" s="51"/>
    </row>
    <row r="1967" spans="3:4" x14ac:dyDescent="0.35">
      <c r="C1967" s="51"/>
      <c r="D1967" s="51"/>
    </row>
    <row r="1968" spans="3:4" x14ac:dyDescent="0.35">
      <c r="C1968" s="51"/>
      <c r="D1968" s="51"/>
    </row>
    <row r="1969" spans="3:4" x14ac:dyDescent="0.35">
      <c r="C1969" s="51"/>
      <c r="D1969" s="51"/>
    </row>
    <row r="1970" spans="3:4" x14ac:dyDescent="0.35">
      <c r="C1970" s="51"/>
      <c r="D1970" s="51"/>
    </row>
    <row r="1971" spans="3:4" x14ac:dyDescent="0.35">
      <c r="C1971" s="51"/>
      <c r="D1971" s="51"/>
    </row>
    <row r="1972" spans="3:4" x14ac:dyDescent="0.35">
      <c r="C1972" s="51"/>
      <c r="D1972" s="51"/>
    </row>
    <row r="1973" spans="3:4" x14ac:dyDescent="0.35">
      <c r="C1973" s="51"/>
      <c r="D1973" s="51"/>
    </row>
    <row r="1974" spans="3:4" x14ac:dyDescent="0.35">
      <c r="C1974" s="51"/>
      <c r="D1974" s="51"/>
    </row>
    <row r="1975" spans="3:4" x14ac:dyDescent="0.35">
      <c r="C1975" s="51"/>
      <c r="D1975" s="51"/>
    </row>
    <row r="1976" spans="3:4" x14ac:dyDescent="0.35">
      <c r="C1976" s="51"/>
      <c r="D1976" s="51"/>
    </row>
    <row r="1977" spans="3:4" x14ac:dyDescent="0.35">
      <c r="C1977" s="51"/>
      <c r="D1977" s="51"/>
    </row>
    <row r="1978" spans="3:4" x14ac:dyDescent="0.35">
      <c r="C1978" s="51"/>
      <c r="D1978" s="51"/>
    </row>
    <row r="1979" spans="3:4" x14ac:dyDescent="0.35">
      <c r="C1979" s="51"/>
      <c r="D1979" s="51"/>
    </row>
    <row r="1980" spans="3:4" x14ac:dyDescent="0.35">
      <c r="C1980" s="51"/>
      <c r="D1980" s="51"/>
    </row>
    <row r="1981" spans="3:4" x14ac:dyDescent="0.35">
      <c r="C1981" s="51"/>
      <c r="D1981" s="51"/>
    </row>
    <row r="1982" spans="3:4" x14ac:dyDescent="0.35">
      <c r="C1982" s="51"/>
      <c r="D1982" s="51"/>
    </row>
    <row r="1983" spans="3:4" x14ac:dyDescent="0.35">
      <c r="C1983" s="51"/>
      <c r="D1983" s="51"/>
    </row>
    <row r="1984" spans="3:4" x14ac:dyDescent="0.35">
      <c r="C1984" s="51"/>
      <c r="D1984" s="51"/>
    </row>
    <row r="1985" spans="3:4" x14ac:dyDescent="0.35">
      <c r="C1985" s="51"/>
      <c r="D1985" s="51"/>
    </row>
    <row r="1986" spans="3:4" x14ac:dyDescent="0.35">
      <c r="C1986" s="51"/>
      <c r="D1986" s="51"/>
    </row>
    <row r="1987" spans="3:4" x14ac:dyDescent="0.35">
      <c r="C1987" s="51"/>
      <c r="D1987" s="51"/>
    </row>
    <row r="1988" spans="3:4" x14ac:dyDescent="0.35">
      <c r="C1988" s="51"/>
      <c r="D1988" s="51"/>
    </row>
    <row r="1989" spans="3:4" x14ac:dyDescent="0.35">
      <c r="C1989" s="51"/>
      <c r="D1989" s="51"/>
    </row>
    <row r="1990" spans="3:4" x14ac:dyDescent="0.35">
      <c r="C1990" s="51"/>
      <c r="D1990" s="51"/>
    </row>
    <row r="1991" spans="3:4" x14ac:dyDescent="0.35">
      <c r="C1991" s="51"/>
      <c r="D1991" s="51"/>
    </row>
    <row r="1992" spans="3:4" x14ac:dyDescent="0.35">
      <c r="C1992" s="51"/>
      <c r="D1992" s="51"/>
    </row>
    <row r="1993" spans="3:4" x14ac:dyDescent="0.35">
      <c r="C1993" s="51"/>
      <c r="D1993" s="51"/>
    </row>
    <row r="1994" spans="3:4" x14ac:dyDescent="0.35">
      <c r="C1994" s="51"/>
      <c r="D1994" s="51"/>
    </row>
    <row r="1995" spans="3:4" x14ac:dyDescent="0.35">
      <c r="C1995" s="51"/>
      <c r="D1995" s="51"/>
    </row>
    <row r="1996" spans="3:4" x14ac:dyDescent="0.35">
      <c r="C1996" s="51"/>
      <c r="D1996" s="51"/>
    </row>
    <row r="1997" spans="3:4" x14ac:dyDescent="0.35">
      <c r="C1997" s="51"/>
      <c r="D1997" s="51"/>
    </row>
    <row r="1998" spans="3:4" x14ac:dyDescent="0.35">
      <c r="C1998" s="51"/>
      <c r="D1998" s="51"/>
    </row>
    <row r="1999" spans="3:4" x14ac:dyDescent="0.35">
      <c r="C1999" s="51"/>
      <c r="D1999" s="51"/>
    </row>
    <row r="2000" spans="3:4" x14ac:dyDescent="0.35">
      <c r="C2000" s="51"/>
      <c r="D2000" s="51"/>
    </row>
    <row r="2001" spans="3:4" x14ac:dyDescent="0.35">
      <c r="C2001" s="51"/>
      <c r="D2001" s="51"/>
    </row>
    <row r="2002" spans="3:4" x14ac:dyDescent="0.35">
      <c r="C2002" s="51"/>
      <c r="D2002" s="51"/>
    </row>
    <row r="2003" spans="3:4" x14ac:dyDescent="0.35">
      <c r="C2003" s="51"/>
      <c r="D2003" s="51"/>
    </row>
    <row r="2004" spans="3:4" x14ac:dyDescent="0.35">
      <c r="C2004" s="51"/>
      <c r="D2004" s="51"/>
    </row>
    <row r="2005" spans="3:4" x14ac:dyDescent="0.35">
      <c r="C2005" s="51"/>
      <c r="D2005" s="51"/>
    </row>
    <row r="2006" spans="3:4" x14ac:dyDescent="0.35">
      <c r="C2006" s="51"/>
      <c r="D2006" s="51"/>
    </row>
    <row r="2007" spans="3:4" x14ac:dyDescent="0.35">
      <c r="C2007" s="51"/>
      <c r="D2007" s="51"/>
    </row>
    <row r="2008" spans="3:4" x14ac:dyDescent="0.35">
      <c r="C2008" s="51"/>
      <c r="D2008" s="51"/>
    </row>
    <row r="2009" spans="3:4" x14ac:dyDescent="0.35">
      <c r="C2009" s="51"/>
      <c r="D2009" s="51"/>
    </row>
    <row r="2010" spans="3:4" x14ac:dyDescent="0.35">
      <c r="C2010" s="51"/>
      <c r="D2010" s="51"/>
    </row>
    <row r="2011" spans="3:4" x14ac:dyDescent="0.35">
      <c r="C2011" s="51"/>
      <c r="D2011" s="51"/>
    </row>
    <row r="2012" spans="3:4" x14ac:dyDescent="0.35">
      <c r="C2012" s="51"/>
      <c r="D2012" s="51"/>
    </row>
    <row r="2013" spans="3:4" x14ac:dyDescent="0.35">
      <c r="C2013" s="51"/>
      <c r="D2013" s="51"/>
    </row>
    <row r="2014" spans="3:4" x14ac:dyDescent="0.35">
      <c r="C2014" s="51"/>
      <c r="D2014" s="51"/>
    </row>
    <row r="2015" spans="3:4" x14ac:dyDescent="0.35">
      <c r="C2015" s="51"/>
      <c r="D2015" s="51"/>
    </row>
    <row r="2016" spans="3:4" x14ac:dyDescent="0.35">
      <c r="C2016" s="51"/>
      <c r="D2016" s="51"/>
    </row>
    <row r="2017" spans="3:4" x14ac:dyDescent="0.35">
      <c r="C2017" s="51"/>
      <c r="D2017" s="51"/>
    </row>
    <row r="2018" spans="3:4" x14ac:dyDescent="0.35">
      <c r="C2018" s="51"/>
      <c r="D2018" s="51"/>
    </row>
    <row r="2019" spans="3:4" x14ac:dyDescent="0.35">
      <c r="C2019" s="51"/>
      <c r="D2019" s="51"/>
    </row>
    <row r="2020" spans="3:4" x14ac:dyDescent="0.35">
      <c r="C2020" s="51"/>
      <c r="D2020" s="51"/>
    </row>
    <row r="2021" spans="3:4" x14ac:dyDescent="0.35">
      <c r="C2021" s="51"/>
      <c r="D2021" s="51"/>
    </row>
    <row r="2022" spans="3:4" x14ac:dyDescent="0.35">
      <c r="C2022" s="51"/>
      <c r="D2022" s="51"/>
    </row>
    <row r="2023" spans="3:4" x14ac:dyDescent="0.35">
      <c r="C2023" s="51"/>
      <c r="D2023" s="51"/>
    </row>
    <row r="2024" spans="3:4" x14ac:dyDescent="0.35">
      <c r="C2024" s="51"/>
      <c r="D2024" s="51"/>
    </row>
    <row r="2025" spans="3:4" x14ac:dyDescent="0.35">
      <c r="C2025" s="51"/>
      <c r="D2025" s="51"/>
    </row>
    <row r="2026" spans="3:4" x14ac:dyDescent="0.35">
      <c r="C2026" s="51"/>
      <c r="D2026" s="51"/>
    </row>
    <row r="2027" spans="3:4" x14ac:dyDescent="0.35">
      <c r="C2027" s="51"/>
      <c r="D2027" s="51"/>
    </row>
    <row r="2028" spans="3:4" x14ac:dyDescent="0.35">
      <c r="C2028" s="51"/>
      <c r="D2028" s="51"/>
    </row>
    <row r="2029" spans="3:4" x14ac:dyDescent="0.35">
      <c r="C2029" s="51"/>
      <c r="D2029" s="51"/>
    </row>
    <row r="2030" spans="3:4" x14ac:dyDescent="0.35">
      <c r="C2030" s="51"/>
      <c r="D2030" s="51"/>
    </row>
    <row r="2031" spans="3:4" x14ac:dyDescent="0.35">
      <c r="C2031" s="51"/>
      <c r="D2031" s="51"/>
    </row>
    <row r="2032" spans="3:4" x14ac:dyDescent="0.35">
      <c r="C2032" s="51"/>
      <c r="D2032" s="51"/>
    </row>
    <row r="2033" spans="3:4" x14ac:dyDescent="0.35">
      <c r="C2033" s="51"/>
      <c r="D2033" s="51"/>
    </row>
    <row r="2034" spans="3:4" x14ac:dyDescent="0.35">
      <c r="C2034" s="51"/>
      <c r="D2034" s="51"/>
    </row>
    <row r="2035" spans="3:4" x14ac:dyDescent="0.35">
      <c r="C2035" s="51"/>
      <c r="D2035" s="51"/>
    </row>
    <row r="2036" spans="3:4" x14ac:dyDescent="0.35">
      <c r="C2036" s="51"/>
      <c r="D2036" s="51"/>
    </row>
    <row r="2037" spans="3:4" x14ac:dyDescent="0.35">
      <c r="C2037" s="51"/>
      <c r="D2037" s="51"/>
    </row>
    <row r="2038" spans="3:4" x14ac:dyDescent="0.35">
      <c r="C2038" s="51"/>
      <c r="D2038" s="51"/>
    </row>
    <row r="2039" spans="3:4" x14ac:dyDescent="0.35">
      <c r="C2039" s="51"/>
      <c r="D2039" s="51"/>
    </row>
    <row r="2040" spans="3:4" x14ac:dyDescent="0.35">
      <c r="C2040" s="51"/>
      <c r="D2040" s="51"/>
    </row>
    <row r="2041" spans="3:4" x14ac:dyDescent="0.35">
      <c r="C2041" s="51"/>
      <c r="D2041" s="51"/>
    </row>
    <row r="2042" spans="3:4" x14ac:dyDescent="0.35">
      <c r="C2042" s="51"/>
      <c r="D2042" s="51"/>
    </row>
    <row r="2043" spans="3:4" x14ac:dyDescent="0.35">
      <c r="C2043" s="51"/>
      <c r="D2043" s="51"/>
    </row>
    <row r="2044" spans="3:4" x14ac:dyDescent="0.35">
      <c r="C2044" s="51"/>
      <c r="D2044" s="51"/>
    </row>
    <row r="2045" spans="3:4" x14ac:dyDescent="0.35">
      <c r="C2045" s="51"/>
      <c r="D2045" s="51"/>
    </row>
    <row r="2046" spans="3:4" x14ac:dyDescent="0.35">
      <c r="C2046" s="51"/>
      <c r="D2046" s="51"/>
    </row>
    <row r="2047" spans="3:4" x14ac:dyDescent="0.35">
      <c r="C2047" s="51"/>
      <c r="D2047" s="51"/>
    </row>
    <row r="2048" spans="3:4" x14ac:dyDescent="0.35">
      <c r="C2048" s="51"/>
      <c r="D2048" s="51"/>
    </row>
    <row r="2049" spans="3:4" x14ac:dyDescent="0.35">
      <c r="C2049" s="51"/>
      <c r="D2049" s="51"/>
    </row>
    <row r="2050" spans="3:4" x14ac:dyDescent="0.35">
      <c r="C2050" s="51"/>
      <c r="D2050" s="51"/>
    </row>
    <row r="2051" spans="3:4" x14ac:dyDescent="0.35">
      <c r="C2051" s="51"/>
      <c r="D2051" s="51"/>
    </row>
    <row r="2052" spans="3:4" x14ac:dyDescent="0.35">
      <c r="C2052" s="51"/>
      <c r="D2052" s="51"/>
    </row>
    <row r="2053" spans="3:4" x14ac:dyDescent="0.35">
      <c r="C2053" s="51"/>
      <c r="D2053" s="51"/>
    </row>
    <row r="2054" spans="3:4" x14ac:dyDescent="0.35">
      <c r="C2054" s="51"/>
      <c r="D2054" s="51"/>
    </row>
    <row r="2055" spans="3:4" x14ac:dyDescent="0.35">
      <c r="C2055" s="51"/>
      <c r="D2055" s="51"/>
    </row>
    <row r="2056" spans="3:4" x14ac:dyDescent="0.35">
      <c r="C2056" s="51"/>
      <c r="D2056" s="51"/>
    </row>
    <row r="2057" spans="3:4" x14ac:dyDescent="0.35">
      <c r="C2057" s="51"/>
      <c r="D2057" s="51"/>
    </row>
    <row r="2058" spans="3:4" x14ac:dyDescent="0.35">
      <c r="C2058" s="51"/>
      <c r="D2058" s="51"/>
    </row>
    <row r="2059" spans="3:4" x14ac:dyDescent="0.35">
      <c r="C2059" s="51"/>
      <c r="D2059" s="51"/>
    </row>
    <row r="2060" spans="3:4" x14ac:dyDescent="0.35">
      <c r="C2060" s="51"/>
      <c r="D2060" s="51"/>
    </row>
    <row r="2061" spans="3:4" x14ac:dyDescent="0.35">
      <c r="C2061" s="51"/>
      <c r="D2061" s="51"/>
    </row>
    <row r="2062" spans="3:4" x14ac:dyDescent="0.35">
      <c r="C2062" s="51"/>
      <c r="D2062" s="51"/>
    </row>
    <row r="2063" spans="3:4" x14ac:dyDescent="0.35">
      <c r="C2063" s="51"/>
      <c r="D2063" s="51"/>
    </row>
    <row r="2064" spans="3:4" x14ac:dyDescent="0.35">
      <c r="C2064" s="51"/>
      <c r="D2064" s="51"/>
    </row>
    <row r="2065" spans="3:4" x14ac:dyDescent="0.35">
      <c r="C2065" s="51"/>
      <c r="D2065" s="51"/>
    </row>
    <row r="2066" spans="3:4" x14ac:dyDescent="0.35">
      <c r="C2066" s="51"/>
      <c r="D2066" s="51"/>
    </row>
    <row r="2067" spans="3:4" x14ac:dyDescent="0.35">
      <c r="C2067" s="51"/>
      <c r="D2067" s="51"/>
    </row>
    <row r="2068" spans="3:4" x14ac:dyDescent="0.35">
      <c r="C2068" s="51"/>
      <c r="D2068" s="51"/>
    </row>
    <row r="2069" spans="3:4" x14ac:dyDescent="0.35">
      <c r="C2069" s="51"/>
      <c r="D2069" s="51"/>
    </row>
    <row r="2070" spans="3:4" x14ac:dyDescent="0.35">
      <c r="C2070" s="51"/>
      <c r="D2070" s="51"/>
    </row>
    <row r="2071" spans="3:4" x14ac:dyDescent="0.35">
      <c r="C2071" s="51"/>
      <c r="D2071" s="51"/>
    </row>
    <row r="2072" spans="3:4" x14ac:dyDescent="0.35">
      <c r="C2072" s="51"/>
      <c r="D2072" s="51"/>
    </row>
    <row r="2073" spans="3:4" x14ac:dyDescent="0.35">
      <c r="C2073" s="51"/>
      <c r="D2073" s="51"/>
    </row>
    <row r="2074" spans="3:4" x14ac:dyDescent="0.35">
      <c r="C2074" s="51"/>
      <c r="D2074" s="51"/>
    </row>
    <row r="2075" spans="3:4" x14ac:dyDescent="0.35">
      <c r="C2075" s="51"/>
      <c r="D2075" s="51"/>
    </row>
    <row r="2076" spans="3:4" x14ac:dyDescent="0.35">
      <c r="C2076" s="51"/>
      <c r="D2076" s="51"/>
    </row>
    <row r="2077" spans="3:4" x14ac:dyDescent="0.35">
      <c r="C2077" s="51"/>
      <c r="D2077" s="51"/>
    </row>
    <row r="2078" spans="3:4" x14ac:dyDescent="0.35">
      <c r="C2078" s="51"/>
      <c r="D2078" s="51"/>
    </row>
    <row r="2079" spans="3:4" x14ac:dyDescent="0.35">
      <c r="C2079" s="51"/>
      <c r="D2079" s="51"/>
    </row>
    <row r="2080" spans="3:4" x14ac:dyDescent="0.35">
      <c r="C2080" s="51"/>
      <c r="D2080" s="51"/>
    </row>
    <row r="2081" spans="3:4" x14ac:dyDescent="0.35">
      <c r="C2081" s="51"/>
      <c r="D2081" s="51"/>
    </row>
    <row r="2082" spans="3:4" x14ac:dyDescent="0.35">
      <c r="C2082" s="51"/>
      <c r="D2082" s="51"/>
    </row>
    <row r="2083" spans="3:4" x14ac:dyDescent="0.35">
      <c r="C2083" s="51"/>
      <c r="D2083" s="51"/>
    </row>
    <row r="2084" spans="3:4" x14ac:dyDescent="0.35">
      <c r="C2084" s="51"/>
      <c r="D2084" s="51"/>
    </row>
    <row r="2085" spans="3:4" x14ac:dyDescent="0.35">
      <c r="C2085" s="51"/>
      <c r="D2085" s="51"/>
    </row>
    <row r="2086" spans="3:4" x14ac:dyDescent="0.35">
      <c r="C2086" s="51"/>
      <c r="D2086" s="51"/>
    </row>
    <row r="2087" spans="3:4" x14ac:dyDescent="0.35">
      <c r="C2087" s="51"/>
      <c r="D2087" s="51"/>
    </row>
    <row r="2088" spans="3:4" x14ac:dyDescent="0.35">
      <c r="C2088" s="51"/>
      <c r="D2088" s="51"/>
    </row>
    <row r="2089" spans="3:4" x14ac:dyDescent="0.35">
      <c r="C2089" s="51"/>
      <c r="D2089" s="51"/>
    </row>
    <row r="2090" spans="3:4" x14ac:dyDescent="0.35">
      <c r="C2090" s="51"/>
      <c r="D2090" s="51"/>
    </row>
    <row r="2091" spans="3:4" x14ac:dyDescent="0.35">
      <c r="C2091" s="51"/>
      <c r="D2091" s="51"/>
    </row>
    <row r="2092" spans="3:4" x14ac:dyDescent="0.35">
      <c r="C2092" s="51"/>
      <c r="D2092" s="51"/>
    </row>
    <row r="2093" spans="3:4" x14ac:dyDescent="0.35">
      <c r="C2093" s="51"/>
      <c r="D2093" s="51"/>
    </row>
    <row r="2094" spans="3:4" x14ac:dyDescent="0.35">
      <c r="C2094" s="51"/>
      <c r="D2094" s="51"/>
    </row>
    <row r="2095" spans="3:4" x14ac:dyDescent="0.35">
      <c r="C2095" s="51"/>
      <c r="D2095" s="51"/>
    </row>
    <row r="2096" spans="3:4" x14ac:dyDescent="0.35">
      <c r="C2096" s="51"/>
      <c r="D2096" s="51"/>
    </row>
    <row r="2097" spans="3:4" x14ac:dyDescent="0.35">
      <c r="C2097" s="51"/>
      <c r="D2097" s="51"/>
    </row>
    <row r="2098" spans="3:4" x14ac:dyDescent="0.35">
      <c r="C2098" s="51"/>
      <c r="D2098" s="51"/>
    </row>
    <row r="2099" spans="3:4" x14ac:dyDescent="0.35">
      <c r="C2099" s="51"/>
      <c r="D2099" s="51"/>
    </row>
    <row r="2100" spans="3:4" x14ac:dyDescent="0.35">
      <c r="C2100" s="51"/>
      <c r="D2100" s="51"/>
    </row>
    <row r="2101" spans="3:4" x14ac:dyDescent="0.35">
      <c r="C2101" s="51"/>
      <c r="D2101" s="51"/>
    </row>
    <row r="2102" spans="3:4" x14ac:dyDescent="0.35">
      <c r="C2102" s="51"/>
      <c r="D2102" s="51"/>
    </row>
    <row r="2103" spans="3:4" x14ac:dyDescent="0.35">
      <c r="C2103" s="51"/>
      <c r="D2103" s="51"/>
    </row>
    <row r="2104" spans="3:4" x14ac:dyDescent="0.35">
      <c r="C2104" s="51"/>
      <c r="D2104" s="51"/>
    </row>
    <row r="2105" spans="3:4" x14ac:dyDescent="0.35">
      <c r="C2105" s="51"/>
      <c r="D2105" s="51"/>
    </row>
    <row r="2106" spans="3:4" x14ac:dyDescent="0.35">
      <c r="C2106" s="51"/>
      <c r="D2106" s="51"/>
    </row>
    <row r="2107" spans="3:4" x14ac:dyDescent="0.35">
      <c r="C2107" s="51"/>
      <c r="D2107" s="51"/>
    </row>
    <row r="2108" spans="3:4" x14ac:dyDescent="0.35">
      <c r="C2108" s="51"/>
      <c r="D2108" s="51"/>
    </row>
    <row r="2109" spans="3:4" x14ac:dyDescent="0.35">
      <c r="C2109" s="51"/>
      <c r="D2109" s="51"/>
    </row>
    <row r="2110" spans="3:4" x14ac:dyDescent="0.35">
      <c r="C2110" s="51"/>
      <c r="D2110" s="51"/>
    </row>
    <row r="2111" spans="3:4" x14ac:dyDescent="0.35">
      <c r="C2111" s="51"/>
      <c r="D2111" s="51"/>
    </row>
    <row r="2112" spans="3:4" x14ac:dyDescent="0.35">
      <c r="C2112" s="51"/>
      <c r="D2112" s="51"/>
    </row>
    <row r="2113" spans="3:4" x14ac:dyDescent="0.35">
      <c r="C2113" s="51"/>
      <c r="D2113" s="51"/>
    </row>
    <row r="2114" spans="3:4" x14ac:dyDescent="0.35">
      <c r="C2114" s="51"/>
      <c r="D2114" s="51"/>
    </row>
    <row r="2115" spans="3:4" x14ac:dyDescent="0.35">
      <c r="C2115" s="51"/>
      <c r="D2115" s="51"/>
    </row>
    <row r="2116" spans="3:4" x14ac:dyDescent="0.35">
      <c r="C2116" s="51"/>
      <c r="D2116" s="51"/>
    </row>
    <row r="2117" spans="3:4" x14ac:dyDescent="0.35">
      <c r="C2117" s="51"/>
      <c r="D2117" s="51"/>
    </row>
    <row r="2118" spans="3:4" x14ac:dyDescent="0.35">
      <c r="C2118" s="51"/>
      <c r="D2118" s="51"/>
    </row>
    <row r="2119" spans="3:4" x14ac:dyDescent="0.35">
      <c r="C2119" s="51"/>
      <c r="D2119" s="51"/>
    </row>
    <row r="2120" spans="3:4" x14ac:dyDescent="0.35">
      <c r="C2120" s="51"/>
      <c r="D2120" s="51"/>
    </row>
    <row r="2121" spans="3:4" x14ac:dyDescent="0.35">
      <c r="C2121" s="51"/>
      <c r="D2121" s="51"/>
    </row>
    <row r="2122" spans="3:4" x14ac:dyDescent="0.35">
      <c r="C2122" s="51"/>
      <c r="D2122" s="51"/>
    </row>
    <row r="2123" spans="3:4" x14ac:dyDescent="0.35">
      <c r="C2123" s="51"/>
      <c r="D2123" s="51"/>
    </row>
    <row r="2124" spans="3:4" x14ac:dyDescent="0.35">
      <c r="C2124" s="51"/>
      <c r="D2124" s="51"/>
    </row>
    <row r="2125" spans="3:4" x14ac:dyDescent="0.35">
      <c r="C2125" s="51"/>
      <c r="D2125" s="51"/>
    </row>
    <row r="2126" spans="3:4" x14ac:dyDescent="0.35">
      <c r="C2126" s="51"/>
      <c r="D2126" s="51"/>
    </row>
    <row r="2127" spans="3:4" x14ac:dyDescent="0.35">
      <c r="C2127" s="51"/>
      <c r="D2127" s="51"/>
    </row>
    <row r="2128" spans="3:4" x14ac:dyDescent="0.35">
      <c r="C2128" s="51"/>
      <c r="D2128" s="51"/>
    </row>
    <row r="2129" spans="3:4" x14ac:dyDescent="0.35">
      <c r="C2129" s="51"/>
      <c r="D2129" s="51"/>
    </row>
    <row r="2130" spans="3:4" x14ac:dyDescent="0.35">
      <c r="C2130" s="51"/>
      <c r="D2130" s="51"/>
    </row>
    <row r="2131" spans="3:4" x14ac:dyDescent="0.35">
      <c r="C2131" s="51"/>
      <c r="D2131" s="51"/>
    </row>
    <row r="2132" spans="3:4" x14ac:dyDescent="0.35">
      <c r="C2132" s="51"/>
      <c r="D2132" s="51"/>
    </row>
    <row r="2133" spans="3:4" x14ac:dyDescent="0.35">
      <c r="C2133" s="51"/>
      <c r="D2133" s="51"/>
    </row>
    <row r="2134" spans="3:4" x14ac:dyDescent="0.35">
      <c r="C2134" s="51"/>
      <c r="D2134" s="51"/>
    </row>
    <row r="2135" spans="3:4" x14ac:dyDescent="0.35">
      <c r="C2135" s="51"/>
      <c r="D2135" s="51"/>
    </row>
    <row r="2136" spans="3:4" x14ac:dyDescent="0.35">
      <c r="C2136" s="51"/>
      <c r="D2136" s="51"/>
    </row>
    <row r="2137" spans="3:4" x14ac:dyDescent="0.35">
      <c r="C2137" s="51"/>
      <c r="D2137" s="51"/>
    </row>
    <row r="2138" spans="3:4" x14ac:dyDescent="0.35">
      <c r="C2138" s="51"/>
      <c r="D2138" s="51"/>
    </row>
    <row r="2139" spans="3:4" x14ac:dyDescent="0.35">
      <c r="C2139" s="51"/>
      <c r="D2139" s="51"/>
    </row>
    <row r="2140" spans="3:4" x14ac:dyDescent="0.35">
      <c r="C2140" s="51"/>
      <c r="D2140" s="51"/>
    </row>
    <row r="2141" spans="3:4" x14ac:dyDescent="0.35">
      <c r="C2141" s="51"/>
      <c r="D2141" s="51"/>
    </row>
    <row r="2142" spans="3:4" x14ac:dyDescent="0.35">
      <c r="C2142" s="51"/>
      <c r="D2142" s="51"/>
    </row>
    <row r="2143" spans="3:4" x14ac:dyDescent="0.35">
      <c r="C2143" s="51"/>
      <c r="D2143" s="51"/>
    </row>
    <row r="2144" spans="3:4" x14ac:dyDescent="0.35">
      <c r="C2144" s="51"/>
      <c r="D2144" s="51"/>
    </row>
    <row r="2145" spans="3:4" x14ac:dyDescent="0.35">
      <c r="C2145" s="51"/>
      <c r="D2145" s="51"/>
    </row>
    <row r="2146" spans="3:4" x14ac:dyDescent="0.35">
      <c r="C2146" s="51"/>
      <c r="D2146" s="51"/>
    </row>
    <row r="2147" spans="3:4" x14ac:dyDescent="0.35">
      <c r="C2147" s="51"/>
      <c r="D2147" s="51"/>
    </row>
    <row r="2148" spans="3:4" x14ac:dyDescent="0.35">
      <c r="C2148" s="51"/>
      <c r="D2148" s="51"/>
    </row>
    <row r="2149" spans="3:4" x14ac:dyDescent="0.35">
      <c r="C2149" s="51"/>
      <c r="D2149" s="51"/>
    </row>
    <row r="2150" spans="3:4" x14ac:dyDescent="0.35">
      <c r="C2150" s="51"/>
      <c r="D2150" s="51"/>
    </row>
    <row r="2151" spans="3:4" x14ac:dyDescent="0.35">
      <c r="C2151" s="51"/>
      <c r="D2151" s="51"/>
    </row>
    <row r="2152" spans="3:4" x14ac:dyDescent="0.35">
      <c r="C2152" s="51"/>
      <c r="D2152" s="51"/>
    </row>
    <row r="2153" spans="3:4" x14ac:dyDescent="0.35">
      <c r="C2153" s="51"/>
      <c r="D2153" s="51"/>
    </row>
    <row r="2154" spans="3:4" x14ac:dyDescent="0.35">
      <c r="C2154" s="51"/>
      <c r="D2154" s="51"/>
    </row>
    <row r="2155" spans="3:4" x14ac:dyDescent="0.35">
      <c r="C2155" s="51"/>
      <c r="D2155" s="51"/>
    </row>
    <row r="2156" spans="3:4" x14ac:dyDescent="0.35">
      <c r="C2156" s="51"/>
      <c r="D2156" s="51"/>
    </row>
    <row r="2157" spans="3:4" x14ac:dyDescent="0.35">
      <c r="C2157" s="51"/>
      <c r="D2157" s="51"/>
    </row>
    <row r="2158" spans="3:4" x14ac:dyDescent="0.35">
      <c r="C2158" s="51"/>
      <c r="D2158" s="51"/>
    </row>
    <row r="2159" spans="3:4" x14ac:dyDescent="0.35">
      <c r="C2159" s="51"/>
      <c r="D2159" s="51"/>
    </row>
    <row r="2160" spans="3:4" x14ac:dyDescent="0.35">
      <c r="C2160" s="51"/>
      <c r="D2160" s="51"/>
    </row>
    <row r="2161" spans="3:4" x14ac:dyDescent="0.35">
      <c r="C2161" s="51"/>
      <c r="D2161" s="51"/>
    </row>
    <row r="2162" spans="3:4" x14ac:dyDescent="0.35">
      <c r="C2162" s="51"/>
      <c r="D2162" s="51"/>
    </row>
    <row r="2163" spans="3:4" x14ac:dyDescent="0.35">
      <c r="C2163" s="51"/>
      <c r="D2163" s="51"/>
    </row>
    <row r="2164" spans="3:4" x14ac:dyDescent="0.35">
      <c r="C2164" s="51"/>
      <c r="D2164" s="51"/>
    </row>
    <row r="2165" spans="3:4" x14ac:dyDescent="0.35">
      <c r="C2165" s="51"/>
      <c r="D2165" s="51"/>
    </row>
    <row r="2166" spans="3:4" x14ac:dyDescent="0.35">
      <c r="C2166" s="51"/>
      <c r="D2166" s="51"/>
    </row>
    <row r="2167" spans="3:4" x14ac:dyDescent="0.35">
      <c r="C2167" s="51"/>
      <c r="D2167" s="51"/>
    </row>
    <row r="2168" spans="3:4" x14ac:dyDescent="0.35">
      <c r="C2168" s="51"/>
      <c r="D2168" s="51"/>
    </row>
    <row r="2169" spans="3:4" x14ac:dyDescent="0.35">
      <c r="C2169" s="51"/>
      <c r="D2169" s="51"/>
    </row>
    <row r="2170" spans="3:4" x14ac:dyDescent="0.35">
      <c r="C2170" s="51"/>
      <c r="D2170" s="51"/>
    </row>
    <row r="2171" spans="3:4" x14ac:dyDescent="0.35">
      <c r="C2171" s="51"/>
      <c r="D2171" s="51"/>
    </row>
    <row r="2172" spans="3:4" x14ac:dyDescent="0.35">
      <c r="C2172" s="51"/>
      <c r="D2172" s="51"/>
    </row>
    <row r="2173" spans="3:4" x14ac:dyDescent="0.35">
      <c r="C2173" s="51"/>
      <c r="D2173" s="51"/>
    </row>
    <row r="2174" spans="3:4" x14ac:dyDescent="0.35">
      <c r="C2174" s="51"/>
      <c r="D2174" s="51"/>
    </row>
    <row r="2175" spans="3:4" x14ac:dyDescent="0.35">
      <c r="C2175" s="51"/>
      <c r="D2175" s="51"/>
    </row>
    <row r="2176" spans="3:4" x14ac:dyDescent="0.35">
      <c r="C2176" s="51"/>
      <c r="D2176" s="51"/>
    </row>
    <row r="2177" spans="3:4" x14ac:dyDescent="0.35">
      <c r="C2177" s="51"/>
      <c r="D2177" s="51"/>
    </row>
    <row r="2178" spans="3:4" x14ac:dyDescent="0.35">
      <c r="C2178" s="51"/>
      <c r="D2178" s="51"/>
    </row>
    <row r="2179" spans="3:4" x14ac:dyDescent="0.35">
      <c r="C2179" s="51"/>
      <c r="D2179" s="51"/>
    </row>
    <row r="2180" spans="3:4" x14ac:dyDescent="0.35">
      <c r="C2180" s="51"/>
      <c r="D2180" s="51"/>
    </row>
    <row r="2181" spans="3:4" x14ac:dyDescent="0.35">
      <c r="C2181" s="51"/>
      <c r="D2181" s="51"/>
    </row>
    <row r="2182" spans="3:4" x14ac:dyDescent="0.35">
      <c r="C2182" s="51"/>
      <c r="D2182" s="51"/>
    </row>
    <row r="2183" spans="3:4" x14ac:dyDescent="0.35">
      <c r="C2183" s="51"/>
      <c r="D2183" s="51"/>
    </row>
    <row r="2184" spans="3:4" x14ac:dyDescent="0.35">
      <c r="C2184" s="51"/>
      <c r="D2184" s="51"/>
    </row>
    <row r="2185" spans="3:4" x14ac:dyDescent="0.35">
      <c r="C2185" s="51"/>
      <c r="D2185" s="51"/>
    </row>
    <row r="2186" spans="3:4" x14ac:dyDescent="0.35">
      <c r="C2186" s="51"/>
      <c r="D2186" s="51"/>
    </row>
    <row r="2187" spans="3:4" x14ac:dyDescent="0.35">
      <c r="C2187" s="51"/>
      <c r="D2187" s="51"/>
    </row>
    <row r="2188" spans="3:4" x14ac:dyDescent="0.35">
      <c r="C2188" s="51"/>
      <c r="D2188" s="51"/>
    </row>
    <row r="2189" spans="3:4" x14ac:dyDescent="0.35">
      <c r="C2189" s="51"/>
      <c r="D2189" s="51"/>
    </row>
    <row r="2190" spans="3:4" x14ac:dyDescent="0.35">
      <c r="C2190" s="51"/>
      <c r="D2190" s="51"/>
    </row>
    <row r="2191" spans="3:4" x14ac:dyDescent="0.35">
      <c r="C2191" s="51"/>
      <c r="D2191" s="51"/>
    </row>
    <row r="2192" spans="3:4" x14ac:dyDescent="0.35">
      <c r="C2192" s="51"/>
      <c r="D2192" s="51"/>
    </row>
    <row r="2193" spans="3:4" x14ac:dyDescent="0.35">
      <c r="C2193" s="51"/>
      <c r="D2193" s="51"/>
    </row>
    <row r="2194" spans="3:4" x14ac:dyDescent="0.35">
      <c r="C2194" s="51"/>
      <c r="D2194" s="51"/>
    </row>
    <row r="2195" spans="3:4" x14ac:dyDescent="0.35">
      <c r="C2195" s="51"/>
      <c r="D2195" s="51"/>
    </row>
    <row r="2196" spans="3:4" x14ac:dyDescent="0.35">
      <c r="C2196" s="51"/>
      <c r="D2196" s="51"/>
    </row>
    <row r="2197" spans="3:4" x14ac:dyDescent="0.35">
      <c r="C2197" s="51"/>
      <c r="D2197" s="51"/>
    </row>
    <row r="2198" spans="3:4" x14ac:dyDescent="0.35">
      <c r="C2198" s="51"/>
      <c r="D2198" s="51"/>
    </row>
    <row r="2199" spans="3:4" x14ac:dyDescent="0.35">
      <c r="C2199" s="51"/>
      <c r="D2199" s="51"/>
    </row>
    <row r="2200" spans="3:4" x14ac:dyDescent="0.35">
      <c r="C2200" s="51"/>
      <c r="D2200" s="51"/>
    </row>
    <row r="2201" spans="3:4" x14ac:dyDescent="0.35">
      <c r="C2201" s="51"/>
      <c r="D2201" s="51"/>
    </row>
    <row r="2202" spans="3:4" x14ac:dyDescent="0.35">
      <c r="C2202" s="51"/>
      <c r="D2202" s="51"/>
    </row>
    <row r="2203" spans="3:4" x14ac:dyDescent="0.35">
      <c r="C2203" s="51"/>
      <c r="D2203" s="51"/>
    </row>
    <row r="2204" spans="3:4" x14ac:dyDescent="0.35">
      <c r="C2204" s="51"/>
      <c r="D2204" s="51"/>
    </row>
    <row r="2205" spans="3:4" x14ac:dyDescent="0.35">
      <c r="C2205" s="51"/>
      <c r="D2205" s="51"/>
    </row>
    <row r="2206" spans="3:4" x14ac:dyDescent="0.35">
      <c r="C2206" s="51"/>
      <c r="D2206" s="51"/>
    </row>
    <row r="2207" spans="3:4" x14ac:dyDescent="0.35">
      <c r="C2207" s="51"/>
      <c r="D2207" s="51"/>
    </row>
    <row r="2208" spans="3:4" x14ac:dyDescent="0.35">
      <c r="C2208" s="51"/>
      <c r="D2208" s="51"/>
    </row>
    <row r="2209" spans="3:4" x14ac:dyDescent="0.35">
      <c r="C2209" s="51"/>
      <c r="D2209" s="51"/>
    </row>
    <row r="2210" spans="3:4" x14ac:dyDescent="0.35">
      <c r="C2210" s="51"/>
      <c r="D2210" s="51"/>
    </row>
    <row r="2211" spans="3:4" x14ac:dyDescent="0.35">
      <c r="C2211" s="51"/>
      <c r="D2211" s="51"/>
    </row>
    <row r="2212" spans="3:4" x14ac:dyDescent="0.35">
      <c r="C2212" s="51"/>
      <c r="D2212" s="51"/>
    </row>
    <row r="2213" spans="3:4" x14ac:dyDescent="0.35">
      <c r="C2213" s="51"/>
      <c r="D2213" s="51"/>
    </row>
    <row r="2214" spans="3:4" x14ac:dyDescent="0.35">
      <c r="C2214" s="51"/>
      <c r="D2214" s="51"/>
    </row>
    <row r="2215" spans="3:4" x14ac:dyDescent="0.35">
      <c r="C2215" s="51"/>
      <c r="D2215" s="51"/>
    </row>
    <row r="2216" spans="3:4" x14ac:dyDescent="0.35">
      <c r="C2216" s="51"/>
      <c r="D2216" s="51"/>
    </row>
    <row r="2217" spans="3:4" x14ac:dyDescent="0.35">
      <c r="C2217" s="51"/>
      <c r="D2217" s="51"/>
    </row>
    <row r="2218" spans="3:4" x14ac:dyDescent="0.35">
      <c r="C2218" s="51"/>
      <c r="D2218" s="51"/>
    </row>
    <row r="2219" spans="3:4" x14ac:dyDescent="0.35">
      <c r="C2219" s="51"/>
      <c r="D2219" s="51"/>
    </row>
    <row r="2220" spans="3:4" x14ac:dyDescent="0.35">
      <c r="C2220" s="51"/>
      <c r="D2220" s="51"/>
    </row>
    <row r="2221" spans="3:4" x14ac:dyDescent="0.35">
      <c r="C2221" s="51"/>
      <c r="D2221" s="51"/>
    </row>
    <row r="2222" spans="3:4" x14ac:dyDescent="0.35">
      <c r="C2222" s="51"/>
      <c r="D2222" s="51"/>
    </row>
    <row r="2223" spans="3:4" x14ac:dyDescent="0.35">
      <c r="C2223" s="51"/>
      <c r="D2223" s="51"/>
    </row>
    <row r="2224" spans="3:4" x14ac:dyDescent="0.35">
      <c r="C2224" s="51"/>
      <c r="D2224" s="51"/>
    </row>
    <row r="2225" spans="3:4" x14ac:dyDescent="0.35">
      <c r="C2225" s="51"/>
      <c r="D2225" s="51"/>
    </row>
    <row r="2226" spans="3:4" x14ac:dyDescent="0.35">
      <c r="C2226" s="51"/>
      <c r="D2226" s="51"/>
    </row>
    <row r="2227" spans="3:4" x14ac:dyDescent="0.35">
      <c r="C2227" s="51"/>
      <c r="D2227" s="51"/>
    </row>
    <row r="2228" spans="3:4" x14ac:dyDescent="0.35">
      <c r="C2228" s="51"/>
      <c r="D2228" s="51"/>
    </row>
    <row r="2229" spans="3:4" x14ac:dyDescent="0.35">
      <c r="C2229" s="51"/>
      <c r="D2229" s="51"/>
    </row>
    <row r="2230" spans="3:4" x14ac:dyDescent="0.35">
      <c r="C2230" s="51"/>
      <c r="D2230" s="51"/>
    </row>
    <row r="2231" spans="3:4" x14ac:dyDescent="0.35">
      <c r="C2231" s="51"/>
      <c r="D2231" s="51"/>
    </row>
    <row r="2232" spans="3:4" x14ac:dyDescent="0.35">
      <c r="C2232" s="51"/>
      <c r="D2232" s="51"/>
    </row>
    <row r="2233" spans="3:4" x14ac:dyDescent="0.35">
      <c r="C2233" s="51"/>
      <c r="D2233" s="51"/>
    </row>
    <row r="2234" spans="3:4" x14ac:dyDescent="0.35">
      <c r="C2234" s="51"/>
      <c r="D2234" s="51"/>
    </row>
    <row r="2235" spans="3:4" x14ac:dyDescent="0.35">
      <c r="C2235" s="51"/>
      <c r="D2235" s="51"/>
    </row>
    <row r="2236" spans="3:4" x14ac:dyDescent="0.35">
      <c r="C2236" s="51"/>
      <c r="D2236" s="51"/>
    </row>
    <row r="2237" spans="3:4" x14ac:dyDescent="0.35">
      <c r="C2237" s="51"/>
      <c r="D2237" s="51"/>
    </row>
    <row r="2238" spans="3:4" x14ac:dyDescent="0.35">
      <c r="C2238" s="51"/>
      <c r="D2238" s="51"/>
    </row>
    <row r="2239" spans="3:4" x14ac:dyDescent="0.35">
      <c r="C2239" s="51"/>
      <c r="D2239" s="51"/>
    </row>
    <row r="2240" spans="3:4" x14ac:dyDescent="0.35">
      <c r="C2240" s="51"/>
      <c r="D2240" s="51"/>
    </row>
    <row r="2241" spans="3:4" x14ac:dyDescent="0.35">
      <c r="C2241" s="51"/>
      <c r="D2241" s="51"/>
    </row>
    <row r="2242" spans="3:4" x14ac:dyDescent="0.35">
      <c r="C2242" s="51"/>
      <c r="D2242" s="51"/>
    </row>
    <row r="2243" spans="3:4" x14ac:dyDescent="0.35">
      <c r="C2243" s="51"/>
      <c r="D2243" s="51"/>
    </row>
    <row r="2244" spans="3:4" x14ac:dyDescent="0.35">
      <c r="C2244" s="51"/>
      <c r="D2244" s="51"/>
    </row>
    <row r="2245" spans="3:4" x14ac:dyDescent="0.35">
      <c r="C2245" s="51"/>
      <c r="D2245" s="51"/>
    </row>
    <row r="2246" spans="3:4" x14ac:dyDescent="0.35">
      <c r="C2246" s="51"/>
      <c r="D2246" s="51"/>
    </row>
    <row r="2247" spans="3:4" x14ac:dyDescent="0.35">
      <c r="C2247" s="51"/>
      <c r="D2247" s="51"/>
    </row>
    <row r="2248" spans="3:4" x14ac:dyDescent="0.35">
      <c r="C2248" s="51"/>
      <c r="D2248" s="51"/>
    </row>
    <row r="2249" spans="3:4" x14ac:dyDescent="0.35">
      <c r="C2249" s="51"/>
      <c r="D2249" s="51"/>
    </row>
    <row r="2250" spans="3:4" x14ac:dyDescent="0.35">
      <c r="C2250" s="51"/>
      <c r="D2250" s="51"/>
    </row>
    <row r="2251" spans="3:4" x14ac:dyDescent="0.35">
      <c r="C2251" s="51"/>
      <c r="D2251" s="51"/>
    </row>
    <row r="2252" spans="3:4" x14ac:dyDescent="0.35">
      <c r="C2252" s="51"/>
      <c r="D2252" s="51"/>
    </row>
    <row r="2253" spans="3:4" x14ac:dyDescent="0.35">
      <c r="C2253" s="51"/>
      <c r="D2253" s="51"/>
    </row>
    <row r="2254" spans="3:4" x14ac:dyDescent="0.35">
      <c r="C2254" s="51"/>
      <c r="D2254" s="51"/>
    </row>
    <row r="2255" spans="3:4" x14ac:dyDescent="0.35">
      <c r="C2255" s="51"/>
      <c r="D2255" s="51"/>
    </row>
    <row r="2256" spans="3:4" x14ac:dyDescent="0.35">
      <c r="C2256" s="51"/>
      <c r="D2256" s="51"/>
    </row>
    <row r="2257" spans="3:4" x14ac:dyDescent="0.35">
      <c r="C2257" s="51"/>
      <c r="D2257" s="51"/>
    </row>
    <row r="2258" spans="3:4" x14ac:dyDescent="0.35">
      <c r="C2258" s="51"/>
      <c r="D2258" s="51"/>
    </row>
    <row r="2259" spans="3:4" x14ac:dyDescent="0.35">
      <c r="C2259" s="51"/>
      <c r="D2259" s="51"/>
    </row>
    <row r="2260" spans="3:4" x14ac:dyDescent="0.35">
      <c r="C2260" s="51"/>
      <c r="D2260" s="51"/>
    </row>
    <row r="2261" spans="3:4" x14ac:dyDescent="0.35">
      <c r="C2261" s="51"/>
      <c r="D2261" s="51"/>
    </row>
    <row r="2262" spans="3:4" x14ac:dyDescent="0.35">
      <c r="C2262" s="51"/>
      <c r="D2262" s="51"/>
    </row>
    <row r="2263" spans="3:4" x14ac:dyDescent="0.35">
      <c r="C2263" s="51"/>
      <c r="D2263" s="51"/>
    </row>
    <row r="2264" spans="3:4" x14ac:dyDescent="0.35">
      <c r="C2264" s="51"/>
      <c r="D2264" s="51"/>
    </row>
    <row r="2265" spans="3:4" x14ac:dyDescent="0.35">
      <c r="C2265" s="51"/>
      <c r="D2265" s="51"/>
    </row>
    <row r="2266" spans="3:4" x14ac:dyDescent="0.35">
      <c r="C2266" s="51"/>
      <c r="D2266" s="51"/>
    </row>
    <row r="2267" spans="3:4" x14ac:dyDescent="0.35">
      <c r="C2267" s="51"/>
      <c r="D2267" s="51"/>
    </row>
    <row r="2268" spans="3:4" x14ac:dyDescent="0.35">
      <c r="C2268" s="51"/>
      <c r="D2268" s="51"/>
    </row>
    <row r="2269" spans="3:4" x14ac:dyDescent="0.35">
      <c r="C2269" s="51"/>
      <c r="D2269" s="51"/>
    </row>
    <row r="2270" spans="3:4" x14ac:dyDescent="0.35">
      <c r="C2270" s="51"/>
      <c r="D2270" s="51"/>
    </row>
    <row r="2271" spans="3:4" x14ac:dyDescent="0.35">
      <c r="C2271" s="51"/>
      <c r="D2271" s="51"/>
    </row>
    <row r="2272" spans="3:4" x14ac:dyDescent="0.35">
      <c r="C2272" s="51"/>
      <c r="D2272" s="51"/>
    </row>
    <row r="2273" spans="3:4" x14ac:dyDescent="0.35">
      <c r="C2273" s="51"/>
      <c r="D2273" s="51"/>
    </row>
    <row r="2274" spans="3:4" x14ac:dyDescent="0.35">
      <c r="C2274" s="51"/>
      <c r="D2274" s="51"/>
    </row>
    <row r="2275" spans="3:4" x14ac:dyDescent="0.35">
      <c r="C2275" s="51"/>
      <c r="D2275" s="51"/>
    </row>
    <row r="2276" spans="3:4" x14ac:dyDescent="0.35">
      <c r="C2276" s="51"/>
      <c r="D2276" s="51"/>
    </row>
    <row r="2277" spans="3:4" x14ac:dyDescent="0.35">
      <c r="C2277" s="51"/>
      <c r="D2277" s="51"/>
    </row>
    <row r="2278" spans="3:4" x14ac:dyDescent="0.35">
      <c r="C2278" s="51"/>
      <c r="D2278" s="51"/>
    </row>
    <row r="2279" spans="3:4" x14ac:dyDescent="0.35">
      <c r="C2279" s="51"/>
      <c r="D2279" s="51"/>
    </row>
    <row r="2280" spans="3:4" x14ac:dyDescent="0.35">
      <c r="C2280" s="51"/>
      <c r="D2280" s="51"/>
    </row>
    <row r="2281" spans="3:4" x14ac:dyDescent="0.35">
      <c r="C2281" s="51"/>
      <c r="D2281" s="51"/>
    </row>
    <row r="2282" spans="3:4" x14ac:dyDescent="0.35">
      <c r="C2282" s="51"/>
      <c r="D2282" s="51"/>
    </row>
    <row r="2283" spans="3:4" x14ac:dyDescent="0.35">
      <c r="C2283" s="51"/>
      <c r="D2283" s="51"/>
    </row>
    <row r="2284" spans="3:4" x14ac:dyDescent="0.35">
      <c r="C2284" s="51"/>
      <c r="D2284" s="51"/>
    </row>
    <row r="2285" spans="3:4" x14ac:dyDescent="0.35">
      <c r="C2285" s="51"/>
      <c r="D2285" s="51"/>
    </row>
    <row r="2286" spans="3:4" x14ac:dyDescent="0.35">
      <c r="C2286" s="51"/>
      <c r="D2286" s="51"/>
    </row>
    <row r="2287" spans="3:4" x14ac:dyDescent="0.35">
      <c r="C2287" s="51"/>
      <c r="D2287" s="51"/>
    </row>
    <row r="2288" spans="3:4" x14ac:dyDescent="0.35">
      <c r="C2288" s="51"/>
      <c r="D2288" s="51"/>
    </row>
    <row r="2289" spans="3:4" x14ac:dyDescent="0.35">
      <c r="C2289" s="51"/>
      <c r="D2289" s="51"/>
    </row>
    <row r="2290" spans="3:4" x14ac:dyDescent="0.35">
      <c r="C2290" s="51"/>
      <c r="D2290" s="51"/>
    </row>
    <row r="2291" spans="3:4" x14ac:dyDescent="0.35">
      <c r="C2291" s="51"/>
      <c r="D2291" s="51"/>
    </row>
    <row r="2292" spans="3:4" x14ac:dyDescent="0.35">
      <c r="C2292" s="51"/>
      <c r="D2292" s="51"/>
    </row>
    <row r="2293" spans="3:4" x14ac:dyDescent="0.35">
      <c r="C2293" s="51"/>
      <c r="D2293" s="51"/>
    </row>
    <row r="2294" spans="3:4" x14ac:dyDescent="0.35">
      <c r="C2294" s="51"/>
      <c r="D2294" s="51"/>
    </row>
    <row r="2295" spans="3:4" x14ac:dyDescent="0.35">
      <c r="C2295" s="51"/>
      <c r="D2295" s="51"/>
    </row>
    <row r="2296" spans="3:4" x14ac:dyDescent="0.35">
      <c r="C2296" s="51"/>
      <c r="D2296" s="51"/>
    </row>
    <row r="2297" spans="3:4" x14ac:dyDescent="0.35">
      <c r="C2297" s="51"/>
      <c r="D2297" s="51"/>
    </row>
    <row r="2298" spans="3:4" x14ac:dyDescent="0.35">
      <c r="C2298" s="51"/>
      <c r="D2298" s="51"/>
    </row>
    <row r="2299" spans="3:4" x14ac:dyDescent="0.35">
      <c r="C2299" s="51"/>
      <c r="D2299" s="51"/>
    </row>
    <row r="2300" spans="3:4" x14ac:dyDescent="0.35">
      <c r="C2300" s="51"/>
      <c r="D2300" s="51"/>
    </row>
    <row r="2301" spans="3:4" x14ac:dyDescent="0.35">
      <c r="C2301" s="51"/>
      <c r="D2301" s="51"/>
    </row>
    <row r="2302" spans="3:4" x14ac:dyDescent="0.35">
      <c r="C2302" s="51"/>
      <c r="D2302" s="51"/>
    </row>
    <row r="2303" spans="3:4" x14ac:dyDescent="0.35">
      <c r="C2303" s="51"/>
      <c r="D2303" s="51"/>
    </row>
    <row r="2304" spans="3:4" x14ac:dyDescent="0.35">
      <c r="C2304" s="51"/>
      <c r="D2304" s="51"/>
    </row>
    <row r="2305" spans="3:4" x14ac:dyDescent="0.35">
      <c r="C2305" s="51"/>
      <c r="D2305" s="51"/>
    </row>
    <row r="2306" spans="3:4" x14ac:dyDescent="0.35">
      <c r="C2306" s="51"/>
      <c r="D2306" s="51"/>
    </row>
    <row r="2307" spans="3:4" x14ac:dyDescent="0.35">
      <c r="C2307" s="51"/>
      <c r="D2307" s="51"/>
    </row>
    <row r="2308" spans="3:4" x14ac:dyDescent="0.35">
      <c r="C2308" s="51"/>
      <c r="D2308" s="51"/>
    </row>
    <row r="2309" spans="3:4" x14ac:dyDescent="0.35">
      <c r="C2309" s="51"/>
      <c r="D2309" s="51"/>
    </row>
    <row r="2310" spans="3:4" x14ac:dyDescent="0.35">
      <c r="C2310" s="51"/>
      <c r="D2310" s="51"/>
    </row>
    <row r="2311" spans="3:4" x14ac:dyDescent="0.35">
      <c r="C2311" s="51"/>
      <c r="D2311" s="51"/>
    </row>
    <row r="2312" spans="3:4" x14ac:dyDescent="0.35">
      <c r="C2312" s="51"/>
      <c r="D2312" s="51"/>
    </row>
    <row r="2313" spans="3:4" x14ac:dyDescent="0.35">
      <c r="C2313" s="51"/>
      <c r="D2313" s="51"/>
    </row>
    <row r="2314" spans="3:4" x14ac:dyDescent="0.35">
      <c r="C2314" s="51"/>
      <c r="D2314" s="51"/>
    </row>
    <row r="2315" spans="3:4" x14ac:dyDescent="0.35">
      <c r="C2315" s="51"/>
      <c r="D2315" s="51"/>
    </row>
    <row r="2316" spans="3:4" x14ac:dyDescent="0.35">
      <c r="C2316" s="51"/>
      <c r="D2316" s="51"/>
    </row>
    <row r="2317" spans="3:4" x14ac:dyDescent="0.35">
      <c r="C2317" s="51"/>
      <c r="D2317" s="51"/>
    </row>
    <row r="2318" spans="3:4" x14ac:dyDescent="0.35">
      <c r="C2318" s="51"/>
      <c r="D2318" s="51"/>
    </row>
    <row r="2319" spans="3:4" x14ac:dyDescent="0.35">
      <c r="C2319" s="51"/>
      <c r="D2319" s="51"/>
    </row>
    <row r="2320" spans="3:4" x14ac:dyDescent="0.35">
      <c r="C2320" s="51"/>
      <c r="D2320" s="51"/>
    </row>
    <row r="2321" spans="3:4" x14ac:dyDescent="0.35">
      <c r="C2321" s="51"/>
      <c r="D2321" s="51"/>
    </row>
    <row r="2322" spans="3:4" x14ac:dyDescent="0.35">
      <c r="C2322" s="51"/>
      <c r="D2322" s="51"/>
    </row>
    <row r="2323" spans="3:4" x14ac:dyDescent="0.35">
      <c r="C2323" s="51"/>
      <c r="D2323" s="51"/>
    </row>
    <row r="2324" spans="3:4" x14ac:dyDescent="0.35">
      <c r="C2324" s="51"/>
      <c r="D2324" s="51"/>
    </row>
    <row r="2325" spans="3:4" x14ac:dyDescent="0.35">
      <c r="C2325" s="51"/>
      <c r="D2325" s="51"/>
    </row>
    <row r="2326" spans="3:4" x14ac:dyDescent="0.35">
      <c r="C2326" s="51"/>
      <c r="D2326" s="51"/>
    </row>
    <row r="2327" spans="3:4" x14ac:dyDescent="0.35">
      <c r="C2327" s="51"/>
      <c r="D2327" s="51"/>
    </row>
    <row r="2328" spans="3:4" x14ac:dyDescent="0.35">
      <c r="C2328" s="51"/>
      <c r="D2328" s="51"/>
    </row>
    <row r="2329" spans="3:4" x14ac:dyDescent="0.35">
      <c r="C2329" s="51"/>
      <c r="D2329" s="51"/>
    </row>
    <row r="2330" spans="3:4" x14ac:dyDescent="0.35">
      <c r="C2330" s="51"/>
      <c r="D2330" s="51"/>
    </row>
    <row r="2331" spans="3:4" x14ac:dyDescent="0.35">
      <c r="C2331" s="51"/>
      <c r="D2331" s="51"/>
    </row>
    <row r="2332" spans="3:4" x14ac:dyDescent="0.35">
      <c r="C2332" s="51"/>
      <c r="D2332" s="51"/>
    </row>
    <row r="2333" spans="3:4" x14ac:dyDescent="0.35">
      <c r="C2333" s="51"/>
      <c r="D2333" s="51"/>
    </row>
    <row r="2334" spans="3:4" x14ac:dyDescent="0.35">
      <c r="C2334" s="51"/>
      <c r="D2334" s="51"/>
    </row>
    <row r="2335" spans="3:4" x14ac:dyDescent="0.35">
      <c r="C2335" s="51"/>
      <c r="D2335" s="51"/>
    </row>
    <row r="2336" spans="3:4" x14ac:dyDescent="0.35">
      <c r="C2336" s="51"/>
      <c r="D2336" s="51"/>
    </row>
    <row r="2337" spans="3:4" x14ac:dyDescent="0.35">
      <c r="C2337" s="51"/>
      <c r="D2337" s="51"/>
    </row>
    <row r="2338" spans="3:4" x14ac:dyDescent="0.35">
      <c r="C2338" s="51"/>
      <c r="D2338" s="51"/>
    </row>
    <row r="2339" spans="3:4" x14ac:dyDescent="0.35">
      <c r="C2339" s="51"/>
      <c r="D2339" s="51"/>
    </row>
    <row r="2340" spans="3:4" x14ac:dyDescent="0.35">
      <c r="C2340" s="51"/>
      <c r="D2340" s="51"/>
    </row>
    <row r="2341" spans="3:4" x14ac:dyDescent="0.35">
      <c r="C2341" s="51"/>
      <c r="D2341" s="51"/>
    </row>
    <row r="2342" spans="3:4" x14ac:dyDescent="0.35">
      <c r="C2342" s="51"/>
      <c r="D2342" s="51"/>
    </row>
    <row r="2343" spans="3:4" x14ac:dyDescent="0.35">
      <c r="C2343" s="51"/>
      <c r="D2343" s="51"/>
    </row>
    <row r="2344" spans="3:4" x14ac:dyDescent="0.35">
      <c r="C2344" s="51"/>
      <c r="D2344" s="51"/>
    </row>
    <row r="2345" spans="3:4" x14ac:dyDescent="0.35">
      <c r="C2345" s="51"/>
      <c r="D2345" s="51"/>
    </row>
    <row r="2346" spans="3:4" x14ac:dyDescent="0.35">
      <c r="C2346" s="51"/>
      <c r="D2346" s="51"/>
    </row>
    <row r="2347" spans="3:4" x14ac:dyDescent="0.35">
      <c r="C2347" s="51"/>
      <c r="D2347" s="51"/>
    </row>
    <row r="2348" spans="3:4" x14ac:dyDescent="0.35">
      <c r="C2348" s="51"/>
      <c r="D2348" s="51"/>
    </row>
    <row r="2349" spans="3:4" x14ac:dyDescent="0.35">
      <c r="C2349" s="51"/>
      <c r="D2349" s="51"/>
    </row>
    <row r="2350" spans="3:4" x14ac:dyDescent="0.35">
      <c r="C2350" s="51"/>
      <c r="D2350" s="51"/>
    </row>
    <row r="2351" spans="3:4" x14ac:dyDescent="0.35">
      <c r="C2351" s="51"/>
      <c r="D2351" s="51"/>
    </row>
    <row r="2352" spans="3:4" x14ac:dyDescent="0.35">
      <c r="C2352" s="51"/>
      <c r="D2352" s="51"/>
    </row>
    <row r="2353" spans="3:4" x14ac:dyDescent="0.35">
      <c r="C2353" s="51"/>
      <c r="D2353" s="51"/>
    </row>
    <row r="2354" spans="3:4" x14ac:dyDescent="0.35">
      <c r="C2354" s="51"/>
      <c r="D2354" s="51"/>
    </row>
    <row r="2355" spans="3:4" x14ac:dyDescent="0.35">
      <c r="C2355" s="51"/>
      <c r="D2355" s="51"/>
    </row>
    <row r="2356" spans="3:4" x14ac:dyDescent="0.35">
      <c r="C2356" s="51"/>
      <c r="D2356" s="51"/>
    </row>
    <row r="2357" spans="3:4" x14ac:dyDescent="0.35">
      <c r="C2357" s="51"/>
      <c r="D2357" s="51"/>
    </row>
    <row r="2358" spans="3:4" x14ac:dyDescent="0.35">
      <c r="C2358" s="51"/>
      <c r="D2358" s="51"/>
    </row>
    <row r="2359" spans="3:4" x14ac:dyDescent="0.35">
      <c r="C2359" s="51"/>
      <c r="D2359" s="51"/>
    </row>
    <row r="2360" spans="3:4" x14ac:dyDescent="0.35">
      <c r="C2360" s="51"/>
      <c r="D2360" s="51"/>
    </row>
    <row r="2361" spans="3:4" x14ac:dyDescent="0.35">
      <c r="C2361" s="51"/>
      <c r="D2361" s="51"/>
    </row>
    <row r="2362" spans="3:4" x14ac:dyDescent="0.35">
      <c r="C2362" s="51"/>
      <c r="D2362" s="51"/>
    </row>
    <row r="2363" spans="3:4" x14ac:dyDescent="0.35">
      <c r="C2363" s="51"/>
      <c r="D2363" s="51"/>
    </row>
    <row r="2364" spans="3:4" x14ac:dyDescent="0.35">
      <c r="C2364" s="51"/>
      <c r="D2364" s="51"/>
    </row>
    <row r="2365" spans="3:4" x14ac:dyDescent="0.35">
      <c r="C2365" s="51"/>
      <c r="D2365" s="51"/>
    </row>
    <row r="2366" spans="3:4" x14ac:dyDescent="0.35">
      <c r="C2366" s="51"/>
      <c r="D2366" s="51"/>
    </row>
    <row r="2367" spans="3:4" x14ac:dyDescent="0.35">
      <c r="C2367" s="51"/>
      <c r="D2367" s="51"/>
    </row>
    <row r="2368" spans="3:4" x14ac:dyDescent="0.35">
      <c r="C2368" s="51"/>
      <c r="D2368" s="51"/>
    </row>
    <row r="2369" spans="3:4" x14ac:dyDescent="0.35">
      <c r="C2369" s="51"/>
      <c r="D2369" s="51"/>
    </row>
    <row r="2370" spans="3:4" x14ac:dyDescent="0.35">
      <c r="C2370" s="51"/>
      <c r="D2370" s="51"/>
    </row>
    <row r="2371" spans="3:4" x14ac:dyDescent="0.35">
      <c r="C2371" s="51"/>
      <c r="D2371" s="51"/>
    </row>
    <row r="2372" spans="3:4" x14ac:dyDescent="0.35">
      <c r="C2372" s="51"/>
      <c r="D2372" s="51"/>
    </row>
    <row r="2373" spans="3:4" x14ac:dyDescent="0.35">
      <c r="C2373" s="51"/>
      <c r="D2373" s="51"/>
    </row>
    <row r="2374" spans="3:4" x14ac:dyDescent="0.35">
      <c r="C2374" s="51"/>
      <c r="D2374" s="51"/>
    </row>
    <row r="2375" spans="3:4" x14ac:dyDescent="0.35">
      <c r="C2375" s="51"/>
      <c r="D2375" s="51"/>
    </row>
    <row r="2376" spans="3:4" x14ac:dyDescent="0.35">
      <c r="C2376" s="51"/>
      <c r="D2376" s="51"/>
    </row>
    <row r="2377" spans="3:4" x14ac:dyDescent="0.35">
      <c r="C2377" s="51"/>
      <c r="D2377" s="51"/>
    </row>
    <row r="2378" spans="3:4" x14ac:dyDescent="0.35">
      <c r="C2378" s="51"/>
      <c r="D2378" s="51"/>
    </row>
    <row r="2379" spans="3:4" x14ac:dyDescent="0.35">
      <c r="C2379" s="51"/>
      <c r="D2379" s="51"/>
    </row>
    <row r="2380" spans="3:4" x14ac:dyDescent="0.35">
      <c r="C2380" s="51"/>
      <c r="D2380" s="51"/>
    </row>
    <row r="2381" spans="3:4" x14ac:dyDescent="0.35">
      <c r="C2381" s="51"/>
      <c r="D2381" s="51"/>
    </row>
    <row r="2382" spans="3:4" x14ac:dyDescent="0.35">
      <c r="C2382" s="51"/>
      <c r="D2382" s="51"/>
    </row>
    <row r="2383" spans="3:4" x14ac:dyDescent="0.35">
      <c r="C2383" s="51"/>
      <c r="D2383" s="51"/>
    </row>
    <row r="2384" spans="3:4" x14ac:dyDescent="0.35">
      <c r="C2384" s="51"/>
      <c r="D2384" s="51"/>
    </row>
    <row r="2385" spans="3:4" x14ac:dyDescent="0.35">
      <c r="C2385" s="51"/>
      <c r="D2385" s="51"/>
    </row>
    <row r="2386" spans="3:4" x14ac:dyDescent="0.35">
      <c r="C2386" s="51"/>
      <c r="D2386" s="51"/>
    </row>
    <row r="2387" spans="3:4" x14ac:dyDescent="0.35">
      <c r="C2387" s="51"/>
      <c r="D2387" s="51"/>
    </row>
    <row r="2388" spans="3:4" x14ac:dyDescent="0.35">
      <c r="C2388" s="51"/>
      <c r="D2388" s="51"/>
    </row>
    <row r="2389" spans="3:4" x14ac:dyDescent="0.35">
      <c r="C2389" s="51"/>
      <c r="D2389" s="51"/>
    </row>
    <row r="2390" spans="3:4" x14ac:dyDescent="0.35">
      <c r="C2390" s="51"/>
      <c r="D2390" s="51"/>
    </row>
    <row r="2391" spans="3:4" x14ac:dyDescent="0.35">
      <c r="C2391" s="51"/>
      <c r="D2391" s="51"/>
    </row>
    <row r="2392" spans="3:4" x14ac:dyDescent="0.35">
      <c r="C2392" s="51"/>
      <c r="D2392" s="51"/>
    </row>
    <row r="2393" spans="3:4" x14ac:dyDescent="0.35">
      <c r="C2393" s="51"/>
      <c r="D2393" s="51"/>
    </row>
    <row r="2394" spans="3:4" x14ac:dyDescent="0.35">
      <c r="C2394" s="51"/>
      <c r="D2394" s="51"/>
    </row>
    <row r="2395" spans="3:4" x14ac:dyDescent="0.35">
      <c r="C2395" s="51"/>
      <c r="D2395" s="51"/>
    </row>
    <row r="2396" spans="3:4" x14ac:dyDescent="0.35">
      <c r="C2396" s="51"/>
      <c r="D2396" s="51"/>
    </row>
    <row r="2397" spans="3:4" x14ac:dyDescent="0.35">
      <c r="C2397" s="51"/>
      <c r="D2397" s="51"/>
    </row>
    <row r="2398" spans="3:4" x14ac:dyDescent="0.35">
      <c r="C2398" s="51"/>
      <c r="D2398" s="51"/>
    </row>
    <row r="2399" spans="3:4" x14ac:dyDescent="0.35">
      <c r="C2399" s="51"/>
      <c r="D2399" s="51"/>
    </row>
    <row r="2400" spans="3:4" x14ac:dyDescent="0.35">
      <c r="C2400" s="51"/>
      <c r="D2400" s="51"/>
    </row>
    <row r="2401" spans="3:4" x14ac:dyDescent="0.35">
      <c r="C2401" s="51"/>
      <c r="D2401" s="51"/>
    </row>
    <row r="2402" spans="3:4" x14ac:dyDescent="0.35">
      <c r="C2402" s="51"/>
      <c r="D2402" s="51"/>
    </row>
    <row r="2403" spans="3:4" x14ac:dyDescent="0.35">
      <c r="C2403" s="51"/>
      <c r="D2403" s="51"/>
    </row>
    <row r="2404" spans="3:4" x14ac:dyDescent="0.35">
      <c r="C2404" s="51"/>
      <c r="D2404" s="51"/>
    </row>
    <row r="2405" spans="3:4" x14ac:dyDescent="0.35">
      <c r="C2405" s="51"/>
      <c r="D2405" s="51"/>
    </row>
    <row r="2406" spans="3:4" x14ac:dyDescent="0.35">
      <c r="C2406" s="51"/>
      <c r="D2406" s="51"/>
    </row>
    <row r="2407" spans="3:4" x14ac:dyDescent="0.35">
      <c r="C2407" s="51"/>
      <c r="D2407" s="51"/>
    </row>
    <row r="2408" spans="3:4" x14ac:dyDescent="0.35">
      <c r="C2408" s="51"/>
      <c r="D2408" s="51"/>
    </row>
    <row r="2409" spans="3:4" x14ac:dyDescent="0.35">
      <c r="C2409" s="51"/>
      <c r="D2409" s="51"/>
    </row>
    <row r="2410" spans="3:4" x14ac:dyDescent="0.35">
      <c r="C2410" s="51"/>
      <c r="D2410" s="51"/>
    </row>
    <row r="2411" spans="3:4" x14ac:dyDescent="0.35">
      <c r="C2411" s="51"/>
      <c r="D2411" s="51"/>
    </row>
    <row r="2412" spans="3:4" x14ac:dyDescent="0.35">
      <c r="C2412" s="51"/>
      <c r="D2412" s="51"/>
    </row>
    <row r="2413" spans="3:4" x14ac:dyDescent="0.35">
      <c r="C2413" s="51"/>
      <c r="D2413" s="51"/>
    </row>
    <row r="2414" spans="3:4" x14ac:dyDescent="0.35">
      <c r="C2414" s="51"/>
      <c r="D2414" s="51"/>
    </row>
    <row r="2415" spans="3:4" x14ac:dyDescent="0.35">
      <c r="C2415" s="51"/>
      <c r="D2415" s="51"/>
    </row>
    <row r="2416" spans="3:4" x14ac:dyDescent="0.35">
      <c r="C2416" s="51"/>
      <c r="D2416" s="51"/>
    </row>
    <row r="2417" spans="3:4" x14ac:dyDescent="0.35">
      <c r="C2417" s="51"/>
      <c r="D2417" s="51"/>
    </row>
    <row r="2418" spans="3:4" x14ac:dyDescent="0.35">
      <c r="C2418" s="51"/>
      <c r="D2418" s="51"/>
    </row>
    <row r="2419" spans="3:4" x14ac:dyDescent="0.35">
      <c r="C2419" s="51"/>
      <c r="D2419" s="51"/>
    </row>
    <row r="2420" spans="3:4" x14ac:dyDescent="0.35">
      <c r="C2420" s="51"/>
      <c r="D2420" s="51"/>
    </row>
    <row r="2421" spans="3:4" x14ac:dyDescent="0.35">
      <c r="C2421" s="51"/>
      <c r="D2421" s="51"/>
    </row>
    <row r="2422" spans="3:4" x14ac:dyDescent="0.35">
      <c r="C2422" s="51"/>
      <c r="D2422" s="51"/>
    </row>
    <row r="2423" spans="3:4" x14ac:dyDescent="0.35">
      <c r="C2423" s="51"/>
      <c r="D2423" s="51"/>
    </row>
    <row r="2424" spans="3:4" x14ac:dyDescent="0.35">
      <c r="C2424" s="51"/>
      <c r="D2424" s="51"/>
    </row>
    <row r="2425" spans="3:4" x14ac:dyDescent="0.35">
      <c r="C2425" s="51"/>
      <c r="D2425" s="51"/>
    </row>
    <row r="2426" spans="3:4" x14ac:dyDescent="0.35">
      <c r="C2426" s="51"/>
      <c r="D2426" s="51"/>
    </row>
    <row r="2427" spans="3:4" x14ac:dyDescent="0.35">
      <c r="C2427" s="51"/>
      <c r="D2427" s="51"/>
    </row>
    <row r="2428" spans="3:4" x14ac:dyDescent="0.35">
      <c r="C2428" s="51"/>
      <c r="D2428" s="51"/>
    </row>
    <row r="2429" spans="3:4" x14ac:dyDescent="0.35">
      <c r="C2429" s="51"/>
      <c r="D2429" s="51"/>
    </row>
    <row r="2430" spans="3:4" x14ac:dyDescent="0.35">
      <c r="C2430" s="51"/>
      <c r="D2430" s="51"/>
    </row>
    <row r="2431" spans="3:4" x14ac:dyDescent="0.35">
      <c r="C2431" s="51"/>
      <c r="D2431" s="51"/>
    </row>
    <row r="2432" spans="3:4" x14ac:dyDescent="0.35">
      <c r="C2432" s="51"/>
      <c r="D2432" s="51"/>
    </row>
    <row r="2433" spans="3:4" x14ac:dyDescent="0.35">
      <c r="C2433" s="51"/>
      <c r="D2433" s="51"/>
    </row>
    <row r="2434" spans="3:4" x14ac:dyDescent="0.35">
      <c r="C2434" s="51"/>
      <c r="D2434" s="51"/>
    </row>
    <row r="2435" spans="3:4" x14ac:dyDescent="0.35">
      <c r="C2435" s="51"/>
      <c r="D2435" s="51"/>
    </row>
    <row r="2436" spans="3:4" x14ac:dyDescent="0.35">
      <c r="C2436" s="51"/>
      <c r="D2436" s="51"/>
    </row>
    <row r="2437" spans="3:4" x14ac:dyDescent="0.35">
      <c r="C2437" s="51"/>
      <c r="D2437" s="51"/>
    </row>
    <row r="2438" spans="3:4" x14ac:dyDescent="0.35">
      <c r="C2438" s="51"/>
      <c r="D2438" s="51"/>
    </row>
    <row r="2439" spans="3:4" x14ac:dyDescent="0.35">
      <c r="C2439" s="51"/>
      <c r="D2439" s="51"/>
    </row>
    <row r="2440" spans="3:4" x14ac:dyDescent="0.35">
      <c r="C2440" s="51"/>
      <c r="D2440" s="51"/>
    </row>
    <row r="2441" spans="3:4" x14ac:dyDescent="0.35">
      <c r="C2441" s="51"/>
      <c r="D2441" s="51"/>
    </row>
    <row r="2442" spans="3:4" x14ac:dyDescent="0.35">
      <c r="C2442" s="51"/>
      <c r="D2442" s="51"/>
    </row>
    <row r="2443" spans="3:4" x14ac:dyDescent="0.35">
      <c r="C2443" s="51"/>
      <c r="D2443" s="51"/>
    </row>
    <row r="2444" spans="3:4" x14ac:dyDescent="0.35">
      <c r="C2444" s="51"/>
      <c r="D2444" s="51"/>
    </row>
    <row r="2445" spans="3:4" x14ac:dyDescent="0.35">
      <c r="C2445" s="51"/>
      <c r="D2445" s="51"/>
    </row>
    <row r="2446" spans="3:4" x14ac:dyDescent="0.35">
      <c r="C2446" s="51"/>
      <c r="D2446" s="51"/>
    </row>
    <row r="2447" spans="3:4" x14ac:dyDescent="0.35">
      <c r="C2447" s="51"/>
      <c r="D2447" s="51"/>
    </row>
    <row r="2448" spans="3:4" x14ac:dyDescent="0.35">
      <c r="C2448" s="51"/>
      <c r="D2448" s="51"/>
    </row>
    <row r="2449" spans="3:4" x14ac:dyDescent="0.35">
      <c r="C2449" s="51"/>
      <c r="D2449" s="51"/>
    </row>
    <row r="2450" spans="3:4" x14ac:dyDescent="0.35">
      <c r="C2450" s="51"/>
      <c r="D2450" s="51"/>
    </row>
    <row r="2451" spans="3:4" x14ac:dyDescent="0.35">
      <c r="C2451" s="51"/>
      <c r="D2451" s="51"/>
    </row>
    <row r="2452" spans="3:4" x14ac:dyDescent="0.35">
      <c r="C2452" s="51"/>
      <c r="D2452" s="51"/>
    </row>
    <row r="2453" spans="3:4" x14ac:dyDescent="0.35">
      <c r="C2453" s="51"/>
      <c r="D2453" s="51"/>
    </row>
    <row r="2454" spans="3:4" x14ac:dyDescent="0.35">
      <c r="C2454" s="51"/>
      <c r="D2454" s="51"/>
    </row>
    <row r="2455" spans="3:4" x14ac:dyDescent="0.35">
      <c r="C2455" s="51"/>
      <c r="D2455" s="51"/>
    </row>
    <row r="2456" spans="3:4" x14ac:dyDescent="0.35">
      <c r="C2456" s="51"/>
      <c r="D2456" s="51"/>
    </row>
    <row r="2457" spans="3:4" x14ac:dyDescent="0.35">
      <c r="C2457" s="51"/>
      <c r="D2457" s="51"/>
    </row>
    <row r="2458" spans="3:4" x14ac:dyDescent="0.35">
      <c r="C2458" s="51"/>
      <c r="D2458" s="51"/>
    </row>
    <row r="2459" spans="3:4" x14ac:dyDescent="0.35">
      <c r="C2459" s="51"/>
      <c r="D2459" s="51"/>
    </row>
    <row r="2460" spans="3:4" x14ac:dyDescent="0.35">
      <c r="C2460" s="51"/>
      <c r="D2460" s="51"/>
    </row>
    <row r="2461" spans="3:4" x14ac:dyDescent="0.35">
      <c r="C2461" s="51"/>
      <c r="D2461" s="51"/>
    </row>
    <row r="2462" spans="3:4" x14ac:dyDescent="0.35">
      <c r="C2462" s="51"/>
      <c r="D2462" s="51"/>
    </row>
    <row r="2463" spans="3:4" x14ac:dyDescent="0.35">
      <c r="C2463" s="51"/>
      <c r="D2463" s="51"/>
    </row>
    <row r="2464" spans="3:4" x14ac:dyDescent="0.35">
      <c r="C2464" s="51"/>
      <c r="D2464" s="51"/>
    </row>
    <row r="2465" spans="3:4" x14ac:dyDescent="0.35">
      <c r="C2465" s="51"/>
      <c r="D2465" s="51"/>
    </row>
    <row r="2466" spans="3:4" x14ac:dyDescent="0.35">
      <c r="C2466" s="51"/>
      <c r="D2466" s="51"/>
    </row>
    <row r="2467" spans="3:4" x14ac:dyDescent="0.35">
      <c r="C2467" s="51"/>
      <c r="D2467" s="51"/>
    </row>
    <row r="2468" spans="3:4" x14ac:dyDescent="0.35">
      <c r="C2468" s="51"/>
      <c r="D2468" s="51"/>
    </row>
    <row r="2469" spans="3:4" x14ac:dyDescent="0.35">
      <c r="C2469" s="51"/>
      <c r="D2469" s="51"/>
    </row>
    <row r="2470" spans="3:4" x14ac:dyDescent="0.35">
      <c r="C2470" s="51"/>
      <c r="D2470" s="51"/>
    </row>
    <row r="2471" spans="3:4" x14ac:dyDescent="0.35">
      <c r="C2471" s="51"/>
      <c r="D2471" s="51"/>
    </row>
    <row r="2472" spans="3:4" x14ac:dyDescent="0.35">
      <c r="C2472" s="51"/>
      <c r="D2472" s="51"/>
    </row>
    <row r="2473" spans="3:4" x14ac:dyDescent="0.35">
      <c r="C2473" s="51"/>
      <c r="D2473" s="51"/>
    </row>
    <row r="2474" spans="3:4" x14ac:dyDescent="0.35">
      <c r="C2474" s="51"/>
      <c r="D2474" s="51"/>
    </row>
    <row r="2475" spans="3:4" x14ac:dyDescent="0.35">
      <c r="C2475" s="51"/>
      <c r="D2475" s="51"/>
    </row>
    <row r="2476" spans="3:4" x14ac:dyDescent="0.35">
      <c r="C2476" s="51"/>
      <c r="D2476" s="51"/>
    </row>
    <row r="2477" spans="3:4" x14ac:dyDescent="0.35">
      <c r="C2477" s="51"/>
      <c r="D2477" s="51"/>
    </row>
    <row r="2478" spans="3:4" x14ac:dyDescent="0.35">
      <c r="C2478" s="51"/>
      <c r="D2478" s="51"/>
    </row>
    <row r="2479" spans="3:4" x14ac:dyDescent="0.35">
      <c r="C2479" s="51"/>
      <c r="D2479" s="51"/>
    </row>
    <row r="2480" spans="3:4" x14ac:dyDescent="0.35">
      <c r="C2480" s="51"/>
      <c r="D2480" s="51"/>
    </row>
    <row r="2481" spans="3:4" x14ac:dyDescent="0.35">
      <c r="C2481" s="51"/>
      <c r="D2481" s="51"/>
    </row>
    <row r="2482" spans="3:4" x14ac:dyDescent="0.35">
      <c r="C2482" s="51"/>
      <c r="D2482" s="51"/>
    </row>
    <row r="2483" spans="3:4" x14ac:dyDescent="0.35">
      <c r="C2483" s="51"/>
      <c r="D2483" s="51"/>
    </row>
    <row r="2484" spans="3:4" x14ac:dyDescent="0.35">
      <c r="C2484" s="51"/>
      <c r="D2484" s="51"/>
    </row>
    <row r="2485" spans="3:4" x14ac:dyDescent="0.35">
      <c r="C2485" s="51"/>
      <c r="D2485" s="51"/>
    </row>
    <row r="2486" spans="3:4" x14ac:dyDescent="0.35">
      <c r="C2486" s="51"/>
      <c r="D2486" s="51"/>
    </row>
    <row r="2487" spans="3:4" x14ac:dyDescent="0.35">
      <c r="C2487" s="51"/>
      <c r="D2487" s="51"/>
    </row>
    <row r="2488" spans="3:4" x14ac:dyDescent="0.35">
      <c r="C2488" s="51"/>
      <c r="D2488" s="51"/>
    </row>
    <row r="2489" spans="3:4" x14ac:dyDescent="0.35">
      <c r="C2489" s="51"/>
      <c r="D2489" s="51"/>
    </row>
    <row r="2490" spans="3:4" x14ac:dyDescent="0.35">
      <c r="C2490" s="51"/>
      <c r="D2490" s="51"/>
    </row>
    <row r="2491" spans="3:4" x14ac:dyDescent="0.35">
      <c r="C2491" s="51"/>
      <c r="D2491" s="51"/>
    </row>
    <row r="2492" spans="3:4" x14ac:dyDescent="0.35">
      <c r="C2492" s="51"/>
      <c r="D2492" s="51"/>
    </row>
    <row r="2493" spans="3:4" x14ac:dyDescent="0.35">
      <c r="C2493" s="51"/>
      <c r="D2493" s="51"/>
    </row>
    <row r="2494" spans="3:4" x14ac:dyDescent="0.35">
      <c r="C2494" s="51"/>
      <c r="D2494" s="51"/>
    </row>
    <row r="2495" spans="3:4" x14ac:dyDescent="0.35">
      <c r="C2495" s="51"/>
      <c r="D2495" s="51"/>
    </row>
    <row r="2496" spans="3:4" x14ac:dyDescent="0.35">
      <c r="C2496" s="51"/>
      <c r="D2496" s="51"/>
    </row>
    <row r="2497" spans="3:4" x14ac:dyDescent="0.35">
      <c r="C2497" s="51"/>
      <c r="D2497" s="51"/>
    </row>
    <row r="2498" spans="3:4" x14ac:dyDescent="0.35">
      <c r="C2498" s="51"/>
      <c r="D2498" s="51"/>
    </row>
    <row r="2499" spans="3:4" x14ac:dyDescent="0.35">
      <c r="C2499" s="51"/>
      <c r="D2499" s="51"/>
    </row>
    <row r="2500" spans="3:4" x14ac:dyDescent="0.35">
      <c r="C2500" s="51"/>
      <c r="D2500" s="51"/>
    </row>
    <row r="2501" spans="3:4" x14ac:dyDescent="0.35">
      <c r="C2501" s="51"/>
      <c r="D2501" s="51"/>
    </row>
    <row r="2502" spans="3:4" x14ac:dyDescent="0.35">
      <c r="C2502" s="51"/>
      <c r="D2502" s="51"/>
    </row>
    <row r="2503" spans="3:4" x14ac:dyDescent="0.35">
      <c r="C2503" s="51"/>
      <c r="D2503" s="51"/>
    </row>
    <row r="2504" spans="3:4" x14ac:dyDescent="0.35">
      <c r="C2504" s="51"/>
      <c r="D2504" s="51"/>
    </row>
    <row r="2505" spans="3:4" x14ac:dyDescent="0.35">
      <c r="C2505" s="51"/>
      <c r="D2505" s="51"/>
    </row>
    <row r="2506" spans="3:4" x14ac:dyDescent="0.35">
      <c r="C2506" s="51"/>
      <c r="D2506" s="51"/>
    </row>
    <row r="2507" spans="3:4" x14ac:dyDescent="0.35">
      <c r="C2507" s="51"/>
      <c r="D2507" s="51"/>
    </row>
    <row r="2508" spans="3:4" x14ac:dyDescent="0.35">
      <c r="C2508" s="51"/>
      <c r="D2508" s="51"/>
    </row>
    <row r="2509" spans="3:4" x14ac:dyDescent="0.35">
      <c r="C2509" s="51"/>
      <c r="D2509" s="51"/>
    </row>
    <row r="2510" spans="3:4" x14ac:dyDescent="0.35">
      <c r="C2510" s="51"/>
      <c r="D2510" s="51"/>
    </row>
    <row r="2511" spans="3:4" x14ac:dyDescent="0.35">
      <c r="C2511" s="51"/>
      <c r="D2511" s="51"/>
    </row>
    <row r="2512" spans="3:4" x14ac:dyDescent="0.35">
      <c r="C2512" s="51"/>
      <c r="D2512" s="51"/>
    </row>
    <row r="2513" spans="3:4" x14ac:dyDescent="0.35">
      <c r="C2513" s="51"/>
      <c r="D2513" s="51"/>
    </row>
    <row r="2514" spans="3:4" x14ac:dyDescent="0.35">
      <c r="C2514" s="51"/>
      <c r="D2514" s="51"/>
    </row>
    <row r="2515" spans="3:4" x14ac:dyDescent="0.35">
      <c r="C2515" s="51"/>
      <c r="D2515" s="51"/>
    </row>
    <row r="2516" spans="3:4" x14ac:dyDescent="0.35">
      <c r="C2516" s="51"/>
      <c r="D2516" s="51"/>
    </row>
    <row r="2517" spans="3:4" x14ac:dyDescent="0.35">
      <c r="C2517" s="51"/>
      <c r="D2517" s="51"/>
    </row>
    <row r="2518" spans="3:4" x14ac:dyDescent="0.35">
      <c r="C2518" s="51"/>
      <c r="D2518" s="51"/>
    </row>
    <row r="2519" spans="3:4" x14ac:dyDescent="0.35">
      <c r="C2519" s="51"/>
      <c r="D2519" s="51"/>
    </row>
    <row r="2520" spans="3:4" x14ac:dyDescent="0.35">
      <c r="C2520" s="51"/>
      <c r="D2520" s="51"/>
    </row>
    <row r="2521" spans="3:4" x14ac:dyDescent="0.35">
      <c r="C2521" s="51"/>
      <c r="D2521" s="51"/>
    </row>
    <row r="2522" spans="3:4" x14ac:dyDescent="0.35">
      <c r="C2522" s="51"/>
      <c r="D2522" s="51"/>
    </row>
    <row r="2523" spans="3:4" x14ac:dyDescent="0.35">
      <c r="C2523" s="51"/>
      <c r="D2523" s="51"/>
    </row>
    <row r="2524" spans="3:4" x14ac:dyDescent="0.35">
      <c r="C2524" s="51"/>
      <c r="D2524" s="51"/>
    </row>
    <row r="2525" spans="3:4" x14ac:dyDescent="0.35">
      <c r="C2525" s="51"/>
      <c r="D2525" s="51"/>
    </row>
    <row r="2526" spans="3:4" x14ac:dyDescent="0.35">
      <c r="C2526" s="51"/>
      <c r="D2526" s="51"/>
    </row>
    <row r="2527" spans="3:4" x14ac:dyDescent="0.35">
      <c r="C2527" s="51"/>
      <c r="D2527" s="51"/>
    </row>
    <row r="2528" spans="3:4" x14ac:dyDescent="0.35">
      <c r="C2528" s="51"/>
      <c r="D2528" s="51"/>
    </row>
    <row r="2529" spans="3:4" x14ac:dyDescent="0.35">
      <c r="C2529" s="51"/>
      <c r="D2529" s="51"/>
    </row>
    <row r="2530" spans="3:4" x14ac:dyDescent="0.35">
      <c r="C2530" s="51"/>
      <c r="D2530" s="51"/>
    </row>
    <row r="2531" spans="3:4" x14ac:dyDescent="0.35">
      <c r="C2531" s="51"/>
      <c r="D2531" s="51"/>
    </row>
    <row r="2532" spans="3:4" x14ac:dyDescent="0.35">
      <c r="C2532" s="51"/>
      <c r="D2532" s="51"/>
    </row>
    <row r="2533" spans="3:4" x14ac:dyDescent="0.35">
      <c r="C2533" s="51"/>
      <c r="D2533" s="51"/>
    </row>
    <row r="2534" spans="3:4" x14ac:dyDescent="0.35">
      <c r="C2534" s="51"/>
      <c r="D2534" s="51"/>
    </row>
    <row r="2535" spans="3:4" x14ac:dyDescent="0.35">
      <c r="C2535" s="51"/>
      <c r="D2535" s="51"/>
    </row>
    <row r="2536" spans="3:4" x14ac:dyDescent="0.35">
      <c r="C2536" s="51"/>
      <c r="D2536" s="51"/>
    </row>
    <row r="2537" spans="3:4" x14ac:dyDescent="0.35">
      <c r="C2537" s="51"/>
      <c r="D2537" s="51"/>
    </row>
    <row r="2538" spans="3:4" x14ac:dyDescent="0.35">
      <c r="C2538" s="51"/>
      <c r="D2538" s="51"/>
    </row>
    <row r="2539" spans="3:4" x14ac:dyDescent="0.35">
      <c r="C2539" s="51"/>
      <c r="D2539" s="51"/>
    </row>
    <row r="2540" spans="3:4" x14ac:dyDescent="0.35">
      <c r="C2540" s="51"/>
      <c r="D2540" s="51"/>
    </row>
    <row r="2541" spans="3:4" x14ac:dyDescent="0.35">
      <c r="C2541" s="51"/>
      <c r="D2541" s="51"/>
    </row>
    <row r="2542" spans="3:4" x14ac:dyDescent="0.35">
      <c r="C2542" s="51"/>
      <c r="D2542" s="51"/>
    </row>
    <row r="2543" spans="3:4" x14ac:dyDescent="0.35">
      <c r="C2543" s="51"/>
      <c r="D2543" s="51"/>
    </row>
    <row r="2544" spans="3:4" x14ac:dyDescent="0.35">
      <c r="C2544" s="51"/>
      <c r="D2544" s="51"/>
    </row>
    <row r="2545" spans="3:4" x14ac:dyDescent="0.35">
      <c r="C2545" s="51"/>
      <c r="D2545" s="51"/>
    </row>
    <row r="2546" spans="3:4" x14ac:dyDescent="0.35">
      <c r="C2546" s="51"/>
      <c r="D2546" s="51"/>
    </row>
    <row r="2547" spans="3:4" x14ac:dyDescent="0.35">
      <c r="C2547" s="51"/>
      <c r="D2547" s="51"/>
    </row>
    <row r="2548" spans="3:4" x14ac:dyDescent="0.35">
      <c r="C2548" s="51"/>
      <c r="D2548" s="51"/>
    </row>
    <row r="2549" spans="3:4" x14ac:dyDescent="0.35">
      <c r="C2549" s="51"/>
      <c r="D2549" s="51"/>
    </row>
    <row r="2550" spans="3:4" x14ac:dyDescent="0.35">
      <c r="C2550" s="51"/>
      <c r="D2550" s="51"/>
    </row>
    <row r="2551" spans="3:4" x14ac:dyDescent="0.35">
      <c r="C2551" s="51"/>
      <c r="D2551" s="51"/>
    </row>
    <row r="2552" spans="3:4" x14ac:dyDescent="0.35">
      <c r="C2552" s="51"/>
      <c r="D2552" s="51"/>
    </row>
    <row r="2553" spans="3:4" x14ac:dyDescent="0.35">
      <c r="C2553" s="51"/>
      <c r="D2553" s="51"/>
    </row>
    <row r="2554" spans="3:4" x14ac:dyDescent="0.35">
      <c r="C2554" s="51"/>
      <c r="D2554" s="51"/>
    </row>
    <row r="2555" spans="3:4" x14ac:dyDescent="0.35">
      <c r="C2555" s="51"/>
      <c r="D2555" s="51"/>
    </row>
    <row r="2556" spans="3:4" x14ac:dyDescent="0.35">
      <c r="C2556" s="51"/>
      <c r="D2556" s="51"/>
    </row>
    <row r="2557" spans="3:4" x14ac:dyDescent="0.35">
      <c r="C2557" s="51"/>
      <c r="D2557" s="51"/>
    </row>
    <row r="2558" spans="3:4" x14ac:dyDescent="0.35">
      <c r="C2558" s="51"/>
      <c r="D2558" s="51"/>
    </row>
    <row r="2559" spans="3:4" x14ac:dyDescent="0.35">
      <c r="C2559" s="51"/>
      <c r="D2559" s="51"/>
    </row>
    <row r="2560" spans="3:4" x14ac:dyDescent="0.35">
      <c r="C2560" s="51"/>
      <c r="D2560" s="51"/>
    </row>
    <row r="2561" spans="3:4" x14ac:dyDescent="0.35">
      <c r="C2561" s="51"/>
      <c r="D2561" s="51"/>
    </row>
    <row r="2562" spans="3:4" x14ac:dyDescent="0.35">
      <c r="C2562" s="51"/>
      <c r="D2562" s="51"/>
    </row>
    <row r="2563" spans="3:4" x14ac:dyDescent="0.35">
      <c r="C2563" s="51"/>
      <c r="D2563" s="51"/>
    </row>
    <row r="2564" spans="3:4" x14ac:dyDescent="0.35">
      <c r="C2564" s="51"/>
      <c r="D2564" s="51"/>
    </row>
    <row r="2565" spans="3:4" x14ac:dyDescent="0.35">
      <c r="C2565" s="51"/>
      <c r="D2565" s="51"/>
    </row>
    <row r="2566" spans="3:4" x14ac:dyDescent="0.35">
      <c r="C2566" s="51"/>
      <c r="D2566" s="51"/>
    </row>
    <row r="2567" spans="3:4" x14ac:dyDescent="0.35">
      <c r="C2567" s="51"/>
      <c r="D2567" s="51"/>
    </row>
    <row r="2568" spans="3:4" x14ac:dyDescent="0.35">
      <c r="C2568" s="51"/>
      <c r="D2568" s="51"/>
    </row>
    <row r="2569" spans="3:4" x14ac:dyDescent="0.35">
      <c r="C2569" s="51"/>
      <c r="D2569" s="51"/>
    </row>
    <row r="2570" spans="3:4" x14ac:dyDescent="0.35">
      <c r="C2570" s="51"/>
      <c r="D2570" s="51"/>
    </row>
    <row r="2571" spans="3:4" x14ac:dyDescent="0.35">
      <c r="C2571" s="51"/>
      <c r="D2571" s="51"/>
    </row>
    <row r="2572" spans="3:4" x14ac:dyDescent="0.35">
      <c r="C2572" s="51"/>
      <c r="D2572" s="51"/>
    </row>
    <row r="2573" spans="3:4" x14ac:dyDescent="0.35">
      <c r="C2573" s="51"/>
      <c r="D2573" s="51"/>
    </row>
    <row r="2574" spans="3:4" x14ac:dyDescent="0.35">
      <c r="C2574" s="51"/>
      <c r="D2574" s="51"/>
    </row>
    <row r="2575" spans="3:4" x14ac:dyDescent="0.35">
      <c r="C2575" s="51"/>
      <c r="D2575" s="51"/>
    </row>
    <row r="2576" spans="3:4" x14ac:dyDescent="0.35">
      <c r="C2576" s="51"/>
      <c r="D2576" s="51"/>
    </row>
    <row r="2577" spans="3:4" x14ac:dyDescent="0.35">
      <c r="C2577" s="51"/>
      <c r="D2577" s="51"/>
    </row>
    <row r="2578" spans="3:4" x14ac:dyDescent="0.35">
      <c r="C2578" s="51"/>
      <c r="D2578" s="51"/>
    </row>
    <row r="2579" spans="3:4" x14ac:dyDescent="0.35">
      <c r="C2579" s="51"/>
      <c r="D2579" s="51"/>
    </row>
    <row r="2580" spans="3:4" x14ac:dyDescent="0.35">
      <c r="C2580" s="51"/>
      <c r="D2580" s="51"/>
    </row>
    <row r="2581" spans="3:4" x14ac:dyDescent="0.35">
      <c r="C2581" s="51"/>
      <c r="D2581" s="51"/>
    </row>
    <row r="2582" spans="3:4" x14ac:dyDescent="0.35">
      <c r="C2582" s="51"/>
      <c r="D2582" s="51"/>
    </row>
    <row r="2583" spans="3:4" x14ac:dyDescent="0.35">
      <c r="C2583" s="51"/>
      <c r="D2583" s="51"/>
    </row>
    <row r="2584" spans="3:4" x14ac:dyDescent="0.35">
      <c r="C2584" s="51"/>
      <c r="D2584" s="51"/>
    </row>
    <row r="2585" spans="3:4" x14ac:dyDescent="0.35">
      <c r="C2585" s="51"/>
      <c r="D2585" s="51"/>
    </row>
    <row r="2586" spans="3:4" x14ac:dyDescent="0.35">
      <c r="C2586" s="51"/>
      <c r="D2586" s="51"/>
    </row>
    <row r="2587" spans="3:4" x14ac:dyDescent="0.35">
      <c r="C2587" s="51"/>
      <c r="D2587" s="51"/>
    </row>
    <row r="2588" spans="3:4" x14ac:dyDescent="0.35">
      <c r="C2588" s="51"/>
      <c r="D2588" s="51"/>
    </row>
    <row r="2589" spans="3:4" x14ac:dyDescent="0.35">
      <c r="C2589" s="51"/>
      <c r="D2589" s="51"/>
    </row>
    <row r="2590" spans="3:4" x14ac:dyDescent="0.35">
      <c r="C2590" s="51"/>
      <c r="D2590" s="51"/>
    </row>
    <row r="2591" spans="3:4" x14ac:dyDescent="0.35">
      <c r="C2591" s="51"/>
      <c r="D2591" s="51"/>
    </row>
    <row r="2592" spans="3:4" x14ac:dyDescent="0.35">
      <c r="C2592" s="51"/>
      <c r="D2592" s="51"/>
    </row>
    <row r="2593" spans="3:4" x14ac:dyDescent="0.35">
      <c r="C2593" s="51"/>
      <c r="D2593" s="51"/>
    </row>
    <row r="2594" spans="3:4" x14ac:dyDescent="0.35">
      <c r="C2594" s="51"/>
      <c r="D2594" s="51"/>
    </row>
    <row r="2595" spans="3:4" x14ac:dyDescent="0.35">
      <c r="C2595" s="51"/>
      <c r="D2595" s="51"/>
    </row>
    <row r="2596" spans="3:4" x14ac:dyDescent="0.35">
      <c r="C2596" s="51"/>
      <c r="D2596" s="51"/>
    </row>
    <row r="2597" spans="3:4" x14ac:dyDescent="0.35">
      <c r="C2597" s="51"/>
      <c r="D2597" s="51"/>
    </row>
    <row r="2598" spans="3:4" x14ac:dyDescent="0.35">
      <c r="C2598" s="51"/>
      <c r="D2598" s="51"/>
    </row>
    <row r="2599" spans="3:4" x14ac:dyDescent="0.35">
      <c r="C2599" s="51"/>
      <c r="D2599" s="51"/>
    </row>
    <row r="2600" spans="3:4" x14ac:dyDescent="0.35">
      <c r="C2600" s="51"/>
      <c r="D2600" s="51"/>
    </row>
    <row r="2601" spans="3:4" x14ac:dyDescent="0.35">
      <c r="C2601" s="51"/>
      <c r="D2601" s="51"/>
    </row>
    <row r="2602" spans="3:4" x14ac:dyDescent="0.35">
      <c r="C2602" s="51"/>
      <c r="D2602" s="51"/>
    </row>
    <row r="2603" spans="3:4" x14ac:dyDescent="0.35">
      <c r="C2603" s="51"/>
      <c r="D2603" s="51"/>
    </row>
    <row r="2604" spans="3:4" x14ac:dyDescent="0.35">
      <c r="C2604" s="51"/>
      <c r="D2604" s="51"/>
    </row>
    <row r="2605" spans="3:4" x14ac:dyDescent="0.35">
      <c r="C2605" s="51"/>
      <c r="D2605" s="51"/>
    </row>
    <row r="2606" spans="3:4" x14ac:dyDescent="0.35">
      <c r="C2606" s="51"/>
      <c r="D2606" s="51"/>
    </row>
    <row r="2607" spans="3:4" x14ac:dyDescent="0.35">
      <c r="C2607" s="51"/>
      <c r="D2607" s="51"/>
    </row>
    <row r="2608" spans="3:4" x14ac:dyDescent="0.35">
      <c r="C2608" s="51"/>
      <c r="D2608" s="51"/>
    </row>
    <row r="2609" spans="3:4" x14ac:dyDescent="0.35">
      <c r="C2609" s="51"/>
      <c r="D2609" s="51"/>
    </row>
    <row r="2610" spans="3:4" x14ac:dyDescent="0.35">
      <c r="C2610" s="51"/>
      <c r="D2610" s="51"/>
    </row>
    <row r="2611" spans="3:4" x14ac:dyDescent="0.35">
      <c r="C2611" s="51"/>
      <c r="D2611" s="51"/>
    </row>
    <row r="2612" spans="3:4" x14ac:dyDescent="0.35">
      <c r="C2612" s="51"/>
      <c r="D2612" s="51"/>
    </row>
    <row r="2613" spans="3:4" x14ac:dyDescent="0.35">
      <c r="C2613" s="51"/>
      <c r="D2613" s="51"/>
    </row>
    <row r="2614" spans="3:4" x14ac:dyDescent="0.35">
      <c r="C2614" s="51"/>
      <c r="D2614" s="51"/>
    </row>
    <row r="2615" spans="3:4" x14ac:dyDescent="0.35">
      <c r="C2615" s="51"/>
      <c r="D2615" s="51"/>
    </row>
    <row r="2616" spans="3:4" x14ac:dyDescent="0.35">
      <c r="C2616" s="51"/>
      <c r="D2616" s="51"/>
    </row>
    <row r="2617" spans="3:4" x14ac:dyDescent="0.35">
      <c r="C2617" s="51"/>
      <c r="D2617" s="51"/>
    </row>
    <row r="2618" spans="3:4" x14ac:dyDescent="0.35">
      <c r="C2618" s="51"/>
      <c r="D2618" s="51"/>
    </row>
    <row r="2619" spans="3:4" x14ac:dyDescent="0.35">
      <c r="C2619" s="51"/>
      <c r="D2619" s="51"/>
    </row>
    <row r="2620" spans="3:4" x14ac:dyDescent="0.35">
      <c r="C2620" s="51"/>
      <c r="D2620" s="51"/>
    </row>
    <row r="2621" spans="3:4" x14ac:dyDescent="0.35">
      <c r="C2621" s="51"/>
      <c r="D2621" s="51"/>
    </row>
    <row r="2622" spans="3:4" x14ac:dyDescent="0.35">
      <c r="C2622" s="51"/>
      <c r="D2622" s="51"/>
    </row>
    <row r="2623" spans="3:4" x14ac:dyDescent="0.35">
      <c r="C2623" s="51"/>
      <c r="D2623" s="51"/>
    </row>
    <row r="2624" spans="3:4" x14ac:dyDescent="0.35">
      <c r="C2624" s="51"/>
      <c r="D2624" s="51"/>
    </row>
    <row r="2625" spans="3:4" x14ac:dyDescent="0.35">
      <c r="C2625" s="51"/>
      <c r="D2625" s="51"/>
    </row>
    <row r="2626" spans="3:4" x14ac:dyDescent="0.35">
      <c r="C2626" s="51"/>
      <c r="D2626" s="51"/>
    </row>
    <row r="2627" spans="3:4" x14ac:dyDescent="0.35">
      <c r="C2627" s="51"/>
      <c r="D2627" s="51"/>
    </row>
    <row r="2628" spans="3:4" x14ac:dyDescent="0.35">
      <c r="C2628" s="51"/>
      <c r="D2628" s="51"/>
    </row>
    <row r="2629" spans="3:4" x14ac:dyDescent="0.35">
      <c r="C2629" s="51"/>
      <c r="D2629" s="51"/>
    </row>
    <row r="2630" spans="3:4" x14ac:dyDescent="0.35">
      <c r="C2630" s="51"/>
      <c r="D2630" s="51"/>
    </row>
    <row r="2631" spans="3:4" x14ac:dyDescent="0.35">
      <c r="C2631" s="51"/>
      <c r="D2631" s="51"/>
    </row>
    <row r="2632" spans="3:4" x14ac:dyDescent="0.35">
      <c r="C2632" s="51"/>
      <c r="D2632" s="51"/>
    </row>
    <row r="2633" spans="3:4" x14ac:dyDescent="0.35">
      <c r="C2633" s="51"/>
      <c r="D2633" s="51"/>
    </row>
    <row r="2634" spans="3:4" x14ac:dyDescent="0.35">
      <c r="C2634" s="51"/>
      <c r="D2634" s="51"/>
    </row>
    <row r="2635" spans="3:4" x14ac:dyDescent="0.35">
      <c r="C2635" s="51"/>
      <c r="D2635" s="51"/>
    </row>
    <row r="2636" spans="3:4" x14ac:dyDescent="0.35">
      <c r="C2636" s="51"/>
      <c r="D2636" s="51"/>
    </row>
    <row r="2637" spans="3:4" x14ac:dyDescent="0.35">
      <c r="C2637" s="51"/>
      <c r="D2637" s="51"/>
    </row>
    <row r="2638" spans="3:4" x14ac:dyDescent="0.35">
      <c r="C2638" s="51"/>
      <c r="D2638" s="51"/>
    </row>
    <row r="2639" spans="3:4" x14ac:dyDescent="0.35">
      <c r="C2639" s="51"/>
      <c r="D2639" s="51"/>
    </row>
    <row r="2640" spans="3:4" x14ac:dyDescent="0.35">
      <c r="C2640" s="51"/>
      <c r="D2640" s="51"/>
    </row>
    <row r="2641" spans="3:4" x14ac:dyDescent="0.35">
      <c r="C2641" s="51"/>
      <c r="D2641" s="51"/>
    </row>
    <row r="2642" spans="3:4" x14ac:dyDescent="0.35">
      <c r="C2642" s="51"/>
      <c r="D2642" s="51"/>
    </row>
    <row r="2643" spans="3:4" x14ac:dyDescent="0.35">
      <c r="C2643" s="51"/>
      <c r="D2643" s="51"/>
    </row>
    <row r="2644" spans="3:4" x14ac:dyDescent="0.35">
      <c r="C2644" s="51"/>
      <c r="D2644" s="51"/>
    </row>
    <row r="2645" spans="3:4" x14ac:dyDescent="0.35">
      <c r="C2645" s="51"/>
      <c r="D2645" s="51"/>
    </row>
    <row r="2646" spans="3:4" x14ac:dyDescent="0.35">
      <c r="C2646" s="51"/>
      <c r="D2646" s="51"/>
    </row>
    <row r="2647" spans="3:4" x14ac:dyDescent="0.35">
      <c r="C2647" s="51"/>
      <c r="D2647" s="51"/>
    </row>
    <row r="2648" spans="3:4" x14ac:dyDescent="0.35">
      <c r="C2648" s="51"/>
      <c r="D2648" s="51"/>
    </row>
    <row r="2649" spans="3:4" x14ac:dyDescent="0.35">
      <c r="C2649" s="51"/>
      <c r="D2649" s="51"/>
    </row>
    <row r="2650" spans="3:4" x14ac:dyDescent="0.35">
      <c r="C2650" s="51"/>
      <c r="D2650" s="51"/>
    </row>
    <row r="2651" spans="3:4" x14ac:dyDescent="0.35">
      <c r="C2651" s="51"/>
      <c r="D2651" s="51"/>
    </row>
    <row r="2652" spans="3:4" x14ac:dyDescent="0.35">
      <c r="C2652" s="51"/>
      <c r="D2652" s="51"/>
    </row>
    <row r="2653" spans="3:4" x14ac:dyDescent="0.35">
      <c r="C2653" s="51"/>
      <c r="D2653" s="51"/>
    </row>
    <row r="2654" spans="3:4" x14ac:dyDescent="0.35">
      <c r="C2654" s="51"/>
      <c r="D2654" s="51"/>
    </row>
    <row r="2655" spans="3:4" x14ac:dyDescent="0.35">
      <c r="C2655" s="51"/>
      <c r="D2655" s="51"/>
    </row>
    <row r="2656" spans="3:4" x14ac:dyDescent="0.35">
      <c r="C2656" s="51"/>
      <c r="D2656" s="51"/>
    </row>
    <row r="2657" spans="3:4" x14ac:dyDescent="0.35">
      <c r="C2657" s="51"/>
      <c r="D2657" s="51"/>
    </row>
    <row r="2658" spans="3:4" x14ac:dyDescent="0.35">
      <c r="C2658" s="51"/>
      <c r="D2658" s="51"/>
    </row>
    <row r="2659" spans="3:4" x14ac:dyDescent="0.35">
      <c r="C2659" s="51"/>
      <c r="D2659" s="51"/>
    </row>
    <row r="2660" spans="3:4" x14ac:dyDescent="0.35">
      <c r="C2660" s="51"/>
      <c r="D2660" s="51"/>
    </row>
    <row r="2661" spans="3:4" x14ac:dyDescent="0.35">
      <c r="C2661" s="51"/>
      <c r="D2661" s="51"/>
    </row>
    <row r="2662" spans="3:4" x14ac:dyDescent="0.35">
      <c r="C2662" s="51"/>
      <c r="D2662" s="51"/>
    </row>
    <row r="2663" spans="3:4" x14ac:dyDescent="0.35">
      <c r="C2663" s="51"/>
      <c r="D2663" s="51"/>
    </row>
    <row r="2664" spans="3:4" x14ac:dyDescent="0.35">
      <c r="C2664" s="51"/>
      <c r="D2664" s="51"/>
    </row>
    <row r="2665" spans="3:4" x14ac:dyDescent="0.35">
      <c r="C2665" s="51"/>
      <c r="D2665" s="51"/>
    </row>
    <row r="2666" spans="3:4" x14ac:dyDescent="0.35">
      <c r="C2666" s="51"/>
      <c r="D2666" s="51"/>
    </row>
    <row r="2667" spans="3:4" x14ac:dyDescent="0.35">
      <c r="C2667" s="51"/>
      <c r="D2667" s="51"/>
    </row>
    <row r="2668" spans="3:4" x14ac:dyDescent="0.35">
      <c r="C2668" s="51"/>
      <c r="D2668" s="51"/>
    </row>
    <row r="2669" spans="3:4" x14ac:dyDescent="0.35">
      <c r="C2669" s="51"/>
      <c r="D2669" s="51"/>
    </row>
    <row r="2670" spans="3:4" x14ac:dyDescent="0.35">
      <c r="C2670" s="51"/>
      <c r="D2670" s="51"/>
    </row>
    <row r="2671" spans="3:4" x14ac:dyDescent="0.35">
      <c r="C2671" s="51"/>
      <c r="D2671" s="51"/>
    </row>
    <row r="2672" spans="3:4" x14ac:dyDescent="0.35">
      <c r="C2672" s="51"/>
      <c r="D2672" s="51"/>
    </row>
    <row r="2673" spans="3:4" x14ac:dyDescent="0.35">
      <c r="C2673" s="51"/>
      <c r="D2673" s="51"/>
    </row>
    <row r="2674" spans="3:4" x14ac:dyDescent="0.35">
      <c r="C2674" s="51"/>
      <c r="D2674" s="51"/>
    </row>
    <row r="2675" spans="3:4" x14ac:dyDescent="0.35">
      <c r="C2675" s="51"/>
      <c r="D2675" s="51"/>
    </row>
    <row r="2676" spans="3:4" x14ac:dyDescent="0.35">
      <c r="C2676" s="51"/>
      <c r="D2676" s="51"/>
    </row>
    <row r="2677" spans="3:4" x14ac:dyDescent="0.35">
      <c r="C2677" s="51"/>
      <c r="D2677" s="51"/>
    </row>
    <row r="2678" spans="3:4" x14ac:dyDescent="0.35">
      <c r="C2678" s="51"/>
      <c r="D2678" s="51"/>
    </row>
    <row r="2679" spans="3:4" x14ac:dyDescent="0.35">
      <c r="C2679" s="51"/>
      <c r="D2679" s="51"/>
    </row>
    <row r="2680" spans="3:4" x14ac:dyDescent="0.35">
      <c r="C2680" s="51"/>
      <c r="D2680" s="51"/>
    </row>
    <row r="2681" spans="3:4" x14ac:dyDescent="0.35">
      <c r="C2681" s="51"/>
      <c r="D2681" s="51"/>
    </row>
    <row r="2682" spans="3:4" x14ac:dyDescent="0.35">
      <c r="C2682" s="51"/>
      <c r="D2682" s="51"/>
    </row>
    <row r="2683" spans="3:4" x14ac:dyDescent="0.35">
      <c r="C2683" s="51"/>
      <c r="D2683" s="51"/>
    </row>
    <row r="2684" spans="3:4" x14ac:dyDescent="0.35">
      <c r="C2684" s="51"/>
      <c r="D2684" s="51"/>
    </row>
    <row r="2685" spans="3:4" x14ac:dyDescent="0.35">
      <c r="C2685" s="51"/>
      <c r="D2685" s="51"/>
    </row>
    <row r="2686" spans="3:4" x14ac:dyDescent="0.35">
      <c r="C2686" s="51"/>
      <c r="D2686" s="51"/>
    </row>
    <row r="2687" spans="3:4" x14ac:dyDescent="0.35">
      <c r="C2687" s="51"/>
      <c r="D2687" s="51"/>
    </row>
    <row r="2688" spans="3:4" x14ac:dyDescent="0.35">
      <c r="C2688" s="51"/>
      <c r="D2688" s="51"/>
    </row>
    <row r="2689" spans="3:4" x14ac:dyDescent="0.35">
      <c r="C2689" s="51"/>
      <c r="D2689" s="51"/>
    </row>
    <row r="2690" spans="3:4" x14ac:dyDescent="0.35">
      <c r="C2690" s="51"/>
      <c r="D2690" s="51"/>
    </row>
    <row r="2691" spans="3:4" x14ac:dyDescent="0.35">
      <c r="C2691" s="51"/>
      <c r="D2691" s="51"/>
    </row>
    <row r="2692" spans="3:4" x14ac:dyDescent="0.35">
      <c r="C2692" s="51"/>
      <c r="D2692" s="51"/>
    </row>
    <row r="2693" spans="3:4" x14ac:dyDescent="0.35">
      <c r="C2693" s="51"/>
      <c r="D2693" s="51"/>
    </row>
    <row r="2694" spans="3:4" x14ac:dyDescent="0.35">
      <c r="C2694" s="51"/>
      <c r="D2694" s="51"/>
    </row>
    <row r="2695" spans="3:4" x14ac:dyDescent="0.35">
      <c r="C2695" s="51"/>
      <c r="D2695" s="51"/>
    </row>
    <row r="2696" spans="3:4" x14ac:dyDescent="0.35">
      <c r="C2696" s="51"/>
      <c r="D2696" s="51"/>
    </row>
    <row r="2697" spans="3:4" x14ac:dyDescent="0.35">
      <c r="C2697" s="51"/>
      <c r="D2697" s="51"/>
    </row>
    <row r="2698" spans="3:4" x14ac:dyDescent="0.35">
      <c r="C2698" s="51"/>
      <c r="D2698" s="51"/>
    </row>
    <row r="2699" spans="3:4" x14ac:dyDescent="0.35">
      <c r="C2699" s="51"/>
      <c r="D2699" s="51"/>
    </row>
    <row r="2700" spans="3:4" x14ac:dyDescent="0.35">
      <c r="C2700" s="51"/>
      <c r="D2700" s="51"/>
    </row>
    <row r="2701" spans="3:4" x14ac:dyDescent="0.35">
      <c r="C2701" s="51"/>
      <c r="D2701" s="51"/>
    </row>
    <row r="2702" spans="3:4" x14ac:dyDescent="0.35">
      <c r="C2702" s="51"/>
      <c r="D2702" s="51"/>
    </row>
    <row r="2703" spans="3:4" x14ac:dyDescent="0.35">
      <c r="C2703" s="51"/>
      <c r="D2703" s="51"/>
    </row>
    <row r="2704" spans="3:4" x14ac:dyDescent="0.35">
      <c r="C2704" s="51"/>
      <c r="D2704" s="51"/>
    </row>
    <row r="2705" spans="3:4" x14ac:dyDescent="0.35">
      <c r="C2705" s="51"/>
      <c r="D2705" s="51"/>
    </row>
    <row r="2706" spans="3:4" x14ac:dyDescent="0.35">
      <c r="C2706" s="51"/>
      <c r="D2706" s="51"/>
    </row>
    <row r="2707" spans="3:4" x14ac:dyDescent="0.35">
      <c r="C2707" s="51"/>
      <c r="D2707" s="51"/>
    </row>
    <row r="2708" spans="3:4" x14ac:dyDescent="0.35">
      <c r="C2708" s="51"/>
      <c r="D2708" s="51"/>
    </row>
    <row r="2709" spans="3:4" x14ac:dyDescent="0.35">
      <c r="C2709" s="51"/>
      <c r="D2709" s="51"/>
    </row>
    <row r="2710" spans="3:4" x14ac:dyDescent="0.35">
      <c r="C2710" s="51"/>
      <c r="D2710" s="51"/>
    </row>
    <row r="2711" spans="3:4" x14ac:dyDescent="0.35">
      <c r="C2711" s="51"/>
      <c r="D2711" s="51"/>
    </row>
    <row r="2712" spans="3:4" x14ac:dyDescent="0.35">
      <c r="C2712" s="51"/>
      <c r="D2712" s="51"/>
    </row>
    <row r="2713" spans="3:4" x14ac:dyDescent="0.35">
      <c r="C2713" s="51"/>
      <c r="D2713" s="51"/>
    </row>
    <row r="2714" spans="3:4" x14ac:dyDescent="0.35">
      <c r="C2714" s="51"/>
      <c r="D2714" s="51"/>
    </row>
    <row r="2715" spans="3:4" x14ac:dyDescent="0.35">
      <c r="C2715" s="51"/>
      <c r="D2715" s="51"/>
    </row>
    <row r="2716" spans="3:4" x14ac:dyDescent="0.35">
      <c r="C2716" s="51"/>
      <c r="D2716" s="51"/>
    </row>
    <row r="2717" spans="3:4" x14ac:dyDescent="0.35">
      <c r="C2717" s="51"/>
      <c r="D2717" s="51"/>
    </row>
    <row r="2718" spans="3:4" x14ac:dyDescent="0.35">
      <c r="C2718" s="51"/>
      <c r="D2718" s="51"/>
    </row>
    <row r="2719" spans="3:4" x14ac:dyDescent="0.35">
      <c r="C2719" s="51"/>
      <c r="D2719" s="51"/>
    </row>
    <row r="2720" spans="3:4" x14ac:dyDescent="0.35">
      <c r="C2720" s="51"/>
      <c r="D2720" s="51"/>
    </row>
    <row r="2721" spans="3:4" x14ac:dyDescent="0.35">
      <c r="C2721" s="51"/>
      <c r="D2721" s="51"/>
    </row>
    <row r="2722" spans="3:4" x14ac:dyDescent="0.35">
      <c r="C2722" s="51"/>
      <c r="D2722" s="51"/>
    </row>
    <row r="2723" spans="3:4" x14ac:dyDescent="0.35">
      <c r="C2723" s="51"/>
      <c r="D2723" s="51"/>
    </row>
    <row r="2724" spans="3:4" x14ac:dyDescent="0.35">
      <c r="C2724" s="51"/>
      <c r="D2724" s="51"/>
    </row>
    <row r="2725" spans="3:4" x14ac:dyDescent="0.35">
      <c r="C2725" s="51"/>
      <c r="D2725" s="51"/>
    </row>
    <row r="2726" spans="3:4" x14ac:dyDescent="0.35">
      <c r="C2726" s="51"/>
      <c r="D2726" s="51"/>
    </row>
    <row r="2727" spans="3:4" x14ac:dyDescent="0.35">
      <c r="C2727" s="51"/>
      <c r="D2727" s="51"/>
    </row>
    <row r="2728" spans="3:4" x14ac:dyDescent="0.35">
      <c r="C2728" s="51"/>
      <c r="D2728" s="51"/>
    </row>
    <row r="2729" spans="3:4" x14ac:dyDescent="0.35">
      <c r="C2729" s="51"/>
      <c r="D2729" s="51"/>
    </row>
    <row r="2730" spans="3:4" x14ac:dyDescent="0.35">
      <c r="C2730" s="51"/>
      <c r="D2730" s="51"/>
    </row>
    <row r="2731" spans="3:4" x14ac:dyDescent="0.35">
      <c r="C2731" s="51"/>
      <c r="D2731" s="51"/>
    </row>
    <row r="2732" spans="3:4" x14ac:dyDescent="0.35">
      <c r="C2732" s="51"/>
      <c r="D2732" s="51"/>
    </row>
    <row r="2733" spans="3:4" x14ac:dyDescent="0.35">
      <c r="C2733" s="51"/>
      <c r="D2733" s="51"/>
    </row>
    <row r="2734" spans="3:4" x14ac:dyDescent="0.35">
      <c r="C2734" s="51"/>
      <c r="D2734" s="51"/>
    </row>
    <row r="2735" spans="3:4" x14ac:dyDescent="0.35">
      <c r="C2735" s="51"/>
      <c r="D2735" s="51"/>
    </row>
    <row r="2736" spans="3:4" x14ac:dyDescent="0.35">
      <c r="C2736" s="51"/>
      <c r="D2736" s="51"/>
    </row>
    <row r="2737" spans="3:4" x14ac:dyDescent="0.35">
      <c r="C2737" s="51"/>
      <c r="D2737" s="51"/>
    </row>
    <row r="2738" spans="3:4" x14ac:dyDescent="0.35">
      <c r="C2738" s="51"/>
      <c r="D2738" s="51"/>
    </row>
    <row r="2739" spans="3:4" x14ac:dyDescent="0.35">
      <c r="C2739" s="51"/>
      <c r="D2739" s="51"/>
    </row>
    <row r="2740" spans="3:4" x14ac:dyDescent="0.35">
      <c r="C2740" s="51"/>
      <c r="D2740" s="51"/>
    </row>
    <row r="2741" spans="3:4" x14ac:dyDescent="0.35">
      <c r="C2741" s="51"/>
      <c r="D2741" s="51"/>
    </row>
    <row r="2742" spans="3:4" x14ac:dyDescent="0.35">
      <c r="C2742" s="51"/>
      <c r="D2742" s="51"/>
    </row>
    <row r="2743" spans="3:4" x14ac:dyDescent="0.35">
      <c r="C2743" s="51"/>
      <c r="D2743" s="51"/>
    </row>
    <row r="2744" spans="3:4" x14ac:dyDescent="0.35">
      <c r="C2744" s="51"/>
      <c r="D2744" s="51"/>
    </row>
    <row r="2745" spans="3:4" x14ac:dyDescent="0.35">
      <c r="C2745" s="51"/>
      <c r="D2745" s="51"/>
    </row>
    <row r="2746" spans="3:4" x14ac:dyDescent="0.35">
      <c r="C2746" s="51"/>
      <c r="D2746" s="51"/>
    </row>
    <row r="2747" spans="3:4" x14ac:dyDescent="0.35">
      <c r="C2747" s="51"/>
      <c r="D2747" s="51"/>
    </row>
    <row r="2748" spans="3:4" x14ac:dyDescent="0.35">
      <c r="C2748" s="51"/>
      <c r="D2748" s="51"/>
    </row>
    <row r="2749" spans="3:4" x14ac:dyDescent="0.35">
      <c r="C2749" s="51"/>
      <c r="D2749" s="51"/>
    </row>
    <row r="2750" spans="3:4" x14ac:dyDescent="0.35">
      <c r="C2750" s="51"/>
      <c r="D2750" s="51"/>
    </row>
    <row r="2751" spans="3:4" x14ac:dyDescent="0.35">
      <c r="C2751" s="51"/>
      <c r="D2751" s="51"/>
    </row>
    <row r="2752" spans="3:4" x14ac:dyDescent="0.35">
      <c r="C2752" s="51"/>
      <c r="D2752" s="51"/>
    </row>
    <row r="2753" spans="3:4" x14ac:dyDescent="0.35">
      <c r="C2753" s="51"/>
      <c r="D2753" s="51"/>
    </row>
    <row r="2754" spans="3:4" x14ac:dyDescent="0.35">
      <c r="C2754" s="51"/>
      <c r="D2754" s="51"/>
    </row>
    <row r="2755" spans="3:4" x14ac:dyDescent="0.35">
      <c r="C2755" s="51"/>
      <c r="D2755" s="51"/>
    </row>
    <row r="2756" spans="3:4" x14ac:dyDescent="0.35">
      <c r="C2756" s="51"/>
      <c r="D2756" s="51"/>
    </row>
    <row r="2757" spans="3:4" x14ac:dyDescent="0.35">
      <c r="C2757" s="51"/>
      <c r="D2757" s="51"/>
    </row>
    <row r="2758" spans="3:4" x14ac:dyDescent="0.35">
      <c r="C2758" s="51"/>
      <c r="D2758" s="51"/>
    </row>
    <row r="2759" spans="3:4" x14ac:dyDescent="0.35">
      <c r="C2759" s="51"/>
      <c r="D2759" s="51"/>
    </row>
    <row r="2760" spans="3:4" x14ac:dyDescent="0.35">
      <c r="C2760" s="51"/>
      <c r="D2760" s="51"/>
    </row>
    <row r="2761" spans="3:4" x14ac:dyDescent="0.35">
      <c r="C2761" s="51"/>
      <c r="D2761" s="51"/>
    </row>
    <row r="2762" spans="3:4" x14ac:dyDescent="0.35">
      <c r="C2762" s="51"/>
      <c r="D2762" s="51"/>
    </row>
    <row r="2763" spans="3:4" x14ac:dyDescent="0.35">
      <c r="C2763" s="51"/>
      <c r="D2763" s="51"/>
    </row>
    <row r="2764" spans="3:4" x14ac:dyDescent="0.35">
      <c r="C2764" s="51"/>
      <c r="D2764" s="51"/>
    </row>
    <row r="2765" spans="3:4" x14ac:dyDescent="0.35">
      <c r="C2765" s="51"/>
      <c r="D2765" s="51"/>
    </row>
    <row r="2766" spans="3:4" x14ac:dyDescent="0.35">
      <c r="C2766" s="51"/>
      <c r="D2766" s="51"/>
    </row>
    <row r="2767" spans="3:4" x14ac:dyDescent="0.35">
      <c r="C2767" s="51"/>
      <c r="D2767" s="51"/>
    </row>
    <row r="2768" spans="3:4" x14ac:dyDescent="0.35">
      <c r="C2768" s="51"/>
      <c r="D2768" s="51"/>
    </row>
    <row r="2769" spans="3:4" x14ac:dyDescent="0.35">
      <c r="C2769" s="51"/>
      <c r="D2769" s="51"/>
    </row>
    <row r="2770" spans="3:4" x14ac:dyDescent="0.35">
      <c r="C2770" s="51"/>
      <c r="D2770" s="51"/>
    </row>
    <row r="2771" spans="3:4" x14ac:dyDescent="0.35">
      <c r="C2771" s="51"/>
      <c r="D2771" s="51"/>
    </row>
    <row r="2772" spans="3:4" x14ac:dyDescent="0.35">
      <c r="C2772" s="51"/>
      <c r="D2772" s="51"/>
    </row>
    <row r="2773" spans="3:4" x14ac:dyDescent="0.35">
      <c r="C2773" s="51"/>
      <c r="D2773" s="51"/>
    </row>
    <row r="2774" spans="3:4" x14ac:dyDescent="0.35">
      <c r="C2774" s="51"/>
      <c r="D2774" s="51"/>
    </row>
    <row r="2775" spans="3:4" x14ac:dyDescent="0.35">
      <c r="C2775" s="51"/>
      <c r="D2775" s="51"/>
    </row>
    <row r="2776" spans="3:4" x14ac:dyDescent="0.35">
      <c r="C2776" s="51"/>
      <c r="D2776" s="51"/>
    </row>
    <row r="2777" spans="3:4" x14ac:dyDescent="0.35">
      <c r="C2777" s="51"/>
      <c r="D2777" s="51"/>
    </row>
    <row r="2778" spans="3:4" x14ac:dyDescent="0.35">
      <c r="C2778" s="51"/>
      <c r="D2778" s="51"/>
    </row>
    <row r="2779" spans="3:4" x14ac:dyDescent="0.35">
      <c r="C2779" s="51"/>
      <c r="D2779" s="51"/>
    </row>
    <row r="2780" spans="3:4" x14ac:dyDescent="0.35">
      <c r="C2780" s="51"/>
      <c r="D2780" s="51"/>
    </row>
    <row r="2781" spans="3:4" x14ac:dyDescent="0.35">
      <c r="C2781" s="51"/>
      <c r="D2781" s="51"/>
    </row>
    <row r="2782" spans="3:4" x14ac:dyDescent="0.35">
      <c r="C2782" s="51"/>
      <c r="D2782" s="51"/>
    </row>
    <row r="2783" spans="3:4" x14ac:dyDescent="0.35">
      <c r="C2783" s="51"/>
      <c r="D2783" s="51"/>
    </row>
    <row r="2784" spans="3:4" x14ac:dyDescent="0.35">
      <c r="C2784" s="51"/>
      <c r="D2784" s="51"/>
    </row>
    <row r="2785" spans="3:4" x14ac:dyDescent="0.35">
      <c r="C2785" s="51"/>
      <c r="D2785" s="51"/>
    </row>
    <row r="2786" spans="3:4" x14ac:dyDescent="0.35">
      <c r="C2786" s="51"/>
      <c r="D2786" s="51"/>
    </row>
    <row r="2787" spans="3:4" x14ac:dyDescent="0.35">
      <c r="C2787" s="51"/>
      <c r="D2787" s="51"/>
    </row>
    <row r="2788" spans="3:4" x14ac:dyDescent="0.35">
      <c r="C2788" s="51"/>
      <c r="D2788" s="51"/>
    </row>
    <row r="2789" spans="3:4" x14ac:dyDescent="0.35">
      <c r="C2789" s="51"/>
      <c r="D2789" s="51"/>
    </row>
    <row r="2790" spans="3:4" x14ac:dyDescent="0.35">
      <c r="C2790" s="51"/>
      <c r="D2790" s="51"/>
    </row>
    <row r="2791" spans="3:4" x14ac:dyDescent="0.35">
      <c r="C2791" s="51"/>
      <c r="D2791" s="51"/>
    </row>
    <row r="2792" spans="3:4" x14ac:dyDescent="0.35">
      <c r="C2792" s="51"/>
      <c r="D2792" s="51"/>
    </row>
    <row r="2793" spans="3:4" x14ac:dyDescent="0.35">
      <c r="C2793" s="51"/>
      <c r="D2793" s="51"/>
    </row>
    <row r="2794" spans="3:4" x14ac:dyDescent="0.35">
      <c r="C2794" s="51"/>
      <c r="D2794" s="51"/>
    </row>
    <row r="2795" spans="3:4" x14ac:dyDescent="0.35">
      <c r="C2795" s="51"/>
      <c r="D2795" s="51"/>
    </row>
    <row r="2796" spans="3:4" x14ac:dyDescent="0.35">
      <c r="C2796" s="51"/>
      <c r="D2796" s="51"/>
    </row>
    <row r="2797" spans="3:4" x14ac:dyDescent="0.35">
      <c r="C2797" s="51"/>
      <c r="D2797" s="51"/>
    </row>
    <row r="2798" spans="3:4" x14ac:dyDescent="0.35">
      <c r="C2798" s="51"/>
      <c r="D2798" s="51"/>
    </row>
    <row r="2799" spans="3:4" x14ac:dyDescent="0.35">
      <c r="C2799" s="51"/>
      <c r="D2799" s="51"/>
    </row>
    <row r="2800" spans="3:4" x14ac:dyDescent="0.35">
      <c r="C2800" s="51"/>
      <c r="D2800" s="51"/>
    </row>
    <row r="2801" spans="3:4" x14ac:dyDescent="0.35">
      <c r="C2801" s="51"/>
      <c r="D2801" s="51"/>
    </row>
    <row r="2802" spans="3:4" x14ac:dyDescent="0.35">
      <c r="C2802" s="51"/>
      <c r="D2802" s="51"/>
    </row>
    <row r="2803" spans="3:4" x14ac:dyDescent="0.35">
      <c r="C2803" s="51"/>
      <c r="D2803" s="51"/>
    </row>
    <row r="2804" spans="3:4" x14ac:dyDescent="0.35">
      <c r="C2804" s="51"/>
      <c r="D2804" s="51"/>
    </row>
    <row r="2805" spans="3:4" x14ac:dyDescent="0.35">
      <c r="C2805" s="51"/>
      <c r="D2805" s="51"/>
    </row>
    <row r="2806" spans="3:4" x14ac:dyDescent="0.35">
      <c r="C2806" s="51"/>
      <c r="D2806" s="51"/>
    </row>
    <row r="2807" spans="3:4" x14ac:dyDescent="0.35">
      <c r="C2807" s="51"/>
      <c r="D2807" s="51"/>
    </row>
    <row r="2808" spans="3:4" x14ac:dyDescent="0.35">
      <c r="C2808" s="51"/>
      <c r="D2808" s="51"/>
    </row>
    <row r="2809" spans="3:4" x14ac:dyDescent="0.35">
      <c r="C2809" s="51"/>
      <c r="D2809" s="51"/>
    </row>
    <row r="2810" spans="3:4" x14ac:dyDescent="0.35">
      <c r="C2810" s="51"/>
      <c r="D2810" s="51"/>
    </row>
    <row r="2811" spans="3:4" x14ac:dyDescent="0.35">
      <c r="C2811" s="51"/>
      <c r="D2811" s="51"/>
    </row>
    <row r="2812" spans="3:4" x14ac:dyDescent="0.35">
      <c r="C2812" s="51"/>
      <c r="D2812" s="51"/>
    </row>
    <row r="2813" spans="3:4" x14ac:dyDescent="0.35">
      <c r="C2813" s="51"/>
      <c r="D2813" s="51"/>
    </row>
    <row r="2814" spans="3:4" x14ac:dyDescent="0.35">
      <c r="C2814" s="51"/>
      <c r="D2814" s="51"/>
    </row>
    <row r="2815" spans="3:4" x14ac:dyDescent="0.35">
      <c r="C2815" s="51"/>
      <c r="D2815" s="51"/>
    </row>
    <row r="2816" spans="3:4" x14ac:dyDescent="0.35">
      <c r="C2816" s="51"/>
      <c r="D2816" s="51"/>
    </row>
    <row r="2817" spans="3:4" x14ac:dyDescent="0.35">
      <c r="C2817" s="51"/>
      <c r="D2817" s="51"/>
    </row>
    <row r="2818" spans="3:4" x14ac:dyDescent="0.35">
      <c r="C2818" s="51"/>
      <c r="D2818" s="51"/>
    </row>
    <row r="2819" spans="3:4" x14ac:dyDescent="0.35">
      <c r="C2819" s="51"/>
      <c r="D2819" s="51"/>
    </row>
    <row r="2820" spans="3:4" x14ac:dyDescent="0.35">
      <c r="C2820" s="51"/>
      <c r="D2820" s="51"/>
    </row>
    <row r="2821" spans="3:4" x14ac:dyDescent="0.35">
      <c r="C2821" s="51"/>
      <c r="D2821" s="51"/>
    </row>
    <row r="2822" spans="3:4" x14ac:dyDescent="0.35">
      <c r="C2822" s="51"/>
      <c r="D2822" s="51"/>
    </row>
    <row r="2823" spans="3:4" x14ac:dyDescent="0.35">
      <c r="C2823" s="51"/>
      <c r="D2823" s="51"/>
    </row>
    <row r="2824" spans="3:4" x14ac:dyDescent="0.35">
      <c r="C2824" s="51"/>
      <c r="D2824" s="51"/>
    </row>
    <row r="2825" spans="3:4" x14ac:dyDescent="0.35">
      <c r="C2825" s="51"/>
      <c r="D2825" s="51"/>
    </row>
    <row r="2826" spans="3:4" x14ac:dyDescent="0.35">
      <c r="C2826" s="51"/>
      <c r="D2826" s="51"/>
    </row>
    <row r="2827" spans="3:4" x14ac:dyDescent="0.35">
      <c r="C2827" s="51"/>
      <c r="D2827" s="51"/>
    </row>
    <row r="2828" spans="3:4" x14ac:dyDescent="0.35">
      <c r="C2828" s="51"/>
      <c r="D2828" s="51"/>
    </row>
    <row r="2829" spans="3:4" x14ac:dyDescent="0.35">
      <c r="C2829" s="51"/>
      <c r="D2829" s="51"/>
    </row>
    <row r="2830" spans="3:4" x14ac:dyDescent="0.35">
      <c r="C2830" s="51"/>
      <c r="D2830" s="51"/>
    </row>
    <row r="2831" spans="3:4" x14ac:dyDescent="0.35">
      <c r="C2831" s="51"/>
      <c r="D2831" s="51"/>
    </row>
    <row r="2832" spans="3:4" x14ac:dyDescent="0.35">
      <c r="C2832" s="51"/>
      <c r="D2832" s="51"/>
    </row>
    <row r="2833" spans="3:4" x14ac:dyDescent="0.35">
      <c r="C2833" s="51"/>
      <c r="D2833" s="51"/>
    </row>
    <row r="2834" spans="3:4" x14ac:dyDescent="0.35">
      <c r="C2834" s="51"/>
      <c r="D2834" s="51"/>
    </row>
    <row r="2835" spans="3:4" x14ac:dyDescent="0.35">
      <c r="C2835" s="51"/>
      <c r="D2835" s="51"/>
    </row>
    <row r="2836" spans="3:4" x14ac:dyDescent="0.35">
      <c r="C2836" s="51"/>
      <c r="D2836" s="51"/>
    </row>
    <row r="2837" spans="3:4" x14ac:dyDescent="0.35">
      <c r="C2837" s="51"/>
      <c r="D2837" s="51"/>
    </row>
    <row r="2838" spans="3:4" x14ac:dyDescent="0.35">
      <c r="C2838" s="51"/>
      <c r="D2838" s="51"/>
    </row>
    <row r="2839" spans="3:4" x14ac:dyDescent="0.35">
      <c r="C2839" s="51"/>
      <c r="D2839" s="51"/>
    </row>
    <row r="2840" spans="3:4" x14ac:dyDescent="0.35">
      <c r="C2840" s="51"/>
      <c r="D2840" s="51"/>
    </row>
    <row r="2841" spans="3:4" x14ac:dyDescent="0.35">
      <c r="C2841" s="51"/>
      <c r="D2841" s="51"/>
    </row>
    <row r="2842" spans="3:4" x14ac:dyDescent="0.35">
      <c r="C2842" s="51"/>
      <c r="D2842" s="51"/>
    </row>
    <row r="2843" spans="3:4" x14ac:dyDescent="0.35">
      <c r="C2843" s="51"/>
      <c r="D2843" s="51"/>
    </row>
    <row r="2844" spans="3:4" x14ac:dyDescent="0.35">
      <c r="C2844" s="51"/>
      <c r="D2844" s="51"/>
    </row>
    <row r="2845" spans="3:4" x14ac:dyDescent="0.35">
      <c r="C2845" s="51"/>
      <c r="D2845" s="51"/>
    </row>
    <row r="2846" spans="3:4" x14ac:dyDescent="0.35">
      <c r="C2846" s="51"/>
      <c r="D2846" s="51"/>
    </row>
    <row r="2847" spans="3:4" x14ac:dyDescent="0.35">
      <c r="C2847" s="51"/>
      <c r="D2847" s="51"/>
    </row>
    <row r="2848" spans="3:4" x14ac:dyDescent="0.35">
      <c r="C2848" s="51"/>
      <c r="D2848" s="51"/>
    </row>
    <row r="2849" spans="3:4" x14ac:dyDescent="0.35">
      <c r="C2849" s="51"/>
      <c r="D2849" s="51"/>
    </row>
    <row r="2850" spans="3:4" x14ac:dyDescent="0.35">
      <c r="C2850" s="51"/>
      <c r="D2850" s="51"/>
    </row>
    <row r="2851" spans="3:4" x14ac:dyDescent="0.35">
      <c r="C2851" s="51"/>
      <c r="D2851" s="51"/>
    </row>
    <row r="2852" spans="3:4" x14ac:dyDescent="0.35">
      <c r="C2852" s="51"/>
      <c r="D2852" s="51"/>
    </row>
    <row r="2853" spans="3:4" x14ac:dyDescent="0.35">
      <c r="C2853" s="51"/>
      <c r="D2853" s="51"/>
    </row>
    <row r="2854" spans="3:4" x14ac:dyDescent="0.35">
      <c r="C2854" s="51"/>
      <c r="D2854" s="51"/>
    </row>
    <row r="2855" spans="3:4" x14ac:dyDescent="0.35">
      <c r="C2855" s="51"/>
      <c r="D2855" s="51"/>
    </row>
    <row r="2856" spans="3:4" x14ac:dyDescent="0.35">
      <c r="C2856" s="51"/>
      <c r="D2856" s="51"/>
    </row>
    <row r="2857" spans="3:4" x14ac:dyDescent="0.35">
      <c r="C2857" s="51"/>
      <c r="D2857" s="51"/>
    </row>
    <row r="2858" spans="3:4" x14ac:dyDescent="0.35">
      <c r="C2858" s="51"/>
      <c r="D2858" s="51"/>
    </row>
    <row r="2859" spans="3:4" x14ac:dyDescent="0.35">
      <c r="C2859" s="51"/>
      <c r="D2859" s="51"/>
    </row>
    <row r="2860" spans="3:4" x14ac:dyDescent="0.35">
      <c r="C2860" s="51"/>
      <c r="D2860" s="51"/>
    </row>
    <row r="2861" spans="3:4" x14ac:dyDescent="0.35">
      <c r="C2861" s="51"/>
      <c r="D2861" s="51"/>
    </row>
    <row r="2862" spans="3:4" x14ac:dyDescent="0.35">
      <c r="C2862" s="51"/>
      <c r="D2862" s="51"/>
    </row>
    <row r="2863" spans="3:4" x14ac:dyDescent="0.35">
      <c r="C2863" s="51"/>
      <c r="D2863" s="51"/>
    </row>
    <row r="2864" spans="3:4" x14ac:dyDescent="0.35">
      <c r="C2864" s="51"/>
      <c r="D2864" s="51"/>
    </row>
    <row r="2865" spans="3:4" x14ac:dyDescent="0.35">
      <c r="C2865" s="51"/>
      <c r="D2865" s="51"/>
    </row>
    <row r="2866" spans="3:4" x14ac:dyDescent="0.35">
      <c r="C2866" s="51"/>
      <c r="D2866" s="51"/>
    </row>
    <row r="2867" spans="3:4" x14ac:dyDescent="0.35">
      <c r="C2867" s="51"/>
      <c r="D2867" s="51"/>
    </row>
    <row r="2868" spans="3:4" x14ac:dyDescent="0.35">
      <c r="C2868" s="51"/>
      <c r="D2868" s="51"/>
    </row>
    <row r="2869" spans="3:4" x14ac:dyDescent="0.35">
      <c r="C2869" s="51"/>
      <c r="D2869" s="51"/>
    </row>
    <row r="2870" spans="3:4" x14ac:dyDescent="0.35">
      <c r="C2870" s="51"/>
      <c r="D2870" s="51"/>
    </row>
    <row r="2871" spans="3:4" x14ac:dyDescent="0.35">
      <c r="C2871" s="51"/>
      <c r="D2871" s="51"/>
    </row>
    <row r="2872" spans="3:4" x14ac:dyDescent="0.35">
      <c r="C2872" s="51"/>
      <c r="D2872" s="51"/>
    </row>
    <row r="2873" spans="3:4" x14ac:dyDescent="0.35">
      <c r="C2873" s="51"/>
      <c r="D2873" s="51"/>
    </row>
    <row r="2874" spans="3:4" x14ac:dyDescent="0.35">
      <c r="C2874" s="51"/>
      <c r="D2874" s="51"/>
    </row>
    <row r="2875" spans="3:4" x14ac:dyDescent="0.35">
      <c r="C2875" s="51"/>
      <c r="D2875" s="51"/>
    </row>
    <row r="2876" spans="3:4" x14ac:dyDescent="0.35">
      <c r="C2876" s="51"/>
      <c r="D2876" s="51"/>
    </row>
    <row r="2877" spans="3:4" x14ac:dyDescent="0.35">
      <c r="C2877" s="51"/>
      <c r="D2877" s="51"/>
    </row>
    <row r="2878" spans="3:4" x14ac:dyDescent="0.35">
      <c r="C2878" s="51"/>
      <c r="D2878" s="51"/>
    </row>
    <row r="2879" spans="3:4" x14ac:dyDescent="0.35">
      <c r="C2879" s="51"/>
      <c r="D2879" s="51"/>
    </row>
    <row r="2880" spans="3:4" x14ac:dyDescent="0.35">
      <c r="C2880" s="51"/>
      <c r="D2880" s="51"/>
    </row>
    <row r="2881" spans="3:4" x14ac:dyDescent="0.35">
      <c r="C2881" s="51"/>
      <c r="D2881" s="51"/>
    </row>
    <row r="2882" spans="3:4" x14ac:dyDescent="0.35">
      <c r="C2882" s="51"/>
      <c r="D2882" s="51"/>
    </row>
    <row r="2883" spans="3:4" x14ac:dyDescent="0.35">
      <c r="C2883" s="51"/>
      <c r="D2883" s="51"/>
    </row>
    <row r="2884" spans="3:4" x14ac:dyDescent="0.35">
      <c r="C2884" s="51"/>
      <c r="D2884" s="51"/>
    </row>
    <row r="2885" spans="3:4" x14ac:dyDescent="0.35">
      <c r="C2885" s="51"/>
      <c r="D2885" s="51"/>
    </row>
    <row r="2886" spans="3:4" x14ac:dyDescent="0.35">
      <c r="C2886" s="51"/>
      <c r="D2886" s="51"/>
    </row>
    <row r="2887" spans="3:4" x14ac:dyDescent="0.35">
      <c r="C2887" s="51"/>
      <c r="D2887" s="51"/>
    </row>
    <row r="2888" spans="3:4" x14ac:dyDescent="0.35">
      <c r="C2888" s="51"/>
      <c r="D2888" s="51"/>
    </row>
    <row r="2889" spans="3:4" x14ac:dyDescent="0.35">
      <c r="C2889" s="51"/>
      <c r="D2889" s="51"/>
    </row>
    <row r="2890" spans="3:4" x14ac:dyDescent="0.35">
      <c r="C2890" s="51"/>
      <c r="D2890" s="51"/>
    </row>
    <row r="2891" spans="3:4" x14ac:dyDescent="0.35">
      <c r="C2891" s="51"/>
      <c r="D2891" s="51"/>
    </row>
    <row r="2892" spans="3:4" x14ac:dyDescent="0.35">
      <c r="C2892" s="51"/>
      <c r="D2892" s="51"/>
    </row>
    <row r="2893" spans="3:4" x14ac:dyDescent="0.35">
      <c r="C2893" s="51"/>
      <c r="D2893" s="51"/>
    </row>
    <row r="2894" spans="3:4" x14ac:dyDescent="0.35">
      <c r="C2894" s="51"/>
      <c r="D2894" s="51"/>
    </row>
    <row r="2895" spans="3:4" x14ac:dyDescent="0.35">
      <c r="C2895" s="51"/>
      <c r="D2895" s="51"/>
    </row>
    <row r="2896" spans="3:4" x14ac:dyDescent="0.35">
      <c r="C2896" s="51"/>
      <c r="D2896" s="51"/>
    </row>
    <row r="2897" spans="3:4" x14ac:dyDescent="0.35">
      <c r="C2897" s="51"/>
      <c r="D2897" s="51"/>
    </row>
    <row r="2898" spans="3:4" x14ac:dyDescent="0.35">
      <c r="C2898" s="51"/>
      <c r="D2898" s="51"/>
    </row>
    <row r="2899" spans="3:4" x14ac:dyDescent="0.35">
      <c r="C2899" s="51"/>
      <c r="D2899" s="51"/>
    </row>
    <row r="2900" spans="3:4" x14ac:dyDescent="0.35">
      <c r="C2900" s="51"/>
      <c r="D2900" s="51"/>
    </row>
    <row r="2901" spans="3:4" x14ac:dyDescent="0.35">
      <c r="C2901" s="51"/>
      <c r="D2901" s="51"/>
    </row>
    <row r="2902" spans="3:4" x14ac:dyDescent="0.35">
      <c r="C2902" s="51"/>
      <c r="D2902" s="51"/>
    </row>
    <row r="2903" spans="3:4" x14ac:dyDescent="0.35">
      <c r="C2903" s="51"/>
      <c r="D2903" s="51"/>
    </row>
    <row r="2904" spans="3:4" x14ac:dyDescent="0.35">
      <c r="C2904" s="51"/>
      <c r="D2904" s="51"/>
    </row>
    <row r="2905" spans="3:4" x14ac:dyDescent="0.35">
      <c r="C2905" s="51"/>
      <c r="D2905" s="51"/>
    </row>
    <row r="2906" spans="3:4" x14ac:dyDescent="0.35">
      <c r="C2906" s="51"/>
      <c r="D2906" s="51"/>
    </row>
    <row r="2907" spans="3:4" x14ac:dyDescent="0.35">
      <c r="C2907" s="51"/>
      <c r="D2907" s="51"/>
    </row>
    <row r="2908" spans="3:4" x14ac:dyDescent="0.35">
      <c r="C2908" s="51"/>
      <c r="D2908" s="51"/>
    </row>
    <row r="2909" spans="3:4" x14ac:dyDescent="0.35">
      <c r="C2909" s="51"/>
      <c r="D2909" s="51"/>
    </row>
    <row r="2910" spans="3:4" x14ac:dyDescent="0.35">
      <c r="C2910" s="51"/>
      <c r="D2910" s="51"/>
    </row>
    <row r="2911" spans="3:4" x14ac:dyDescent="0.35">
      <c r="C2911" s="51"/>
      <c r="D2911" s="51"/>
    </row>
    <row r="2912" spans="3:4" x14ac:dyDescent="0.35">
      <c r="C2912" s="51"/>
      <c r="D2912" s="51"/>
    </row>
    <row r="2913" spans="3:4" x14ac:dyDescent="0.35">
      <c r="C2913" s="51"/>
      <c r="D2913" s="51"/>
    </row>
    <row r="2914" spans="3:4" x14ac:dyDescent="0.35">
      <c r="C2914" s="51"/>
      <c r="D2914" s="51"/>
    </row>
    <row r="2915" spans="3:4" x14ac:dyDescent="0.35">
      <c r="C2915" s="51"/>
      <c r="D2915" s="51"/>
    </row>
    <row r="2916" spans="3:4" x14ac:dyDescent="0.35">
      <c r="C2916" s="51"/>
      <c r="D2916" s="51"/>
    </row>
    <row r="2917" spans="3:4" x14ac:dyDescent="0.35">
      <c r="C2917" s="51"/>
      <c r="D2917" s="51"/>
    </row>
    <row r="2918" spans="3:4" x14ac:dyDescent="0.35">
      <c r="C2918" s="51"/>
      <c r="D2918" s="51"/>
    </row>
    <row r="2919" spans="3:4" x14ac:dyDescent="0.35">
      <c r="C2919" s="51"/>
      <c r="D2919" s="51"/>
    </row>
    <row r="2920" spans="3:4" x14ac:dyDescent="0.35">
      <c r="C2920" s="51"/>
      <c r="D2920" s="51"/>
    </row>
    <row r="2921" spans="3:4" x14ac:dyDescent="0.35">
      <c r="C2921" s="51"/>
      <c r="D2921" s="51"/>
    </row>
    <row r="2922" spans="3:4" x14ac:dyDescent="0.35">
      <c r="C2922" s="51"/>
      <c r="D2922" s="51"/>
    </row>
    <row r="2923" spans="3:4" x14ac:dyDescent="0.35">
      <c r="C2923" s="51"/>
      <c r="D2923" s="51"/>
    </row>
    <row r="2924" spans="3:4" x14ac:dyDescent="0.35">
      <c r="C2924" s="51"/>
      <c r="D2924" s="51"/>
    </row>
    <row r="2925" spans="3:4" x14ac:dyDescent="0.35">
      <c r="C2925" s="51"/>
      <c r="D2925" s="51"/>
    </row>
    <row r="2926" spans="3:4" x14ac:dyDescent="0.35">
      <c r="C2926" s="51"/>
      <c r="D2926" s="51"/>
    </row>
    <row r="2927" spans="3:4" x14ac:dyDescent="0.35">
      <c r="C2927" s="51"/>
      <c r="D2927" s="51"/>
    </row>
    <row r="2928" spans="3:4" x14ac:dyDescent="0.35">
      <c r="C2928" s="51"/>
      <c r="D2928" s="51"/>
    </row>
    <row r="2929" spans="3:4" x14ac:dyDescent="0.35">
      <c r="C2929" s="51"/>
      <c r="D2929" s="51"/>
    </row>
    <row r="2930" spans="3:4" x14ac:dyDescent="0.35">
      <c r="C2930" s="51"/>
      <c r="D2930" s="51"/>
    </row>
    <row r="2931" spans="3:4" x14ac:dyDescent="0.35">
      <c r="C2931" s="51"/>
      <c r="D2931" s="51"/>
    </row>
    <row r="2932" spans="3:4" x14ac:dyDescent="0.35">
      <c r="C2932" s="51"/>
      <c r="D2932" s="51"/>
    </row>
    <row r="2933" spans="3:4" x14ac:dyDescent="0.35">
      <c r="C2933" s="51"/>
      <c r="D2933" s="51"/>
    </row>
    <row r="2934" spans="3:4" x14ac:dyDescent="0.35">
      <c r="C2934" s="51"/>
      <c r="D2934" s="51"/>
    </row>
    <row r="2935" spans="3:4" x14ac:dyDescent="0.35">
      <c r="C2935" s="51"/>
      <c r="D2935" s="51"/>
    </row>
    <row r="2936" spans="3:4" x14ac:dyDescent="0.35">
      <c r="C2936" s="51"/>
      <c r="D2936" s="51"/>
    </row>
    <row r="2937" spans="3:4" x14ac:dyDescent="0.35">
      <c r="C2937" s="51"/>
      <c r="D2937" s="51"/>
    </row>
    <row r="2938" spans="3:4" x14ac:dyDescent="0.35">
      <c r="C2938" s="51"/>
      <c r="D2938" s="51"/>
    </row>
    <row r="2939" spans="3:4" x14ac:dyDescent="0.35">
      <c r="C2939" s="51"/>
      <c r="D2939" s="51"/>
    </row>
    <row r="2940" spans="3:4" x14ac:dyDescent="0.35">
      <c r="C2940" s="51"/>
      <c r="D2940" s="51"/>
    </row>
    <row r="2941" spans="3:4" x14ac:dyDescent="0.35">
      <c r="C2941" s="51"/>
      <c r="D2941" s="51"/>
    </row>
    <row r="2942" spans="3:4" x14ac:dyDescent="0.35">
      <c r="C2942" s="51"/>
      <c r="D2942" s="51"/>
    </row>
    <row r="2943" spans="3:4" x14ac:dyDescent="0.35">
      <c r="C2943" s="51"/>
      <c r="D2943" s="51"/>
    </row>
    <row r="2944" spans="3:4" x14ac:dyDescent="0.35">
      <c r="C2944" s="51"/>
      <c r="D2944" s="51"/>
    </row>
    <row r="2945" spans="3:4" x14ac:dyDescent="0.35">
      <c r="C2945" s="51"/>
      <c r="D2945" s="51"/>
    </row>
    <row r="2946" spans="3:4" x14ac:dyDescent="0.35">
      <c r="C2946" s="51"/>
      <c r="D2946" s="51"/>
    </row>
    <row r="2947" spans="3:4" x14ac:dyDescent="0.35">
      <c r="C2947" s="51"/>
      <c r="D2947" s="51"/>
    </row>
    <row r="2948" spans="3:4" x14ac:dyDescent="0.35">
      <c r="C2948" s="51"/>
      <c r="D2948" s="51"/>
    </row>
    <row r="2949" spans="3:4" x14ac:dyDescent="0.35">
      <c r="C2949" s="51"/>
      <c r="D2949" s="51"/>
    </row>
    <row r="2950" spans="3:4" x14ac:dyDescent="0.35">
      <c r="C2950" s="51"/>
      <c r="D2950" s="51"/>
    </row>
    <row r="2951" spans="3:4" x14ac:dyDescent="0.35">
      <c r="C2951" s="51"/>
      <c r="D2951" s="51"/>
    </row>
    <row r="2952" spans="3:4" x14ac:dyDescent="0.35">
      <c r="C2952" s="51"/>
      <c r="D2952" s="51"/>
    </row>
    <row r="2953" spans="3:4" x14ac:dyDescent="0.35">
      <c r="C2953" s="51"/>
      <c r="D2953" s="51"/>
    </row>
    <row r="2954" spans="3:4" x14ac:dyDescent="0.35">
      <c r="C2954" s="51"/>
      <c r="D2954" s="51"/>
    </row>
    <row r="2955" spans="3:4" x14ac:dyDescent="0.35">
      <c r="C2955" s="51"/>
      <c r="D2955" s="51"/>
    </row>
    <row r="2956" spans="3:4" x14ac:dyDescent="0.35">
      <c r="C2956" s="51"/>
      <c r="D2956" s="51"/>
    </row>
    <row r="2957" spans="3:4" x14ac:dyDescent="0.35">
      <c r="C2957" s="51"/>
      <c r="D2957" s="51"/>
    </row>
    <row r="2958" spans="3:4" x14ac:dyDescent="0.35">
      <c r="C2958" s="51"/>
      <c r="D2958" s="51"/>
    </row>
    <row r="2959" spans="3:4" x14ac:dyDescent="0.35">
      <c r="C2959" s="51"/>
      <c r="D2959" s="51"/>
    </row>
    <row r="2960" spans="3:4" x14ac:dyDescent="0.35">
      <c r="C2960" s="51"/>
      <c r="D2960" s="51"/>
    </row>
    <row r="2961" spans="3:4" x14ac:dyDescent="0.35">
      <c r="C2961" s="51"/>
      <c r="D2961" s="51"/>
    </row>
    <row r="2962" spans="3:4" x14ac:dyDescent="0.35">
      <c r="C2962" s="51"/>
      <c r="D2962" s="51"/>
    </row>
    <row r="2963" spans="3:4" x14ac:dyDescent="0.35">
      <c r="C2963" s="51"/>
      <c r="D2963" s="51"/>
    </row>
    <row r="2964" spans="3:4" x14ac:dyDescent="0.35">
      <c r="C2964" s="51"/>
      <c r="D2964" s="51"/>
    </row>
    <row r="2965" spans="3:4" x14ac:dyDescent="0.35">
      <c r="C2965" s="51"/>
      <c r="D2965" s="51"/>
    </row>
    <row r="2966" spans="3:4" x14ac:dyDescent="0.35">
      <c r="C2966" s="51"/>
      <c r="D2966" s="51"/>
    </row>
    <row r="2967" spans="3:4" x14ac:dyDescent="0.35">
      <c r="C2967" s="51"/>
      <c r="D2967" s="51"/>
    </row>
    <row r="2968" spans="3:4" x14ac:dyDescent="0.35">
      <c r="C2968" s="51"/>
      <c r="D2968" s="51"/>
    </row>
    <row r="2969" spans="3:4" x14ac:dyDescent="0.35">
      <c r="C2969" s="51"/>
      <c r="D2969" s="51"/>
    </row>
    <row r="2970" spans="3:4" x14ac:dyDescent="0.35">
      <c r="C2970" s="51"/>
      <c r="D2970" s="51"/>
    </row>
    <row r="2971" spans="3:4" x14ac:dyDescent="0.35">
      <c r="C2971" s="51"/>
      <c r="D2971" s="51"/>
    </row>
    <row r="2972" spans="3:4" x14ac:dyDescent="0.35">
      <c r="C2972" s="51"/>
      <c r="D2972" s="51"/>
    </row>
    <row r="2973" spans="3:4" x14ac:dyDescent="0.35">
      <c r="C2973" s="51"/>
      <c r="D2973" s="51"/>
    </row>
    <row r="2974" spans="3:4" x14ac:dyDescent="0.35">
      <c r="C2974" s="51"/>
      <c r="D2974" s="51"/>
    </row>
    <row r="2975" spans="3:4" x14ac:dyDescent="0.35">
      <c r="C2975" s="51"/>
      <c r="D2975" s="51"/>
    </row>
    <row r="2976" spans="3:4" x14ac:dyDescent="0.35">
      <c r="C2976" s="51"/>
      <c r="D2976" s="51"/>
    </row>
    <row r="2977" spans="3:4" x14ac:dyDescent="0.35">
      <c r="C2977" s="51"/>
      <c r="D2977" s="51"/>
    </row>
    <row r="2978" spans="3:4" x14ac:dyDescent="0.35">
      <c r="C2978" s="51"/>
      <c r="D2978" s="51"/>
    </row>
    <row r="2979" spans="3:4" x14ac:dyDescent="0.35">
      <c r="C2979" s="51"/>
      <c r="D2979" s="51"/>
    </row>
    <row r="2980" spans="3:4" x14ac:dyDescent="0.35">
      <c r="C2980" s="51"/>
      <c r="D2980" s="51"/>
    </row>
    <row r="2981" spans="3:4" x14ac:dyDescent="0.35">
      <c r="C2981" s="51"/>
      <c r="D2981" s="51"/>
    </row>
    <row r="2982" spans="3:4" x14ac:dyDescent="0.35">
      <c r="C2982" s="51"/>
      <c r="D2982" s="51"/>
    </row>
    <row r="2983" spans="3:4" x14ac:dyDescent="0.35">
      <c r="C2983" s="51"/>
      <c r="D2983" s="51"/>
    </row>
    <row r="2984" spans="3:4" x14ac:dyDescent="0.35">
      <c r="C2984" s="51"/>
      <c r="D2984" s="51"/>
    </row>
    <row r="2985" spans="3:4" x14ac:dyDescent="0.35">
      <c r="C2985" s="51"/>
      <c r="D2985" s="51"/>
    </row>
    <row r="2986" spans="3:4" x14ac:dyDescent="0.35">
      <c r="C2986" s="51"/>
      <c r="D2986" s="51"/>
    </row>
    <row r="2987" spans="3:4" x14ac:dyDescent="0.35">
      <c r="C2987" s="51"/>
      <c r="D2987" s="51"/>
    </row>
    <row r="2988" spans="3:4" x14ac:dyDescent="0.35">
      <c r="C2988" s="51"/>
      <c r="D2988" s="51"/>
    </row>
    <row r="2989" spans="3:4" x14ac:dyDescent="0.35">
      <c r="C2989" s="51"/>
      <c r="D2989" s="51"/>
    </row>
    <row r="2990" spans="3:4" x14ac:dyDescent="0.35">
      <c r="C2990" s="51"/>
      <c r="D2990" s="51"/>
    </row>
    <row r="2991" spans="3:4" x14ac:dyDescent="0.35">
      <c r="C2991" s="51"/>
      <c r="D2991" s="51"/>
    </row>
    <row r="2992" spans="3:4" x14ac:dyDescent="0.35">
      <c r="C2992" s="51"/>
      <c r="D2992" s="51"/>
    </row>
    <row r="2993" spans="3:4" x14ac:dyDescent="0.35">
      <c r="C2993" s="51"/>
      <c r="D2993" s="51"/>
    </row>
    <row r="2994" spans="3:4" x14ac:dyDescent="0.35">
      <c r="C2994" s="51"/>
      <c r="D2994" s="51"/>
    </row>
    <row r="2995" spans="3:4" x14ac:dyDescent="0.35">
      <c r="C2995" s="51"/>
      <c r="D2995" s="51"/>
    </row>
    <row r="2996" spans="3:4" x14ac:dyDescent="0.35">
      <c r="C2996" s="51"/>
      <c r="D2996" s="51"/>
    </row>
    <row r="2997" spans="3:4" x14ac:dyDescent="0.35">
      <c r="C2997" s="51"/>
      <c r="D2997" s="51"/>
    </row>
    <row r="2998" spans="3:4" x14ac:dyDescent="0.35">
      <c r="C2998" s="51"/>
      <c r="D2998" s="51"/>
    </row>
    <row r="2999" spans="3:4" x14ac:dyDescent="0.35">
      <c r="C2999" s="51"/>
      <c r="D2999" s="51"/>
    </row>
    <row r="3000" spans="3:4" x14ac:dyDescent="0.35">
      <c r="C3000" s="51"/>
      <c r="D3000" s="51"/>
    </row>
    <row r="3001" spans="3:4" x14ac:dyDescent="0.35">
      <c r="C3001" s="51"/>
      <c r="D3001" s="51"/>
    </row>
    <row r="3002" spans="3:4" x14ac:dyDescent="0.35">
      <c r="C3002" s="51"/>
      <c r="D3002" s="51"/>
    </row>
    <row r="3003" spans="3:4" x14ac:dyDescent="0.35">
      <c r="C3003" s="51"/>
      <c r="D3003" s="51"/>
    </row>
    <row r="3004" spans="3:4" x14ac:dyDescent="0.35">
      <c r="C3004" s="51"/>
      <c r="D3004" s="51"/>
    </row>
    <row r="3005" spans="3:4" x14ac:dyDescent="0.35">
      <c r="C3005" s="51"/>
      <c r="D3005" s="51"/>
    </row>
    <row r="3006" spans="3:4" x14ac:dyDescent="0.35">
      <c r="C3006" s="51"/>
      <c r="D3006" s="51"/>
    </row>
    <row r="3007" spans="3:4" x14ac:dyDescent="0.35">
      <c r="C3007" s="51"/>
      <c r="D3007" s="51"/>
    </row>
    <row r="3008" spans="3:4" x14ac:dyDescent="0.35">
      <c r="C3008" s="51"/>
      <c r="D3008" s="51"/>
    </row>
    <row r="3009" spans="3:4" x14ac:dyDescent="0.35">
      <c r="C3009" s="51"/>
      <c r="D3009" s="51"/>
    </row>
    <row r="3010" spans="3:4" x14ac:dyDescent="0.35">
      <c r="C3010" s="51"/>
      <c r="D3010" s="51"/>
    </row>
    <row r="3011" spans="3:4" x14ac:dyDescent="0.35">
      <c r="C3011" s="51"/>
      <c r="D3011" s="51"/>
    </row>
    <row r="3012" spans="3:4" x14ac:dyDescent="0.35">
      <c r="C3012" s="51"/>
      <c r="D3012" s="51"/>
    </row>
    <row r="3013" spans="3:4" x14ac:dyDescent="0.35">
      <c r="C3013" s="51"/>
      <c r="D3013" s="51"/>
    </row>
    <row r="3014" spans="3:4" x14ac:dyDescent="0.35">
      <c r="C3014" s="51"/>
      <c r="D3014" s="51"/>
    </row>
    <row r="3015" spans="3:4" x14ac:dyDescent="0.35">
      <c r="C3015" s="51"/>
      <c r="D3015" s="51"/>
    </row>
    <row r="3016" spans="3:4" x14ac:dyDescent="0.35">
      <c r="C3016" s="51"/>
      <c r="D3016" s="51"/>
    </row>
    <row r="3017" spans="3:4" x14ac:dyDescent="0.35">
      <c r="C3017" s="51"/>
      <c r="D3017" s="51"/>
    </row>
    <row r="3018" spans="3:4" x14ac:dyDescent="0.35">
      <c r="C3018" s="51"/>
      <c r="D3018" s="51"/>
    </row>
    <row r="3019" spans="3:4" x14ac:dyDescent="0.35">
      <c r="C3019" s="51"/>
      <c r="D3019" s="51"/>
    </row>
    <row r="3020" spans="3:4" x14ac:dyDescent="0.35">
      <c r="C3020" s="51"/>
      <c r="D3020" s="51"/>
    </row>
    <row r="3021" spans="3:4" x14ac:dyDescent="0.35">
      <c r="C3021" s="51"/>
      <c r="D3021" s="51"/>
    </row>
    <row r="3022" spans="3:4" x14ac:dyDescent="0.35">
      <c r="C3022" s="51"/>
      <c r="D3022" s="51"/>
    </row>
    <row r="3023" spans="3:4" x14ac:dyDescent="0.35">
      <c r="C3023" s="51"/>
      <c r="D3023" s="51"/>
    </row>
    <row r="3024" spans="3:4" x14ac:dyDescent="0.35">
      <c r="C3024" s="51"/>
      <c r="D3024" s="51"/>
    </row>
    <row r="3025" spans="3:4" x14ac:dyDescent="0.35">
      <c r="C3025" s="51"/>
      <c r="D3025" s="51"/>
    </row>
    <row r="3026" spans="3:4" x14ac:dyDescent="0.35">
      <c r="C3026" s="51"/>
      <c r="D3026" s="51"/>
    </row>
    <row r="3027" spans="3:4" x14ac:dyDescent="0.35">
      <c r="C3027" s="51"/>
      <c r="D3027" s="51"/>
    </row>
    <row r="3028" spans="3:4" x14ac:dyDescent="0.35">
      <c r="C3028" s="51"/>
      <c r="D3028" s="51"/>
    </row>
    <row r="3029" spans="3:4" x14ac:dyDescent="0.35">
      <c r="C3029" s="51"/>
      <c r="D3029" s="51"/>
    </row>
    <row r="3030" spans="3:4" x14ac:dyDescent="0.35">
      <c r="C3030" s="51"/>
      <c r="D3030" s="51"/>
    </row>
    <row r="3031" spans="3:4" x14ac:dyDescent="0.35">
      <c r="C3031" s="51"/>
      <c r="D3031" s="51"/>
    </row>
    <row r="3032" spans="3:4" x14ac:dyDescent="0.35">
      <c r="C3032" s="51"/>
      <c r="D3032" s="51"/>
    </row>
    <row r="3033" spans="3:4" x14ac:dyDescent="0.35">
      <c r="C3033" s="51"/>
      <c r="D3033" s="51"/>
    </row>
    <row r="3034" spans="3:4" x14ac:dyDescent="0.35">
      <c r="C3034" s="51"/>
      <c r="D3034" s="51"/>
    </row>
    <row r="3035" spans="3:4" x14ac:dyDescent="0.35">
      <c r="C3035" s="51"/>
      <c r="D3035" s="51"/>
    </row>
    <row r="3036" spans="3:4" x14ac:dyDescent="0.35">
      <c r="C3036" s="51"/>
      <c r="D3036" s="51"/>
    </row>
    <row r="3037" spans="3:4" x14ac:dyDescent="0.35">
      <c r="C3037" s="51"/>
      <c r="D3037" s="51"/>
    </row>
    <row r="3038" spans="3:4" x14ac:dyDescent="0.35">
      <c r="C3038" s="51"/>
      <c r="D3038" s="51"/>
    </row>
    <row r="3039" spans="3:4" x14ac:dyDescent="0.35">
      <c r="C3039" s="51"/>
      <c r="D3039" s="51"/>
    </row>
    <row r="3040" spans="3:4" x14ac:dyDescent="0.35">
      <c r="C3040" s="51"/>
      <c r="D3040" s="51"/>
    </row>
    <row r="3041" spans="3:4" x14ac:dyDescent="0.35">
      <c r="C3041" s="51"/>
      <c r="D3041" s="51"/>
    </row>
    <row r="3042" spans="3:4" x14ac:dyDescent="0.35">
      <c r="C3042" s="51"/>
      <c r="D3042" s="51"/>
    </row>
    <row r="3043" spans="3:4" x14ac:dyDescent="0.35">
      <c r="C3043" s="51"/>
      <c r="D3043" s="51"/>
    </row>
    <row r="3044" spans="3:4" x14ac:dyDescent="0.35">
      <c r="C3044" s="51"/>
      <c r="D3044" s="51"/>
    </row>
    <row r="3045" spans="3:4" x14ac:dyDescent="0.35">
      <c r="C3045" s="51"/>
      <c r="D3045" s="51"/>
    </row>
    <row r="3046" spans="3:4" x14ac:dyDescent="0.35">
      <c r="C3046" s="51"/>
      <c r="D3046" s="51"/>
    </row>
    <row r="3047" spans="3:4" x14ac:dyDescent="0.35">
      <c r="C3047" s="51"/>
      <c r="D3047" s="51"/>
    </row>
    <row r="3048" spans="3:4" x14ac:dyDescent="0.35">
      <c r="C3048" s="51"/>
      <c r="D3048" s="51"/>
    </row>
    <row r="3049" spans="3:4" x14ac:dyDescent="0.35">
      <c r="C3049" s="51"/>
      <c r="D3049" s="51"/>
    </row>
    <row r="3050" spans="3:4" x14ac:dyDescent="0.35">
      <c r="C3050" s="51"/>
      <c r="D3050" s="51"/>
    </row>
    <row r="3051" spans="3:4" x14ac:dyDescent="0.35">
      <c r="C3051" s="51"/>
      <c r="D3051" s="51"/>
    </row>
    <row r="3052" spans="3:4" x14ac:dyDescent="0.35">
      <c r="C3052" s="51"/>
      <c r="D3052" s="51"/>
    </row>
    <row r="3053" spans="3:4" x14ac:dyDescent="0.35">
      <c r="C3053" s="51"/>
      <c r="D3053" s="51"/>
    </row>
    <row r="3054" spans="3:4" x14ac:dyDescent="0.35">
      <c r="C3054" s="51"/>
      <c r="D3054" s="51"/>
    </row>
    <row r="3055" spans="3:4" x14ac:dyDescent="0.35">
      <c r="C3055" s="51"/>
      <c r="D3055" s="51"/>
    </row>
    <row r="3056" spans="3:4" x14ac:dyDescent="0.35">
      <c r="C3056" s="51"/>
      <c r="D3056" s="51"/>
    </row>
    <row r="3057" spans="3:4" x14ac:dyDescent="0.35">
      <c r="C3057" s="51"/>
      <c r="D3057" s="51"/>
    </row>
    <row r="3058" spans="3:4" x14ac:dyDescent="0.35">
      <c r="C3058" s="51"/>
      <c r="D3058" s="51"/>
    </row>
    <row r="3059" spans="3:4" x14ac:dyDescent="0.35">
      <c r="C3059" s="51"/>
      <c r="D3059" s="51"/>
    </row>
    <row r="3060" spans="3:4" x14ac:dyDescent="0.35">
      <c r="C3060" s="51"/>
      <c r="D3060" s="51"/>
    </row>
    <row r="3061" spans="3:4" x14ac:dyDescent="0.35">
      <c r="C3061" s="51"/>
      <c r="D3061" s="51"/>
    </row>
    <row r="3062" spans="3:4" x14ac:dyDescent="0.35">
      <c r="C3062" s="51"/>
      <c r="D3062" s="51"/>
    </row>
    <row r="3063" spans="3:4" x14ac:dyDescent="0.35">
      <c r="C3063" s="51"/>
      <c r="D3063" s="51"/>
    </row>
    <row r="3064" spans="3:4" x14ac:dyDescent="0.35">
      <c r="C3064" s="51"/>
      <c r="D3064" s="51"/>
    </row>
    <row r="3065" spans="3:4" x14ac:dyDescent="0.35">
      <c r="C3065" s="51"/>
      <c r="D3065" s="51"/>
    </row>
    <row r="3066" spans="3:4" x14ac:dyDescent="0.35">
      <c r="C3066" s="51"/>
      <c r="D3066" s="51"/>
    </row>
    <row r="3067" spans="3:4" x14ac:dyDescent="0.35">
      <c r="C3067" s="51"/>
      <c r="D3067" s="51"/>
    </row>
    <row r="3068" spans="3:4" x14ac:dyDescent="0.35">
      <c r="C3068" s="51"/>
      <c r="D3068" s="51"/>
    </row>
    <row r="3069" spans="3:4" x14ac:dyDescent="0.35">
      <c r="C3069" s="51"/>
      <c r="D3069" s="51"/>
    </row>
    <row r="3070" spans="3:4" x14ac:dyDescent="0.35">
      <c r="C3070" s="51"/>
      <c r="D3070" s="51"/>
    </row>
    <row r="3071" spans="3:4" x14ac:dyDescent="0.35">
      <c r="C3071" s="51"/>
      <c r="D3071" s="51"/>
    </row>
    <row r="3072" spans="3:4" x14ac:dyDescent="0.35">
      <c r="C3072" s="51"/>
      <c r="D3072" s="51"/>
    </row>
    <row r="3073" spans="3:4" x14ac:dyDescent="0.35">
      <c r="C3073" s="51"/>
      <c r="D3073" s="51"/>
    </row>
    <row r="3074" spans="3:4" x14ac:dyDescent="0.35">
      <c r="C3074" s="51"/>
      <c r="D3074" s="51"/>
    </row>
    <row r="3075" spans="3:4" x14ac:dyDescent="0.35">
      <c r="C3075" s="51"/>
      <c r="D3075" s="51"/>
    </row>
    <row r="3076" spans="3:4" x14ac:dyDescent="0.35">
      <c r="C3076" s="51"/>
      <c r="D3076" s="51"/>
    </row>
    <row r="3077" spans="3:4" x14ac:dyDescent="0.35">
      <c r="C3077" s="51"/>
      <c r="D3077" s="51"/>
    </row>
    <row r="3078" spans="3:4" x14ac:dyDescent="0.35">
      <c r="C3078" s="51"/>
      <c r="D3078" s="51"/>
    </row>
    <row r="3079" spans="3:4" x14ac:dyDescent="0.35">
      <c r="C3079" s="51"/>
      <c r="D3079" s="51"/>
    </row>
    <row r="3080" spans="3:4" x14ac:dyDescent="0.35">
      <c r="C3080" s="51"/>
      <c r="D3080" s="51"/>
    </row>
    <row r="3081" spans="3:4" x14ac:dyDescent="0.35">
      <c r="C3081" s="51"/>
      <c r="D3081" s="51"/>
    </row>
    <row r="3082" spans="3:4" x14ac:dyDescent="0.35">
      <c r="C3082" s="51"/>
      <c r="D3082" s="51"/>
    </row>
    <row r="3083" spans="3:4" x14ac:dyDescent="0.35">
      <c r="C3083" s="51"/>
      <c r="D3083" s="51"/>
    </row>
    <row r="3084" spans="3:4" x14ac:dyDescent="0.35">
      <c r="C3084" s="51"/>
      <c r="D3084" s="51"/>
    </row>
    <row r="3085" spans="3:4" x14ac:dyDescent="0.35">
      <c r="C3085" s="51"/>
      <c r="D3085" s="51"/>
    </row>
    <row r="3086" spans="3:4" x14ac:dyDescent="0.35">
      <c r="C3086" s="51"/>
      <c r="D3086" s="51"/>
    </row>
    <row r="3087" spans="3:4" x14ac:dyDescent="0.35">
      <c r="C3087" s="51"/>
      <c r="D3087" s="51"/>
    </row>
    <row r="3088" spans="3:4" x14ac:dyDescent="0.35">
      <c r="C3088" s="51"/>
      <c r="D3088" s="51"/>
    </row>
    <row r="3089" spans="3:4" x14ac:dyDescent="0.35">
      <c r="C3089" s="51"/>
      <c r="D3089" s="51"/>
    </row>
    <row r="3090" spans="3:4" x14ac:dyDescent="0.35">
      <c r="C3090" s="51"/>
      <c r="D3090" s="51"/>
    </row>
    <row r="3091" spans="3:4" x14ac:dyDescent="0.35">
      <c r="C3091" s="51"/>
      <c r="D3091" s="51"/>
    </row>
    <row r="3092" spans="3:4" x14ac:dyDescent="0.35">
      <c r="C3092" s="51"/>
      <c r="D3092" s="51"/>
    </row>
    <row r="3093" spans="3:4" x14ac:dyDescent="0.35">
      <c r="C3093" s="51"/>
      <c r="D3093" s="51"/>
    </row>
    <row r="3094" spans="3:4" x14ac:dyDescent="0.35">
      <c r="C3094" s="51"/>
      <c r="D3094" s="51"/>
    </row>
    <row r="3095" spans="3:4" x14ac:dyDescent="0.35">
      <c r="C3095" s="51"/>
      <c r="D3095" s="51"/>
    </row>
    <row r="3096" spans="3:4" x14ac:dyDescent="0.35">
      <c r="C3096" s="51"/>
      <c r="D3096" s="51"/>
    </row>
    <row r="3097" spans="3:4" x14ac:dyDescent="0.35">
      <c r="C3097" s="51"/>
      <c r="D3097" s="51"/>
    </row>
    <row r="3098" spans="3:4" x14ac:dyDescent="0.35">
      <c r="C3098" s="51"/>
      <c r="D3098" s="51"/>
    </row>
    <row r="3099" spans="3:4" x14ac:dyDescent="0.35">
      <c r="C3099" s="51"/>
      <c r="D3099" s="51"/>
    </row>
    <row r="3100" spans="3:4" x14ac:dyDescent="0.35">
      <c r="C3100" s="51"/>
      <c r="D3100" s="51"/>
    </row>
    <row r="3101" spans="3:4" x14ac:dyDescent="0.35">
      <c r="C3101" s="51"/>
      <c r="D3101" s="51"/>
    </row>
    <row r="3102" spans="3:4" x14ac:dyDescent="0.35">
      <c r="C3102" s="51"/>
      <c r="D3102" s="51"/>
    </row>
    <row r="3103" spans="3:4" x14ac:dyDescent="0.35">
      <c r="C3103" s="51"/>
      <c r="D3103" s="51"/>
    </row>
    <row r="3104" spans="3:4" x14ac:dyDescent="0.35">
      <c r="C3104" s="51"/>
      <c r="D3104" s="51"/>
    </row>
    <row r="3105" spans="3:4" x14ac:dyDescent="0.35">
      <c r="C3105" s="51"/>
      <c r="D3105" s="51"/>
    </row>
    <row r="3106" spans="3:4" x14ac:dyDescent="0.35">
      <c r="C3106" s="51"/>
      <c r="D3106" s="51"/>
    </row>
    <row r="3107" spans="3:4" x14ac:dyDescent="0.35">
      <c r="C3107" s="51"/>
      <c r="D3107" s="51"/>
    </row>
    <row r="3108" spans="3:4" x14ac:dyDescent="0.35">
      <c r="C3108" s="51"/>
      <c r="D3108" s="51"/>
    </row>
    <row r="3109" spans="3:4" x14ac:dyDescent="0.35">
      <c r="C3109" s="51"/>
      <c r="D3109" s="51"/>
    </row>
    <row r="3110" spans="3:4" x14ac:dyDescent="0.35">
      <c r="C3110" s="51"/>
      <c r="D3110" s="51"/>
    </row>
    <row r="3111" spans="3:4" x14ac:dyDescent="0.35">
      <c r="C3111" s="51"/>
      <c r="D3111" s="51"/>
    </row>
    <row r="3112" spans="3:4" x14ac:dyDescent="0.35">
      <c r="C3112" s="51"/>
      <c r="D3112" s="51"/>
    </row>
    <row r="3113" spans="3:4" x14ac:dyDescent="0.35">
      <c r="C3113" s="51"/>
      <c r="D3113" s="51"/>
    </row>
    <row r="3114" spans="3:4" x14ac:dyDescent="0.35">
      <c r="C3114" s="51"/>
      <c r="D3114" s="51"/>
    </row>
    <row r="3115" spans="3:4" x14ac:dyDescent="0.35">
      <c r="C3115" s="51"/>
      <c r="D3115" s="51"/>
    </row>
    <row r="3116" spans="3:4" x14ac:dyDescent="0.35">
      <c r="C3116" s="51"/>
      <c r="D3116" s="51"/>
    </row>
    <row r="3117" spans="3:4" x14ac:dyDescent="0.35">
      <c r="C3117" s="51"/>
      <c r="D3117" s="51"/>
    </row>
    <row r="3118" spans="3:4" x14ac:dyDescent="0.35">
      <c r="C3118" s="51"/>
      <c r="D3118" s="51"/>
    </row>
    <row r="3119" spans="3:4" x14ac:dyDescent="0.35">
      <c r="C3119" s="51"/>
      <c r="D3119" s="51"/>
    </row>
    <row r="3120" spans="3:4" x14ac:dyDescent="0.35">
      <c r="C3120" s="51"/>
      <c r="D3120" s="51"/>
    </row>
    <row r="3121" spans="3:4" x14ac:dyDescent="0.35">
      <c r="C3121" s="51"/>
      <c r="D3121" s="51"/>
    </row>
    <row r="3122" spans="3:4" x14ac:dyDescent="0.35">
      <c r="C3122" s="51"/>
      <c r="D3122" s="51"/>
    </row>
    <row r="3123" spans="3:4" x14ac:dyDescent="0.35">
      <c r="C3123" s="51"/>
      <c r="D3123" s="51"/>
    </row>
    <row r="3124" spans="3:4" x14ac:dyDescent="0.35">
      <c r="C3124" s="51"/>
      <c r="D3124" s="51"/>
    </row>
    <row r="3125" spans="3:4" x14ac:dyDescent="0.35">
      <c r="C3125" s="51"/>
      <c r="D3125" s="51"/>
    </row>
    <row r="3126" spans="3:4" x14ac:dyDescent="0.35">
      <c r="C3126" s="51"/>
      <c r="D3126" s="51"/>
    </row>
    <row r="3127" spans="3:4" x14ac:dyDescent="0.35">
      <c r="C3127" s="51"/>
      <c r="D3127" s="51"/>
    </row>
    <row r="3128" spans="3:4" x14ac:dyDescent="0.35">
      <c r="C3128" s="51"/>
      <c r="D3128" s="51"/>
    </row>
    <row r="3129" spans="3:4" x14ac:dyDescent="0.35">
      <c r="C3129" s="51"/>
      <c r="D3129" s="51"/>
    </row>
    <row r="3130" spans="3:4" x14ac:dyDescent="0.35">
      <c r="C3130" s="51"/>
      <c r="D3130" s="51"/>
    </row>
    <row r="3131" spans="3:4" x14ac:dyDescent="0.35">
      <c r="C3131" s="51"/>
      <c r="D3131" s="51"/>
    </row>
    <row r="3132" spans="3:4" x14ac:dyDescent="0.35">
      <c r="C3132" s="51"/>
      <c r="D3132" s="51"/>
    </row>
    <row r="3133" spans="3:4" x14ac:dyDescent="0.35">
      <c r="C3133" s="51"/>
      <c r="D3133" s="51"/>
    </row>
    <row r="3134" spans="3:4" x14ac:dyDescent="0.35">
      <c r="C3134" s="51"/>
      <c r="D3134" s="51"/>
    </row>
    <row r="3135" spans="3:4" x14ac:dyDescent="0.35">
      <c r="C3135" s="51"/>
      <c r="D3135" s="51"/>
    </row>
    <row r="3136" spans="3:4" x14ac:dyDescent="0.35">
      <c r="C3136" s="51"/>
      <c r="D3136" s="51"/>
    </row>
    <row r="3137" spans="3:4" x14ac:dyDescent="0.35">
      <c r="C3137" s="51"/>
      <c r="D3137" s="51"/>
    </row>
    <row r="3138" spans="3:4" x14ac:dyDescent="0.35">
      <c r="C3138" s="51"/>
      <c r="D3138" s="51"/>
    </row>
    <row r="3139" spans="3:4" x14ac:dyDescent="0.35">
      <c r="C3139" s="51"/>
      <c r="D3139" s="51"/>
    </row>
    <row r="3140" spans="3:4" x14ac:dyDescent="0.35">
      <c r="C3140" s="51"/>
      <c r="D3140" s="51"/>
    </row>
    <row r="3141" spans="3:4" x14ac:dyDescent="0.35">
      <c r="C3141" s="51"/>
      <c r="D3141" s="51"/>
    </row>
    <row r="3142" spans="3:4" x14ac:dyDescent="0.35">
      <c r="C3142" s="51"/>
      <c r="D3142" s="51"/>
    </row>
    <row r="3143" spans="3:4" x14ac:dyDescent="0.35">
      <c r="C3143" s="51"/>
      <c r="D3143" s="51"/>
    </row>
    <row r="3144" spans="3:4" x14ac:dyDescent="0.35">
      <c r="C3144" s="51"/>
      <c r="D3144" s="51"/>
    </row>
    <row r="3145" spans="3:4" x14ac:dyDescent="0.35">
      <c r="C3145" s="51"/>
      <c r="D3145" s="51"/>
    </row>
    <row r="3146" spans="3:4" x14ac:dyDescent="0.35">
      <c r="C3146" s="51"/>
      <c r="D3146" s="51"/>
    </row>
    <row r="3147" spans="3:4" x14ac:dyDescent="0.35">
      <c r="C3147" s="51"/>
      <c r="D3147" s="51"/>
    </row>
    <row r="3148" spans="3:4" x14ac:dyDescent="0.35">
      <c r="C3148" s="51"/>
      <c r="D3148" s="51"/>
    </row>
    <row r="3149" spans="3:4" x14ac:dyDescent="0.35">
      <c r="C3149" s="51"/>
      <c r="D3149" s="51"/>
    </row>
    <row r="3150" spans="3:4" x14ac:dyDescent="0.35">
      <c r="C3150" s="51"/>
      <c r="D3150" s="51"/>
    </row>
    <row r="3151" spans="3:4" x14ac:dyDescent="0.35">
      <c r="C3151" s="51"/>
      <c r="D3151" s="51"/>
    </row>
    <row r="3152" spans="3:4" x14ac:dyDescent="0.35">
      <c r="C3152" s="51"/>
      <c r="D3152" s="51"/>
    </row>
    <row r="3153" spans="3:4" x14ac:dyDescent="0.35">
      <c r="C3153" s="51"/>
      <c r="D3153" s="51"/>
    </row>
    <row r="3154" spans="3:4" x14ac:dyDescent="0.35">
      <c r="C3154" s="51"/>
      <c r="D3154" s="51"/>
    </row>
    <row r="3155" spans="3:4" x14ac:dyDescent="0.35">
      <c r="C3155" s="51"/>
      <c r="D3155" s="51"/>
    </row>
    <row r="3156" spans="3:4" x14ac:dyDescent="0.35">
      <c r="C3156" s="51"/>
      <c r="D3156" s="51"/>
    </row>
    <row r="3157" spans="3:4" x14ac:dyDescent="0.35">
      <c r="C3157" s="51"/>
      <c r="D3157" s="51"/>
    </row>
    <row r="3158" spans="3:4" x14ac:dyDescent="0.35">
      <c r="C3158" s="51"/>
      <c r="D3158" s="51"/>
    </row>
    <row r="3159" spans="3:4" x14ac:dyDescent="0.35">
      <c r="C3159" s="51"/>
      <c r="D3159" s="51"/>
    </row>
    <row r="3160" spans="3:4" x14ac:dyDescent="0.35">
      <c r="C3160" s="51"/>
      <c r="D3160" s="51"/>
    </row>
    <row r="3161" spans="3:4" x14ac:dyDescent="0.35">
      <c r="C3161" s="51"/>
      <c r="D3161" s="51"/>
    </row>
    <row r="3162" spans="3:4" x14ac:dyDescent="0.35">
      <c r="C3162" s="51"/>
      <c r="D3162" s="51"/>
    </row>
    <row r="3163" spans="3:4" x14ac:dyDescent="0.35">
      <c r="C3163" s="51"/>
      <c r="D3163" s="51"/>
    </row>
    <row r="3164" spans="3:4" x14ac:dyDescent="0.35">
      <c r="C3164" s="51"/>
      <c r="D3164" s="51"/>
    </row>
    <row r="3165" spans="3:4" x14ac:dyDescent="0.35">
      <c r="C3165" s="51"/>
      <c r="D3165" s="51"/>
    </row>
    <row r="3166" spans="3:4" x14ac:dyDescent="0.35">
      <c r="C3166" s="51"/>
      <c r="D3166" s="51"/>
    </row>
    <row r="3167" spans="3:4" x14ac:dyDescent="0.35">
      <c r="C3167" s="51"/>
      <c r="D3167" s="51"/>
    </row>
    <row r="3168" spans="3:4" x14ac:dyDescent="0.35">
      <c r="C3168" s="51"/>
      <c r="D3168" s="51"/>
    </row>
    <row r="3169" spans="3:4" x14ac:dyDescent="0.35">
      <c r="C3169" s="51"/>
      <c r="D3169" s="51"/>
    </row>
    <row r="3170" spans="3:4" x14ac:dyDescent="0.35">
      <c r="C3170" s="51"/>
      <c r="D3170" s="51"/>
    </row>
    <row r="3171" spans="3:4" x14ac:dyDescent="0.35">
      <c r="C3171" s="51"/>
      <c r="D3171" s="51"/>
    </row>
    <row r="3172" spans="3:4" x14ac:dyDescent="0.35">
      <c r="C3172" s="51"/>
      <c r="D3172" s="51"/>
    </row>
    <row r="3173" spans="3:4" x14ac:dyDescent="0.35">
      <c r="C3173" s="51"/>
      <c r="D3173" s="51"/>
    </row>
    <row r="3174" spans="3:4" x14ac:dyDescent="0.35">
      <c r="C3174" s="51"/>
      <c r="D3174" s="51"/>
    </row>
    <row r="3175" spans="3:4" x14ac:dyDescent="0.35">
      <c r="C3175" s="51"/>
      <c r="D3175" s="51"/>
    </row>
    <row r="3176" spans="3:4" x14ac:dyDescent="0.35">
      <c r="C3176" s="51"/>
      <c r="D3176" s="51"/>
    </row>
    <row r="3177" spans="3:4" x14ac:dyDescent="0.35">
      <c r="C3177" s="51"/>
      <c r="D3177" s="51"/>
    </row>
    <row r="3178" spans="3:4" x14ac:dyDescent="0.35">
      <c r="C3178" s="51"/>
      <c r="D3178" s="51"/>
    </row>
    <row r="3179" spans="3:4" x14ac:dyDescent="0.35">
      <c r="C3179" s="51"/>
      <c r="D3179" s="51"/>
    </row>
    <row r="3180" spans="3:4" x14ac:dyDescent="0.35">
      <c r="C3180" s="51"/>
      <c r="D3180" s="51"/>
    </row>
    <row r="3181" spans="3:4" x14ac:dyDescent="0.35">
      <c r="C3181" s="51"/>
      <c r="D3181" s="51"/>
    </row>
    <row r="3182" spans="3:4" x14ac:dyDescent="0.35">
      <c r="C3182" s="51"/>
      <c r="D3182" s="51"/>
    </row>
    <row r="3183" spans="3:4" x14ac:dyDescent="0.35">
      <c r="C3183" s="51"/>
      <c r="D3183" s="51"/>
    </row>
    <row r="3184" spans="3:4" x14ac:dyDescent="0.35">
      <c r="C3184" s="51"/>
      <c r="D3184" s="51"/>
    </row>
    <row r="3185" spans="3:4" x14ac:dyDescent="0.35">
      <c r="C3185" s="51"/>
      <c r="D3185" s="51"/>
    </row>
    <row r="3186" spans="3:4" x14ac:dyDescent="0.35">
      <c r="C3186" s="51"/>
      <c r="D3186" s="51"/>
    </row>
    <row r="3187" spans="3:4" x14ac:dyDescent="0.35">
      <c r="C3187" s="51"/>
      <c r="D3187" s="51"/>
    </row>
    <row r="3188" spans="3:4" x14ac:dyDescent="0.35">
      <c r="C3188" s="51"/>
      <c r="D3188" s="51"/>
    </row>
    <row r="3189" spans="3:4" x14ac:dyDescent="0.35">
      <c r="C3189" s="51"/>
      <c r="D3189" s="51"/>
    </row>
    <row r="3190" spans="3:4" x14ac:dyDescent="0.35">
      <c r="C3190" s="51"/>
      <c r="D3190" s="51"/>
    </row>
    <row r="3191" spans="3:4" x14ac:dyDescent="0.35">
      <c r="C3191" s="51"/>
      <c r="D3191" s="51"/>
    </row>
    <row r="3192" spans="3:4" x14ac:dyDescent="0.35">
      <c r="C3192" s="51"/>
      <c r="D3192" s="51"/>
    </row>
    <row r="3193" spans="3:4" x14ac:dyDescent="0.35">
      <c r="C3193" s="51"/>
      <c r="D3193" s="51"/>
    </row>
    <row r="3194" spans="3:4" x14ac:dyDescent="0.35">
      <c r="C3194" s="51"/>
      <c r="D3194" s="51"/>
    </row>
    <row r="3195" spans="3:4" x14ac:dyDescent="0.35">
      <c r="C3195" s="51"/>
      <c r="D3195" s="51"/>
    </row>
    <row r="3196" spans="3:4" x14ac:dyDescent="0.35">
      <c r="C3196" s="51"/>
      <c r="D3196" s="51"/>
    </row>
    <row r="3197" spans="3:4" x14ac:dyDescent="0.35">
      <c r="C3197" s="51"/>
      <c r="D3197" s="51"/>
    </row>
    <row r="3198" spans="3:4" x14ac:dyDescent="0.35">
      <c r="C3198" s="51"/>
      <c r="D3198" s="51"/>
    </row>
    <row r="3199" spans="3:4" x14ac:dyDescent="0.35">
      <c r="C3199" s="51"/>
      <c r="D3199" s="51"/>
    </row>
    <row r="3200" spans="3:4" x14ac:dyDescent="0.35">
      <c r="C3200" s="51"/>
      <c r="D3200" s="51"/>
    </row>
    <row r="3201" spans="3:4" x14ac:dyDescent="0.35">
      <c r="C3201" s="51"/>
      <c r="D3201" s="51"/>
    </row>
    <row r="3202" spans="3:4" x14ac:dyDescent="0.35">
      <c r="C3202" s="51"/>
      <c r="D3202" s="51"/>
    </row>
    <row r="3203" spans="3:4" x14ac:dyDescent="0.35">
      <c r="C3203" s="51"/>
      <c r="D3203" s="51"/>
    </row>
    <row r="3204" spans="3:4" x14ac:dyDescent="0.35">
      <c r="C3204" s="51"/>
      <c r="D3204" s="51"/>
    </row>
    <row r="3205" spans="3:4" x14ac:dyDescent="0.35">
      <c r="C3205" s="51"/>
      <c r="D3205" s="51"/>
    </row>
    <row r="3206" spans="3:4" x14ac:dyDescent="0.35">
      <c r="C3206" s="51"/>
      <c r="D3206" s="51"/>
    </row>
    <row r="3207" spans="3:4" x14ac:dyDescent="0.35">
      <c r="C3207" s="51"/>
      <c r="D3207" s="51"/>
    </row>
    <row r="3208" spans="3:4" x14ac:dyDescent="0.35">
      <c r="C3208" s="51"/>
      <c r="D3208" s="51"/>
    </row>
    <row r="3209" spans="3:4" x14ac:dyDescent="0.35">
      <c r="C3209" s="51"/>
      <c r="D3209" s="51"/>
    </row>
    <row r="3210" spans="3:4" x14ac:dyDescent="0.35">
      <c r="C3210" s="51"/>
      <c r="D3210" s="51"/>
    </row>
    <row r="3211" spans="3:4" x14ac:dyDescent="0.35">
      <c r="C3211" s="51"/>
      <c r="D3211" s="51"/>
    </row>
    <row r="3212" spans="3:4" x14ac:dyDescent="0.35">
      <c r="C3212" s="51"/>
      <c r="D3212" s="51"/>
    </row>
    <row r="3213" spans="3:4" x14ac:dyDescent="0.35">
      <c r="C3213" s="51"/>
      <c r="D3213" s="51"/>
    </row>
    <row r="3214" spans="3:4" x14ac:dyDescent="0.35">
      <c r="C3214" s="51"/>
      <c r="D3214" s="51"/>
    </row>
    <row r="3215" spans="3:4" x14ac:dyDescent="0.35">
      <c r="C3215" s="51"/>
      <c r="D3215" s="51"/>
    </row>
    <row r="3216" spans="3:4" x14ac:dyDescent="0.35">
      <c r="C3216" s="51"/>
      <c r="D3216" s="51"/>
    </row>
    <row r="3217" spans="3:4" x14ac:dyDescent="0.35">
      <c r="C3217" s="51"/>
      <c r="D3217" s="51"/>
    </row>
    <row r="3218" spans="3:4" x14ac:dyDescent="0.35">
      <c r="C3218" s="51"/>
      <c r="D3218" s="51"/>
    </row>
    <row r="3219" spans="3:4" x14ac:dyDescent="0.35">
      <c r="C3219" s="51"/>
      <c r="D3219" s="51"/>
    </row>
    <row r="3220" spans="3:4" x14ac:dyDescent="0.35">
      <c r="C3220" s="51"/>
      <c r="D3220" s="51"/>
    </row>
    <row r="3221" spans="3:4" x14ac:dyDescent="0.35">
      <c r="C3221" s="51"/>
      <c r="D3221" s="51"/>
    </row>
    <row r="3222" spans="3:4" x14ac:dyDescent="0.35">
      <c r="C3222" s="51"/>
      <c r="D3222" s="51"/>
    </row>
    <row r="3223" spans="3:4" x14ac:dyDescent="0.35">
      <c r="C3223" s="51"/>
      <c r="D3223" s="51"/>
    </row>
    <row r="3224" spans="3:4" x14ac:dyDescent="0.35">
      <c r="C3224" s="51"/>
      <c r="D3224" s="51"/>
    </row>
    <row r="3225" spans="3:4" x14ac:dyDescent="0.35">
      <c r="C3225" s="51"/>
      <c r="D3225" s="51"/>
    </row>
    <row r="3226" spans="3:4" x14ac:dyDescent="0.35">
      <c r="C3226" s="51"/>
      <c r="D3226" s="51"/>
    </row>
    <row r="3227" spans="3:4" x14ac:dyDescent="0.35">
      <c r="C3227" s="51"/>
      <c r="D3227" s="51"/>
    </row>
    <row r="3228" spans="3:4" x14ac:dyDescent="0.35">
      <c r="C3228" s="51"/>
      <c r="D3228" s="51"/>
    </row>
    <row r="3229" spans="3:4" x14ac:dyDescent="0.35">
      <c r="C3229" s="51"/>
      <c r="D3229" s="51"/>
    </row>
    <row r="3230" spans="3:4" x14ac:dyDescent="0.35">
      <c r="C3230" s="51"/>
      <c r="D3230" s="51"/>
    </row>
    <row r="3231" spans="3:4" x14ac:dyDescent="0.35">
      <c r="C3231" s="51"/>
      <c r="D3231" s="51"/>
    </row>
    <row r="3232" spans="3:4" x14ac:dyDescent="0.35">
      <c r="C3232" s="51"/>
      <c r="D3232" s="51"/>
    </row>
    <row r="3233" spans="3:4" x14ac:dyDescent="0.35">
      <c r="C3233" s="51"/>
      <c r="D3233" s="51"/>
    </row>
    <row r="3234" spans="3:4" x14ac:dyDescent="0.35">
      <c r="C3234" s="51"/>
      <c r="D3234" s="51"/>
    </row>
    <row r="3235" spans="3:4" x14ac:dyDescent="0.35">
      <c r="C3235" s="51"/>
      <c r="D3235" s="51"/>
    </row>
    <row r="3236" spans="3:4" x14ac:dyDescent="0.35">
      <c r="C3236" s="51"/>
      <c r="D3236" s="51"/>
    </row>
    <row r="3237" spans="3:4" x14ac:dyDescent="0.35">
      <c r="C3237" s="51"/>
      <c r="D3237" s="51"/>
    </row>
    <row r="3238" spans="3:4" x14ac:dyDescent="0.35">
      <c r="C3238" s="51"/>
      <c r="D3238" s="51"/>
    </row>
    <row r="3239" spans="3:4" x14ac:dyDescent="0.35">
      <c r="C3239" s="51"/>
      <c r="D3239" s="51"/>
    </row>
    <row r="3240" spans="3:4" x14ac:dyDescent="0.35">
      <c r="C3240" s="51"/>
      <c r="D3240" s="51"/>
    </row>
    <row r="3241" spans="3:4" x14ac:dyDescent="0.35">
      <c r="C3241" s="51"/>
      <c r="D3241" s="51"/>
    </row>
    <row r="3242" spans="3:4" x14ac:dyDescent="0.35">
      <c r="C3242" s="51"/>
      <c r="D3242" s="51"/>
    </row>
    <row r="3243" spans="3:4" x14ac:dyDescent="0.35">
      <c r="C3243" s="51"/>
      <c r="D3243" s="51"/>
    </row>
    <row r="3244" spans="3:4" x14ac:dyDescent="0.35">
      <c r="C3244" s="51"/>
      <c r="D3244" s="51"/>
    </row>
    <row r="3245" spans="3:4" x14ac:dyDescent="0.35">
      <c r="C3245" s="51"/>
      <c r="D3245" s="51"/>
    </row>
    <row r="3246" spans="3:4" x14ac:dyDescent="0.35">
      <c r="C3246" s="51"/>
      <c r="D3246" s="51"/>
    </row>
    <row r="3247" spans="3:4" x14ac:dyDescent="0.35">
      <c r="C3247" s="51"/>
      <c r="D3247" s="51"/>
    </row>
    <row r="3248" spans="3:4" x14ac:dyDescent="0.35">
      <c r="C3248" s="51"/>
      <c r="D3248" s="51"/>
    </row>
    <row r="3249" spans="3:4" x14ac:dyDescent="0.35">
      <c r="C3249" s="51"/>
      <c r="D3249" s="51"/>
    </row>
    <row r="3250" spans="3:4" x14ac:dyDescent="0.35">
      <c r="C3250" s="51"/>
      <c r="D3250" s="51"/>
    </row>
    <row r="3251" spans="3:4" x14ac:dyDescent="0.35">
      <c r="C3251" s="51"/>
      <c r="D3251" s="51"/>
    </row>
    <row r="3252" spans="3:4" x14ac:dyDescent="0.35">
      <c r="C3252" s="51"/>
      <c r="D3252" s="51"/>
    </row>
    <row r="3253" spans="3:4" x14ac:dyDescent="0.35">
      <c r="C3253" s="51"/>
      <c r="D3253" s="51"/>
    </row>
    <row r="3254" spans="3:4" x14ac:dyDescent="0.35">
      <c r="C3254" s="51"/>
      <c r="D3254" s="51"/>
    </row>
    <row r="3255" spans="3:4" x14ac:dyDescent="0.35">
      <c r="C3255" s="51"/>
      <c r="D3255" s="51"/>
    </row>
    <row r="3256" spans="3:4" x14ac:dyDescent="0.35">
      <c r="C3256" s="51"/>
      <c r="D3256" s="51"/>
    </row>
    <row r="3257" spans="3:4" x14ac:dyDescent="0.35">
      <c r="C3257" s="51"/>
      <c r="D3257" s="51"/>
    </row>
    <row r="3258" spans="3:4" x14ac:dyDescent="0.35">
      <c r="C3258" s="51"/>
      <c r="D3258" s="51"/>
    </row>
    <row r="3259" spans="3:4" x14ac:dyDescent="0.35">
      <c r="C3259" s="51"/>
      <c r="D3259" s="51"/>
    </row>
    <row r="3260" spans="3:4" x14ac:dyDescent="0.35">
      <c r="C3260" s="51"/>
      <c r="D3260" s="51"/>
    </row>
    <row r="3261" spans="3:4" x14ac:dyDescent="0.35">
      <c r="C3261" s="51"/>
      <c r="D3261" s="51"/>
    </row>
    <row r="3262" spans="3:4" x14ac:dyDescent="0.35">
      <c r="C3262" s="51"/>
      <c r="D3262" s="51"/>
    </row>
    <row r="3263" spans="3:4" x14ac:dyDescent="0.35">
      <c r="C3263" s="51"/>
      <c r="D3263" s="51"/>
    </row>
    <row r="3264" spans="3:4" x14ac:dyDescent="0.35">
      <c r="C3264" s="51"/>
      <c r="D3264" s="51"/>
    </row>
    <row r="3265" spans="3:4" x14ac:dyDescent="0.35">
      <c r="C3265" s="51"/>
      <c r="D3265" s="51"/>
    </row>
    <row r="3266" spans="3:4" x14ac:dyDescent="0.35">
      <c r="C3266" s="51"/>
      <c r="D3266" s="51"/>
    </row>
    <row r="3267" spans="3:4" x14ac:dyDescent="0.35">
      <c r="C3267" s="51"/>
      <c r="D3267" s="51"/>
    </row>
    <row r="3268" spans="3:4" x14ac:dyDescent="0.35">
      <c r="C3268" s="51"/>
      <c r="D3268" s="51"/>
    </row>
    <row r="3269" spans="3:4" x14ac:dyDescent="0.35">
      <c r="C3269" s="51"/>
      <c r="D3269" s="51"/>
    </row>
    <row r="3270" spans="3:4" x14ac:dyDescent="0.35">
      <c r="C3270" s="51"/>
      <c r="D3270" s="51"/>
    </row>
    <row r="3271" spans="3:4" x14ac:dyDescent="0.35">
      <c r="C3271" s="51"/>
      <c r="D3271" s="51"/>
    </row>
    <row r="3272" spans="3:4" x14ac:dyDescent="0.35">
      <c r="C3272" s="51"/>
      <c r="D3272" s="51"/>
    </row>
    <row r="3273" spans="3:4" x14ac:dyDescent="0.35">
      <c r="C3273" s="51"/>
      <c r="D3273" s="51"/>
    </row>
    <row r="3274" spans="3:4" x14ac:dyDescent="0.35">
      <c r="C3274" s="51"/>
      <c r="D3274" s="51"/>
    </row>
    <row r="3275" spans="3:4" x14ac:dyDescent="0.35">
      <c r="C3275" s="51"/>
      <c r="D3275" s="51"/>
    </row>
    <row r="3276" spans="3:4" x14ac:dyDescent="0.35">
      <c r="C3276" s="51"/>
      <c r="D3276" s="51"/>
    </row>
    <row r="3277" spans="3:4" x14ac:dyDescent="0.35">
      <c r="C3277" s="51"/>
      <c r="D3277" s="51"/>
    </row>
    <row r="3278" spans="3:4" x14ac:dyDescent="0.35">
      <c r="C3278" s="51"/>
      <c r="D3278" s="51"/>
    </row>
    <row r="3279" spans="3:4" x14ac:dyDescent="0.35">
      <c r="C3279" s="51"/>
      <c r="D3279" s="51"/>
    </row>
    <row r="3280" spans="3:4" x14ac:dyDescent="0.35">
      <c r="C3280" s="51"/>
      <c r="D3280" s="51"/>
    </row>
    <row r="3281" spans="3:4" x14ac:dyDescent="0.35">
      <c r="C3281" s="51"/>
      <c r="D3281" s="51"/>
    </row>
    <row r="3282" spans="3:4" x14ac:dyDescent="0.35">
      <c r="C3282" s="51"/>
      <c r="D3282" s="51"/>
    </row>
    <row r="3283" spans="3:4" x14ac:dyDescent="0.35">
      <c r="C3283" s="51"/>
      <c r="D3283" s="51"/>
    </row>
    <row r="3284" spans="3:4" x14ac:dyDescent="0.35">
      <c r="C3284" s="51"/>
      <c r="D3284" s="51"/>
    </row>
    <row r="3285" spans="3:4" x14ac:dyDescent="0.35">
      <c r="C3285" s="51"/>
      <c r="D3285" s="51"/>
    </row>
    <row r="3286" spans="3:4" x14ac:dyDescent="0.35">
      <c r="C3286" s="51"/>
      <c r="D3286" s="51"/>
    </row>
    <row r="3287" spans="3:4" x14ac:dyDescent="0.35">
      <c r="C3287" s="51"/>
      <c r="D3287" s="51"/>
    </row>
    <row r="3288" spans="3:4" x14ac:dyDescent="0.35">
      <c r="C3288" s="51"/>
      <c r="D3288" s="51"/>
    </row>
    <row r="3289" spans="3:4" x14ac:dyDescent="0.35">
      <c r="C3289" s="51"/>
      <c r="D3289" s="51"/>
    </row>
    <row r="3290" spans="3:4" x14ac:dyDescent="0.35">
      <c r="C3290" s="51"/>
      <c r="D3290" s="51"/>
    </row>
    <row r="3291" spans="3:4" x14ac:dyDescent="0.35">
      <c r="C3291" s="51"/>
      <c r="D3291" s="51"/>
    </row>
    <row r="3292" spans="3:4" x14ac:dyDescent="0.35">
      <c r="C3292" s="51"/>
      <c r="D3292" s="51"/>
    </row>
    <row r="3293" spans="3:4" x14ac:dyDescent="0.35">
      <c r="C3293" s="51"/>
      <c r="D3293" s="51"/>
    </row>
    <row r="3294" spans="3:4" x14ac:dyDescent="0.35">
      <c r="C3294" s="51"/>
      <c r="D3294" s="51"/>
    </row>
    <row r="3295" spans="3:4" x14ac:dyDescent="0.35">
      <c r="C3295" s="51"/>
      <c r="D3295" s="51"/>
    </row>
    <row r="3296" spans="3:4" x14ac:dyDescent="0.35">
      <c r="C3296" s="51"/>
      <c r="D3296" s="51"/>
    </row>
    <row r="3297" spans="3:4" x14ac:dyDescent="0.35">
      <c r="C3297" s="51"/>
      <c r="D3297" s="51"/>
    </row>
    <row r="3298" spans="3:4" x14ac:dyDescent="0.35">
      <c r="C3298" s="51"/>
      <c r="D3298" s="51"/>
    </row>
    <row r="3299" spans="3:4" x14ac:dyDescent="0.35">
      <c r="C3299" s="51"/>
      <c r="D3299" s="51"/>
    </row>
    <row r="3300" spans="3:4" x14ac:dyDescent="0.35">
      <c r="C3300" s="51"/>
      <c r="D3300" s="51"/>
    </row>
    <row r="3301" spans="3:4" x14ac:dyDescent="0.35">
      <c r="C3301" s="51"/>
      <c r="D3301" s="51"/>
    </row>
    <row r="3302" spans="3:4" x14ac:dyDescent="0.35">
      <c r="C3302" s="51"/>
      <c r="D3302" s="51"/>
    </row>
    <row r="3303" spans="3:4" x14ac:dyDescent="0.35">
      <c r="C3303" s="51"/>
      <c r="D3303" s="51"/>
    </row>
    <row r="3304" spans="3:4" x14ac:dyDescent="0.35">
      <c r="C3304" s="51"/>
      <c r="D3304" s="51"/>
    </row>
    <row r="3305" spans="3:4" x14ac:dyDescent="0.35">
      <c r="C3305" s="51"/>
      <c r="D3305" s="51"/>
    </row>
    <row r="3306" spans="3:4" x14ac:dyDescent="0.35">
      <c r="C3306" s="51"/>
      <c r="D3306" s="51"/>
    </row>
    <row r="3307" spans="3:4" x14ac:dyDescent="0.35">
      <c r="C3307" s="51"/>
      <c r="D3307" s="51"/>
    </row>
    <row r="3308" spans="3:4" x14ac:dyDescent="0.35">
      <c r="C3308" s="51"/>
      <c r="D3308" s="51"/>
    </row>
    <row r="3309" spans="3:4" x14ac:dyDescent="0.35">
      <c r="C3309" s="51"/>
      <c r="D3309" s="51"/>
    </row>
    <row r="3310" spans="3:4" x14ac:dyDescent="0.35">
      <c r="C3310" s="51"/>
      <c r="D3310" s="51"/>
    </row>
    <row r="3311" spans="3:4" x14ac:dyDescent="0.35">
      <c r="C3311" s="51"/>
      <c r="D3311" s="51"/>
    </row>
    <row r="3312" spans="3:4" x14ac:dyDescent="0.35">
      <c r="C3312" s="51"/>
      <c r="D3312" s="51"/>
    </row>
    <row r="3313" spans="3:4" x14ac:dyDescent="0.35">
      <c r="C3313" s="51"/>
      <c r="D3313" s="51"/>
    </row>
    <row r="3314" spans="3:4" x14ac:dyDescent="0.35">
      <c r="C3314" s="51"/>
      <c r="D3314" s="51"/>
    </row>
    <row r="3315" spans="3:4" x14ac:dyDescent="0.35">
      <c r="C3315" s="51"/>
      <c r="D3315" s="51"/>
    </row>
    <row r="3316" spans="3:4" x14ac:dyDescent="0.35">
      <c r="C3316" s="51"/>
      <c r="D3316" s="51"/>
    </row>
    <row r="3317" spans="3:4" x14ac:dyDescent="0.35">
      <c r="C3317" s="51"/>
      <c r="D3317" s="51"/>
    </row>
    <row r="3318" spans="3:4" x14ac:dyDescent="0.35">
      <c r="C3318" s="51"/>
      <c r="D3318" s="51"/>
    </row>
    <row r="3319" spans="3:4" x14ac:dyDescent="0.35">
      <c r="C3319" s="51"/>
      <c r="D3319" s="51"/>
    </row>
    <row r="3320" spans="3:4" x14ac:dyDescent="0.35">
      <c r="C3320" s="51"/>
      <c r="D3320" s="51"/>
    </row>
    <row r="3321" spans="3:4" x14ac:dyDescent="0.35">
      <c r="C3321" s="51"/>
      <c r="D3321" s="51"/>
    </row>
    <row r="3322" spans="3:4" x14ac:dyDescent="0.35">
      <c r="C3322" s="51"/>
      <c r="D3322" s="51"/>
    </row>
    <row r="3323" spans="3:4" x14ac:dyDescent="0.35">
      <c r="C3323" s="51"/>
      <c r="D3323" s="51"/>
    </row>
    <row r="3324" spans="3:4" x14ac:dyDescent="0.35">
      <c r="C3324" s="51"/>
      <c r="D3324" s="51"/>
    </row>
    <row r="3325" spans="3:4" x14ac:dyDescent="0.35">
      <c r="C3325" s="51"/>
      <c r="D3325" s="51"/>
    </row>
    <row r="3326" spans="3:4" x14ac:dyDescent="0.35">
      <c r="C3326" s="51"/>
      <c r="D3326" s="51"/>
    </row>
    <row r="3327" spans="3:4" x14ac:dyDescent="0.35">
      <c r="C3327" s="51"/>
      <c r="D3327" s="51"/>
    </row>
    <row r="3328" spans="3:4" x14ac:dyDescent="0.35">
      <c r="C3328" s="51"/>
      <c r="D3328" s="51"/>
    </row>
    <row r="3329" spans="3:4" x14ac:dyDescent="0.35">
      <c r="C3329" s="51"/>
      <c r="D3329" s="51"/>
    </row>
    <row r="3330" spans="3:4" x14ac:dyDescent="0.35">
      <c r="C3330" s="51"/>
      <c r="D3330" s="51"/>
    </row>
    <row r="3331" spans="3:4" x14ac:dyDescent="0.35">
      <c r="C3331" s="51"/>
      <c r="D3331" s="51"/>
    </row>
    <row r="3332" spans="3:4" x14ac:dyDescent="0.35">
      <c r="C3332" s="51"/>
      <c r="D3332" s="51"/>
    </row>
    <row r="3333" spans="3:4" x14ac:dyDescent="0.35">
      <c r="C3333" s="51"/>
      <c r="D3333" s="51"/>
    </row>
    <row r="3334" spans="3:4" x14ac:dyDescent="0.35">
      <c r="C3334" s="51"/>
      <c r="D3334" s="51"/>
    </row>
    <row r="3335" spans="3:4" x14ac:dyDescent="0.35">
      <c r="C3335" s="51"/>
      <c r="D3335" s="51"/>
    </row>
    <row r="3336" spans="3:4" x14ac:dyDescent="0.35">
      <c r="C3336" s="51"/>
      <c r="D3336" s="51"/>
    </row>
    <row r="3337" spans="3:4" x14ac:dyDescent="0.35">
      <c r="C3337" s="51"/>
      <c r="D3337" s="51"/>
    </row>
    <row r="3338" spans="3:4" x14ac:dyDescent="0.35">
      <c r="C3338" s="51"/>
      <c r="D3338" s="51"/>
    </row>
    <row r="3339" spans="3:4" x14ac:dyDescent="0.35">
      <c r="C3339" s="51"/>
      <c r="D3339" s="51"/>
    </row>
    <row r="3340" spans="3:4" x14ac:dyDescent="0.35">
      <c r="C3340" s="51"/>
      <c r="D3340" s="51"/>
    </row>
    <row r="3341" spans="3:4" x14ac:dyDescent="0.35">
      <c r="C3341" s="51"/>
      <c r="D3341" s="51"/>
    </row>
    <row r="3342" spans="3:4" x14ac:dyDescent="0.35">
      <c r="C3342" s="51"/>
      <c r="D3342" s="51"/>
    </row>
    <row r="3343" spans="3:4" x14ac:dyDescent="0.35">
      <c r="C3343" s="51"/>
      <c r="D3343" s="51"/>
    </row>
    <row r="3344" spans="3:4" x14ac:dyDescent="0.35">
      <c r="C3344" s="51"/>
      <c r="D3344" s="51"/>
    </row>
    <row r="3345" spans="3:4" x14ac:dyDescent="0.35">
      <c r="C3345" s="51"/>
      <c r="D3345" s="51"/>
    </row>
    <row r="3346" spans="3:4" x14ac:dyDescent="0.35">
      <c r="C3346" s="51"/>
      <c r="D3346" s="51"/>
    </row>
    <row r="3347" spans="3:4" x14ac:dyDescent="0.35">
      <c r="C3347" s="51"/>
      <c r="D3347" s="51"/>
    </row>
    <row r="3348" spans="3:4" x14ac:dyDescent="0.35">
      <c r="C3348" s="51"/>
      <c r="D3348" s="51"/>
    </row>
    <row r="3349" spans="3:4" x14ac:dyDescent="0.35">
      <c r="C3349" s="51"/>
      <c r="D3349" s="51"/>
    </row>
    <row r="3350" spans="3:4" x14ac:dyDescent="0.35">
      <c r="C3350" s="51"/>
      <c r="D3350" s="51"/>
    </row>
    <row r="3351" spans="3:4" x14ac:dyDescent="0.35">
      <c r="C3351" s="51"/>
      <c r="D3351" s="51"/>
    </row>
    <row r="3352" spans="3:4" x14ac:dyDescent="0.35">
      <c r="C3352" s="51"/>
      <c r="D3352" s="51"/>
    </row>
    <row r="3353" spans="3:4" x14ac:dyDescent="0.35">
      <c r="C3353" s="51"/>
      <c r="D3353" s="51"/>
    </row>
    <row r="3354" spans="3:4" x14ac:dyDescent="0.35">
      <c r="C3354" s="51"/>
      <c r="D3354" s="51"/>
    </row>
    <row r="3355" spans="3:4" x14ac:dyDescent="0.35">
      <c r="C3355" s="51"/>
      <c r="D3355" s="51"/>
    </row>
    <row r="3356" spans="3:4" x14ac:dyDescent="0.35">
      <c r="C3356" s="51"/>
      <c r="D3356" s="51"/>
    </row>
    <row r="3357" spans="3:4" x14ac:dyDescent="0.35">
      <c r="C3357" s="51"/>
      <c r="D3357" s="51"/>
    </row>
    <row r="3358" spans="3:4" x14ac:dyDescent="0.35">
      <c r="C3358" s="51"/>
      <c r="D3358" s="51"/>
    </row>
    <row r="3359" spans="3:4" x14ac:dyDescent="0.35">
      <c r="C3359" s="51"/>
      <c r="D3359" s="51"/>
    </row>
    <row r="3360" spans="3:4" x14ac:dyDescent="0.35">
      <c r="C3360" s="51"/>
      <c r="D3360" s="51"/>
    </row>
    <row r="3361" spans="3:4" x14ac:dyDescent="0.35">
      <c r="C3361" s="51"/>
      <c r="D3361" s="51"/>
    </row>
    <row r="3362" spans="3:4" x14ac:dyDescent="0.35">
      <c r="C3362" s="51"/>
      <c r="D3362" s="51"/>
    </row>
    <row r="3363" spans="3:4" x14ac:dyDescent="0.35">
      <c r="C3363" s="51"/>
      <c r="D3363" s="51"/>
    </row>
    <row r="3364" spans="3:4" x14ac:dyDescent="0.35">
      <c r="C3364" s="51"/>
      <c r="D3364" s="51"/>
    </row>
    <row r="3365" spans="3:4" x14ac:dyDescent="0.35">
      <c r="C3365" s="51"/>
      <c r="D3365" s="51"/>
    </row>
    <row r="3366" spans="3:4" x14ac:dyDescent="0.35">
      <c r="C3366" s="51"/>
      <c r="D3366" s="51"/>
    </row>
    <row r="3367" spans="3:4" x14ac:dyDescent="0.35">
      <c r="C3367" s="51"/>
      <c r="D3367" s="51"/>
    </row>
    <row r="3368" spans="3:4" x14ac:dyDescent="0.35">
      <c r="C3368" s="51"/>
      <c r="D3368" s="51"/>
    </row>
    <row r="3369" spans="3:4" x14ac:dyDescent="0.35">
      <c r="C3369" s="51"/>
      <c r="D3369" s="51"/>
    </row>
    <row r="3370" spans="3:4" x14ac:dyDescent="0.35">
      <c r="C3370" s="51"/>
      <c r="D3370" s="51"/>
    </row>
    <row r="3371" spans="3:4" x14ac:dyDescent="0.35">
      <c r="C3371" s="51"/>
      <c r="D3371" s="51"/>
    </row>
    <row r="3372" spans="3:4" x14ac:dyDescent="0.35">
      <c r="C3372" s="51"/>
      <c r="D3372" s="51"/>
    </row>
    <row r="3373" spans="3:4" x14ac:dyDescent="0.35">
      <c r="C3373" s="51"/>
      <c r="D3373" s="51"/>
    </row>
    <row r="3374" spans="3:4" x14ac:dyDescent="0.35">
      <c r="C3374" s="51"/>
      <c r="D3374" s="51"/>
    </row>
    <row r="3375" spans="3:4" x14ac:dyDescent="0.35">
      <c r="C3375" s="51"/>
      <c r="D3375" s="51"/>
    </row>
    <row r="3376" spans="3:4" x14ac:dyDescent="0.35">
      <c r="C3376" s="51"/>
      <c r="D3376" s="51"/>
    </row>
    <row r="3377" spans="3:4" x14ac:dyDescent="0.35">
      <c r="C3377" s="51"/>
      <c r="D3377" s="51"/>
    </row>
    <row r="3378" spans="3:4" x14ac:dyDescent="0.35">
      <c r="C3378" s="51"/>
      <c r="D3378" s="51"/>
    </row>
    <row r="3379" spans="3:4" x14ac:dyDescent="0.35">
      <c r="C3379" s="51"/>
      <c r="D3379" s="51"/>
    </row>
    <row r="3380" spans="3:4" x14ac:dyDescent="0.35">
      <c r="C3380" s="51"/>
      <c r="D3380" s="51"/>
    </row>
    <row r="3381" spans="3:4" x14ac:dyDescent="0.35">
      <c r="C3381" s="51"/>
      <c r="D3381" s="51"/>
    </row>
    <row r="3382" spans="3:4" x14ac:dyDescent="0.35">
      <c r="C3382" s="51"/>
      <c r="D3382" s="51"/>
    </row>
    <row r="3383" spans="3:4" x14ac:dyDescent="0.35">
      <c r="C3383" s="51"/>
      <c r="D3383" s="51"/>
    </row>
    <row r="3384" spans="3:4" x14ac:dyDescent="0.35">
      <c r="C3384" s="51"/>
      <c r="D3384" s="51"/>
    </row>
    <row r="3385" spans="3:4" x14ac:dyDescent="0.35">
      <c r="C3385" s="51"/>
      <c r="D3385" s="51"/>
    </row>
    <row r="3386" spans="3:4" x14ac:dyDescent="0.35">
      <c r="C3386" s="51"/>
      <c r="D3386" s="51"/>
    </row>
    <row r="3387" spans="3:4" x14ac:dyDescent="0.35">
      <c r="C3387" s="51"/>
      <c r="D3387" s="51"/>
    </row>
    <row r="3388" spans="3:4" x14ac:dyDescent="0.35">
      <c r="C3388" s="51"/>
      <c r="D3388" s="51"/>
    </row>
    <row r="3389" spans="3:4" x14ac:dyDescent="0.35">
      <c r="C3389" s="51"/>
      <c r="D3389" s="51"/>
    </row>
    <row r="3390" spans="3:4" x14ac:dyDescent="0.35">
      <c r="C3390" s="51"/>
      <c r="D3390" s="51"/>
    </row>
    <row r="3391" spans="3:4" x14ac:dyDescent="0.35">
      <c r="C3391" s="51"/>
      <c r="D3391" s="51"/>
    </row>
    <row r="3392" spans="3:4" x14ac:dyDescent="0.35">
      <c r="C3392" s="51"/>
      <c r="D3392" s="51"/>
    </row>
    <row r="3393" spans="3:4" x14ac:dyDescent="0.35">
      <c r="C3393" s="51"/>
      <c r="D3393" s="51"/>
    </row>
    <row r="3394" spans="3:4" x14ac:dyDescent="0.35">
      <c r="C3394" s="51"/>
      <c r="D3394" s="51"/>
    </row>
    <row r="3395" spans="3:4" x14ac:dyDescent="0.35">
      <c r="C3395" s="51"/>
      <c r="D3395" s="51"/>
    </row>
    <row r="3396" spans="3:4" x14ac:dyDescent="0.35">
      <c r="C3396" s="51"/>
      <c r="D3396" s="51"/>
    </row>
    <row r="3397" spans="3:4" x14ac:dyDescent="0.35">
      <c r="C3397" s="51"/>
      <c r="D3397" s="51"/>
    </row>
    <row r="3398" spans="3:4" x14ac:dyDescent="0.35">
      <c r="C3398" s="51"/>
      <c r="D3398" s="51"/>
    </row>
    <row r="3399" spans="3:4" x14ac:dyDescent="0.35">
      <c r="C3399" s="51"/>
      <c r="D3399" s="51"/>
    </row>
    <row r="3400" spans="3:4" x14ac:dyDescent="0.35">
      <c r="C3400" s="51"/>
      <c r="D3400" s="51"/>
    </row>
    <row r="3401" spans="3:4" x14ac:dyDescent="0.35">
      <c r="C3401" s="51"/>
      <c r="D3401" s="51"/>
    </row>
    <row r="3402" spans="3:4" x14ac:dyDescent="0.35">
      <c r="C3402" s="51"/>
      <c r="D3402" s="51"/>
    </row>
    <row r="3403" spans="3:4" x14ac:dyDescent="0.35">
      <c r="C3403" s="51"/>
      <c r="D3403" s="51"/>
    </row>
    <row r="3404" spans="3:4" x14ac:dyDescent="0.35">
      <c r="C3404" s="51"/>
      <c r="D3404" s="51"/>
    </row>
    <row r="3405" spans="3:4" x14ac:dyDescent="0.35">
      <c r="C3405" s="51"/>
      <c r="D3405" s="51"/>
    </row>
    <row r="3406" spans="3:4" x14ac:dyDescent="0.35">
      <c r="C3406" s="51"/>
      <c r="D3406" s="51"/>
    </row>
    <row r="3407" spans="3:4" x14ac:dyDescent="0.35">
      <c r="C3407" s="51"/>
      <c r="D3407" s="51"/>
    </row>
    <row r="3408" spans="3:4" x14ac:dyDescent="0.35">
      <c r="C3408" s="51"/>
      <c r="D3408" s="51"/>
    </row>
    <row r="3409" spans="3:4" x14ac:dyDescent="0.35">
      <c r="C3409" s="51"/>
      <c r="D3409" s="51"/>
    </row>
    <row r="3410" spans="3:4" x14ac:dyDescent="0.35">
      <c r="C3410" s="51"/>
      <c r="D3410" s="51"/>
    </row>
    <row r="3411" spans="3:4" x14ac:dyDescent="0.35">
      <c r="C3411" s="51"/>
      <c r="D3411" s="51"/>
    </row>
    <row r="3412" spans="3:4" x14ac:dyDescent="0.35">
      <c r="C3412" s="51"/>
      <c r="D3412" s="51"/>
    </row>
    <row r="3413" spans="3:4" x14ac:dyDescent="0.35">
      <c r="C3413" s="51"/>
      <c r="D3413" s="51"/>
    </row>
    <row r="3414" spans="3:4" x14ac:dyDescent="0.35">
      <c r="C3414" s="51"/>
      <c r="D3414" s="51"/>
    </row>
    <row r="3415" spans="3:4" x14ac:dyDescent="0.35">
      <c r="C3415" s="51"/>
      <c r="D3415" s="51"/>
    </row>
    <row r="3416" spans="3:4" x14ac:dyDescent="0.35">
      <c r="C3416" s="51"/>
      <c r="D3416" s="51"/>
    </row>
    <row r="3417" spans="3:4" x14ac:dyDescent="0.35">
      <c r="C3417" s="51"/>
      <c r="D3417" s="51"/>
    </row>
    <row r="3418" spans="3:4" x14ac:dyDescent="0.35">
      <c r="C3418" s="51"/>
      <c r="D3418" s="51"/>
    </row>
    <row r="3419" spans="3:4" x14ac:dyDescent="0.35">
      <c r="C3419" s="51"/>
      <c r="D3419" s="51"/>
    </row>
    <row r="3420" spans="3:4" x14ac:dyDescent="0.35">
      <c r="C3420" s="51"/>
      <c r="D3420" s="51"/>
    </row>
    <row r="3421" spans="3:4" x14ac:dyDescent="0.35">
      <c r="C3421" s="51"/>
      <c r="D3421" s="51"/>
    </row>
    <row r="3422" spans="3:4" x14ac:dyDescent="0.35">
      <c r="C3422" s="51"/>
      <c r="D3422" s="51"/>
    </row>
    <row r="3423" spans="3:4" x14ac:dyDescent="0.35">
      <c r="C3423" s="51"/>
      <c r="D3423" s="51"/>
    </row>
    <row r="3424" spans="3:4" x14ac:dyDescent="0.35">
      <c r="C3424" s="51"/>
      <c r="D3424" s="51"/>
    </row>
    <row r="3425" spans="3:4" x14ac:dyDescent="0.35">
      <c r="C3425" s="51"/>
      <c r="D3425" s="51"/>
    </row>
    <row r="3426" spans="3:4" x14ac:dyDescent="0.35">
      <c r="C3426" s="51"/>
      <c r="D3426" s="51"/>
    </row>
    <row r="3427" spans="3:4" x14ac:dyDescent="0.35">
      <c r="C3427" s="51"/>
      <c r="D3427" s="51"/>
    </row>
    <row r="3428" spans="3:4" x14ac:dyDescent="0.35">
      <c r="C3428" s="51"/>
      <c r="D3428" s="51"/>
    </row>
    <row r="3429" spans="3:4" x14ac:dyDescent="0.35">
      <c r="C3429" s="51"/>
      <c r="D3429" s="51"/>
    </row>
    <row r="3430" spans="3:4" x14ac:dyDescent="0.35">
      <c r="C3430" s="51"/>
      <c r="D3430" s="51"/>
    </row>
    <row r="3431" spans="3:4" x14ac:dyDescent="0.35">
      <c r="C3431" s="51"/>
      <c r="D3431" s="51"/>
    </row>
    <row r="3432" spans="3:4" x14ac:dyDescent="0.35">
      <c r="C3432" s="51"/>
      <c r="D3432" s="51"/>
    </row>
    <row r="3433" spans="3:4" x14ac:dyDescent="0.35">
      <c r="C3433" s="51"/>
      <c r="D3433" s="51"/>
    </row>
    <row r="3434" spans="3:4" x14ac:dyDescent="0.35">
      <c r="C3434" s="51"/>
      <c r="D3434" s="51"/>
    </row>
    <row r="3435" spans="3:4" x14ac:dyDescent="0.35">
      <c r="C3435" s="51"/>
      <c r="D3435" s="51"/>
    </row>
    <row r="3436" spans="3:4" x14ac:dyDescent="0.35">
      <c r="C3436" s="51"/>
      <c r="D3436" s="51"/>
    </row>
    <row r="3437" spans="3:4" x14ac:dyDescent="0.35">
      <c r="C3437" s="51"/>
      <c r="D3437" s="51"/>
    </row>
    <row r="3438" spans="3:4" x14ac:dyDescent="0.35">
      <c r="C3438" s="51"/>
      <c r="D3438" s="51"/>
    </row>
    <row r="3439" spans="3:4" x14ac:dyDescent="0.35">
      <c r="C3439" s="51"/>
      <c r="D3439" s="51"/>
    </row>
    <row r="3440" spans="3:4" x14ac:dyDescent="0.35">
      <c r="C3440" s="51"/>
      <c r="D3440" s="51"/>
    </row>
    <row r="3441" spans="3:4" x14ac:dyDescent="0.35">
      <c r="C3441" s="51"/>
      <c r="D3441" s="51"/>
    </row>
    <row r="3442" spans="3:4" x14ac:dyDescent="0.35">
      <c r="C3442" s="51"/>
      <c r="D3442" s="51"/>
    </row>
    <row r="3443" spans="3:4" x14ac:dyDescent="0.35">
      <c r="C3443" s="51"/>
      <c r="D3443" s="51"/>
    </row>
    <row r="3444" spans="3:4" x14ac:dyDescent="0.35">
      <c r="C3444" s="51"/>
      <c r="D3444" s="51"/>
    </row>
    <row r="3445" spans="3:4" x14ac:dyDescent="0.35">
      <c r="C3445" s="51"/>
      <c r="D3445" s="51"/>
    </row>
    <row r="3446" spans="3:4" x14ac:dyDescent="0.35">
      <c r="C3446" s="51"/>
      <c r="D3446" s="51"/>
    </row>
    <row r="3447" spans="3:4" x14ac:dyDescent="0.35">
      <c r="C3447" s="51"/>
      <c r="D3447" s="51"/>
    </row>
    <row r="3448" spans="3:4" x14ac:dyDescent="0.35">
      <c r="C3448" s="51"/>
      <c r="D3448" s="51"/>
    </row>
    <row r="3449" spans="3:4" x14ac:dyDescent="0.35">
      <c r="C3449" s="51"/>
      <c r="D3449" s="51"/>
    </row>
    <row r="3450" spans="3:4" x14ac:dyDescent="0.35">
      <c r="C3450" s="51"/>
      <c r="D3450" s="51"/>
    </row>
    <row r="3451" spans="3:4" x14ac:dyDescent="0.35">
      <c r="C3451" s="51"/>
      <c r="D3451" s="51"/>
    </row>
    <row r="3452" spans="3:4" x14ac:dyDescent="0.35">
      <c r="C3452" s="51"/>
      <c r="D3452" s="51"/>
    </row>
    <row r="3453" spans="3:4" x14ac:dyDescent="0.35">
      <c r="C3453" s="51"/>
      <c r="D3453" s="51"/>
    </row>
    <row r="3454" spans="3:4" x14ac:dyDescent="0.35">
      <c r="C3454" s="51"/>
      <c r="D3454" s="51"/>
    </row>
    <row r="3455" spans="3:4" x14ac:dyDescent="0.35">
      <c r="C3455" s="51"/>
      <c r="D3455" s="51"/>
    </row>
    <row r="3456" spans="3:4" x14ac:dyDescent="0.35">
      <c r="C3456" s="51"/>
      <c r="D3456" s="51"/>
    </row>
    <row r="3457" spans="3:4" x14ac:dyDescent="0.35">
      <c r="C3457" s="51"/>
      <c r="D3457" s="51"/>
    </row>
    <row r="3458" spans="3:4" x14ac:dyDescent="0.35">
      <c r="C3458" s="51"/>
      <c r="D3458" s="51"/>
    </row>
    <row r="3459" spans="3:4" x14ac:dyDescent="0.35">
      <c r="C3459" s="51"/>
      <c r="D3459" s="51"/>
    </row>
    <row r="3460" spans="3:4" x14ac:dyDescent="0.35">
      <c r="C3460" s="51"/>
      <c r="D3460" s="51"/>
    </row>
    <row r="3461" spans="3:4" x14ac:dyDescent="0.35">
      <c r="C3461" s="51"/>
      <c r="D3461" s="51"/>
    </row>
    <row r="3462" spans="3:4" x14ac:dyDescent="0.35">
      <c r="C3462" s="51"/>
      <c r="D3462" s="51"/>
    </row>
    <row r="3463" spans="3:4" x14ac:dyDescent="0.35">
      <c r="C3463" s="51"/>
      <c r="D3463" s="51"/>
    </row>
    <row r="3464" spans="3:4" x14ac:dyDescent="0.35">
      <c r="C3464" s="51"/>
      <c r="D3464" s="51"/>
    </row>
    <row r="3465" spans="3:4" x14ac:dyDescent="0.35">
      <c r="C3465" s="51"/>
      <c r="D3465" s="51"/>
    </row>
    <row r="3466" spans="3:4" x14ac:dyDescent="0.35">
      <c r="C3466" s="51"/>
      <c r="D3466" s="51"/>
    </row>
    <row r="3467" spans="3:4" x14ac:dyDescent="0.35">
      <c r="C3467" s="51"/>
      <c r="D3467" s="51"/>
    </row>
    <row r="3468" spans="3:4" x14ac:dyDescent="0.35">
      <c r="C3468" s="51"/>
      <c r="D3468" s="51"/>
    </row>
    <row r="3469" spans="3:4" x14ac:dyDescent="0.35">
      <c r="C3469" s="51"/>
      <c r="D3469" s="51"/>
    </row>
    <row r="3470" spans="3:4" x14ac:dyDescent="0.35">
      <c r="C3470" s="51"/>
      <c r="D3470" s="51"/>
    </row>
    <row r="3471" spans="3:4" x14ac:dyDescent="0.35">
      <c r="C3471" s="51"/>
      <c r="D3471" s="51"/>
    </row>
    <row r="3472" spans="3:4" x14ac:dyDescent="0.35">
      <c r="C3472" s="51"/>
      <c r="D3472" s="51"/>
    </row>
    <row r="3473" spans="3:4" x14ac:dyDescent="0.35">
      <c r="C3473" s="51"/>
      <c r="D3473" s="51"/>
    </row>
    <row r="3474" spans="3:4" x14ac:dyDescent="0.35">
      <c r="C3474" s="51"/>
      <c r="D3474" s="51"/>
    </row>
    <row r="3475" spans="3:4" x14ac:dyDescent="0.35">
      <c r="C3475" s="51"/>
      <c r="D3475" s="51"/>
    </row>
    <row r="3476" spans="3:4" x14ac:dyDescent="0.35">
      <c r="C3476" s="51"/>
      <c r="D3476" s="51"/>
    </row>
    <row r="3477" spans="3:4" x14ac:dyDescent="0.35">
      <c r="C3477" s="51"/>
      <c r="D3477" s="51"/>
    </row>
    <row r="3478" spans="3:4" x14ac:dyDescent="0.35">
      <c r="C3478" s="51"/>
      <c r="D3478" s="51"/>
    </row>
    <row r="3479" spans="3:4" x14ac:dyDescent="0.35">
      <c r="C3479" s="51"/>
      <c r="D3479" s="51"/>
    </row>
    <row r="3480" spans="3:4" x14ac:dyDescent="0.35">
      <c r="C3480" s="51"/>
      <c r="D3480" s="51"/>
    </row>
    <row r="3481" spans="3:4" x14ac:dyDescent="0.35">
      <c r="C3481" s="51"/>
      <c r="D3481" s="51"/>
    </row>
    <row r="3482" spans="3:4" x14ac:dyDescent="0.35">
      <c r="C3482" s="51"/>
      <c r="D3482" s="51"/>
    </row>
    <row r="3483" spans="3:4" x14ac:dyDescent="0.35">
      <c r="C3483" s="51"/>
      <c r="D3483" s="51"/>
    </row>
    <row r="3484" spans="3:4" x14ac:dyDescent="0.35">
      <c r="C3484" s="51"/>
      <c r="D3484" s="51"/>
    </row>
    <row r="3485" spans="3:4" x14ac:dyDescent="0.35">
      <c r="C3485" s="51"/>
      <c r="D3485" s="51"/>
    </row>
    <row r="3486" spans="3:4" x14ac:dyDescent="0.35">
      <c r="C3486" s="51"/>
      <c r="D3486" s="51"/>
    </row>
    <row r="3487" spans="3:4" x14ac:dyDescent="0.35">
      <c r="C3487" s="51"/>
      <c r="D3487" s="51"/>
    </row>
    <row r="3488" spans="3:4" x14ac:dyDescent="0.35">
      <c r="C3488" s="51"/>
      <c r="D3488" s="51"/>
    </row>
    <row r="3489" spans="3:4" x14ac:dyDescent="0.35">
      <c r="C3489" s="51"/>
      <c r="D3489" s="51"/>
    </row>
    <row r="3490" spans="3:4" x14ac:dyDescent="0.35">
      <c r="C3490" s="51"/>
      <c r="D3490" s="51"/>
    </row>
    <row r="3491" spans="3:4" x14ac:dyDescent="0.35">
      <c r="C3491" s="51"/>
      <c r="D3491" s="51"/>
    </row>
    <row r="3492" spans="3:4" x14ac:dyDescent="0.35">
      <c r="C3492" s="51"/>
      <c r="D3492" s="51"/>
    </row>
    <row r="3493" spans="3:4" x14ac:dyDescent="0.35">
      <c r="C3493" s="51"/>
      <c r="D3493" s="51"/>
    </row>
    <row r="3494" spans="3:4" x14ac:dyDescent="0.35">
      <c r="C3494" s="51"/>
      <c r="D3494" s="51"/>
    </row>
    <row r="3495" spans="3:4" x14ac:dyDescent="0.35">
      <c r="C3495" s="51"/>
      <c r="D3495" s="51"/>
    </row>
    <row r="3496" spans="3:4" x14ac:dyDescent="0.35">
      <c r="C3496" s="51"/>
      <c r="D3496" s="51"/>
    </row>
    <row r="3497" spans="3:4" x14ac:dyDescent="0.35">
      <c r="C3497" s="51"/>
      <c r="D3497" s="51"/>
    </row>
    <row r="3498" spans="3:4" x14ac:dyDescent="0.35">
      <c r="C3498" s="51"/>
      <c r="D3498" s="51"/>
    </row>
    <row r="3499" spans="3:4" x14ac:dyDescent="0.35">
      <c r="C3499" s="51"/>
      <c r="D3499" s="51"/>
    </row>
    <row r="3500" spans="3:4" x14ac:dyDescent="0.35">
      <c r="C3500" s="51"/>
      <c r="D3500" s="51"/>
    </row>
    <row r="3501" spans="3:4" x14ac:dyDescent="0.35">
      <c r="C3501" s="51"/>
      <c r="D3501" s="51"/>
    </row>
    <row r="3502" spans="3:4" x14ac:dyDescent="0.35">
      <c r="C3502" s="51"/>
      <c r="D3502" s="51"/>
    </row>
    <row r="3503" spans="3:4" x14ac:dyDescent="0.35">
      <c r="C3503" s="51"/>
      <c r="D3503" s="51"/>
    </row>
    <row r="3504" spans="3:4" x14ac:dyDescent="0.35">
      <c r="C3504" s="51"/>
      <c r="D3504" s="51"/>
    </row>
    <row r="3505" spans="3:4" x14ac:dyDescent="0.35">
      <c r="C3505" s="51"/>
      <c r="D3505" s="51"/>
    </row>
    <row r="3506" spans="3:4" x14ac:dyDescent="0.35">
      <c r="C3506" s="51"/>
      <c r="D3506" s="51"/>
    </row>
    <row r="3507" spans="3:4" x14ac:dyDescent="0.35">
      <c r="C3507" s="51"/>
      <c r="D3507" s="51"/>
    </row>
    <row r="3508" spans="3:4" x14ac:dyDescent="0.35">
      <c r="C3508" s="51"/>
      <c r="D3508" s="51"/>
    </row>
    <row r="3509" spans="3:4" x14ac:dyDescent="0.35">
      <c r="C3509" s="51"/>
      <c r="D3509" s="51"/>
    </row>
    <row r="3510" spans="3:4" x14ac:dyDescent="0.35">
      <c r="C3510" s="51"/>
      <c r="D3510" s="51"/>
    </row>
    <row r="3511" spans="3:4" x14ac:dyDescent="0.35">
      <c r="C3511" s="51"/>
      <c r="D3511" s="51"/>
    </row>
    <row r="3512" spans="3:4" x14ac:dyDescent="0.35">
      <c r="C3512" s="51"/>
      <c r="D3512" s="51"/>
    </row>
    <row r="3513" spans="3:4" x14ac:dyDescent="0.35">
      <c r="C3513" s="51"/>
      <c r="D3513" s="51"/>
    </row>
    <row r="3514" spans="3:4" x14ac:dyDescent="0.35">
      <c r="C3514" s="51"/>
      <c r="D3514" s="51"/>
    </row>
    <row r="3515" spans="3:4" x14ac:dyDescent="0.35">
      <c r="C3515" s="51"/>
      <c r="D3515" s="51"/>
    </row>
    <row r="3516" spans="3:4" x14ac:dyDescent="0.35">
      <c r="C3516" s="51"/>
      <c r="D3516" s="51"/>
    </row>
    <row r="3517" spans="3:4" x14ac:dyDescent="0.35">
      <c r="C3517" s="51"/>
      <c r="D3517" s="51"/>
    </row>
    <row r="3518" spans="3:4" x14ac:dyDescent="0.35">
      <c r="C3518" s="51"/>
      <c r="D3518" s="51"/>
    </row>
    <row r="3519" spans="3:4" x14ac:dyDescent="0.35">
      <c r="C3519" s="51"/>
      <c r="D3519" s="51"/>
    </row>
    <row r="3520" spans="3:4" x14ac:dyDescent="0.35">
      <c r="C3520" s="51"/>
      <c r="D3520" s="51"/>
    </row>
    <row r="3521" spans="3:4" x14ac:dyDescent="0.35">
      <c r="C3521" s="51"/>
      <c r="D3521" s="51"/>
    </row>
    <row r="3522" spans="3:4" x14ac:dyDescent="0.35">
      <c r="C3522" s="51"/>
      <c r="D3522" s="51"/>
    </row>
    <row r="3523" spans="3:4" x14ac:dyDescent="0.35">
      <c r="C3523" s="51"/>
      <c r="D3523" s="51"/>
    </row>
    <row r="3524" spans="3:4" x14ac:dyDescent="0.35">
      <c r="C3524" s="51"/>
      <c r="D3524" s="51"/>
    </row>
    <row r="3525" spans="3:4" x14ac:dyDescent="0.35">
      <c r="C3525" s="51"/>
      <c r="D3525" s="51"/>
    </row>
    <row r="3526" spans="3:4" x14ac:dyDescent="0.35">
      <c r="C3526" s="51"/>
      <c r="D3526" s="51"/>
    </row>
    <row r="3527" spans="3:4" x14ac:dyDescent="0.35">
      <c r="C3527" s="51"/>
      <c r="D3527" s="51"/>
    </row>
    <row r="3528" spans="3:4" x14ac:dyDescent="0.35">
      <c r="C3528" s="51"/>
      <c r="D3528" s="51"/>
    </row>
    <row r="3529" spans="3:4" x14ac:dyDescent="0.35">
      <c r="C3529" s="51"/>
      <c r="D3529" s="51"/>
    </row>
    <row r="3530" spans="3:4" x14ac:dyDescent="0.35">
      <c r="C3530" s="51"/>
      <c r="D3530" s="51"/>
    </row>
    <row r="3531" spans="3:4" x14ac:dyDescent="0.35">
      <c r="C3531" s="51"/>
      <c r="D3531" s="51"/>
    </row>
    <row r="3532" spans="3:4" x14ac:dyDescent="0.35">
      <c r="C3532" s="51"/>
      <c r="D3532" s="51"/>
    </row>
    <row r="3533" spans="3:4" x14ac:dyDescent="0.35">
      <c r="C3533" s="51"/>
      <c r="D3533" s="51"/>
    </row>
    <row r="3534" spans="3:4" x14ac:dyDescent="0.35">
      <c r="C3534" s="51"/>
      <c r="D3534" s="51"/>
    </row>
    <row r="3535" spans="3:4" x14ac:dyDescent="0.35">
      <c r="C3535" s="51"/>
      <c r="D3535" s="51"/>
    </row>
    <row r="3536" spans="3:4" x14ac:dyDescent="0.35">
      <c r="C3536" s="51"/>
      <c r="D3536" s="51"/>
    </row>
    <row r="3537" spans="3:4" x14ac:dyDescent="0.35">
      <c r="C3537" s="51"/>
      <c r="D3537" s="51"/>
    </row>
    <row r="3538" spans="3:4" x14ac:dyDescent="0.35">
      <c r="C3538" s="51"/>
      <c r="D3538" s="51"/>
    </row>
    <row r="3539" spans="3:4" x14ac:dyDescent="0.35">
      <c r="C3539" s="51"/>
      <c r="D3539" s="51"/>
    </row>
    <row r="3540" spans="3:4" x14ac:dyDescent="0.35">
      <c r="C3540" s="51"/>
      <c r="D3540" s="51"/>
    </row>
    <row r="3541" spans="3:4" x14ac:dyDescent="0.35">
      <c r="C3541" s="51"/>
      <c r="D3541" s="51"/>
    </row>
    <row r="3542" spans="3:4" x14ac:dyDescent="0.35">
      <c r="C3542" s="51"/>
      <c r="D3542" s="51"/>
    </row>
    <row r="3543" spans="3:4" x14ac:dyDescent="0.35">
      <c r="C3543" s="51"/>
      <c r="D3543" s="51"/>
    </row>
    <row r="3544" spans="3:4" x14ac:dyDescent="0.35">
      <c r="C3544" s="51"/>
      <c r="D3544" s="51"/>
    </row>
    <row r="3545" spans="3:4" x14ac:dyDescent="0.35">
      <c r="C3545" s="51"/>
      <c r="D3545" s="51"/>
    </row>
    <row r="3546" spans="3:4" x14ac:dyDescent="0.35">
      <c r="C3546" s="51"/>
      <c r="D3546" s="51"/>
    </row>
    <row r="3547" spans="3:4" x14ac:dyDescent="0.35">
      <c r="C3547" s="51"/>
      <c r="D3547" s="51"/>
    </row>
    <row r="3548" spans="3:4" x14ac:dyDescent="0.35">
      <c r="C3548" s="51"/>
      <c r="D3548" s="51"/>
    </row>
    <row r="3549" spans="3:4" x14ac:dyDescent="0.35">
      <c r="C3549" s="51"/>
      <c r="D3549" s="51"/>
    </row>
    <row r="3550" spans="3:4" x14ac:dyDescent="0.35">
      <c r="C3550" s="51"/>
      <c r="D3550" s="51"/>
    </row>
    <row r="3551" spans="3:4" x14ac:dyDescent="0.35">
      <c r="C3551" s="51"/>
      <c r="D3551" s="51"/>
    </row>
    <row r="3552" spans="3:4" x14ac:dyDescent="0.35">
      <c r="C3552" s="51"/>
      <c r="D3552" s="51"/>
    </row>
    <row r="3553" spans="3:4" x14ac:dyDescent="0.35">
      <c r="C3553" s="51"/>
      <c r="D3553" s="51"/>
    </row>
    <row r="3554" spans="3:4" x14ac:dyDescent="0.35">
      <c r="C3554" s="51"/>
      <c r="D3554" s="51"/>
    </row>
    <row r="3555" spans="3:4" x14ac:dyDescent="0.35">
      <c r="C3555" s="51"/>
      <c r="D3555" s="51"/>
    </row>
    <row r="3556" spans="3:4" x14ac:dyDescent="0.35">
      <c r="C3556" s="51"/>
      <c r="D3556" s="51"/>
    </row>
    <row r="3557" spans="3:4" x14ac:dyDescent="0.35">
      <c r="C3557" s="51"/>
      <c r="D3557" s="51"/>
    </row>
    <row r="3558" spans="3:4" x14ac:dyDescent="0.35">
      <c r="C3558" s="51"/>
      <c r="D3558" s="51"/>
    </row>
    <row r="3559" spans="3:4" x14ac:dyDescent="0.35">
      <c r="C3559" s="51"/>
      <c r="D3559" s="51"/>
    </row>
    <row r="3560" spans="3:4" x14ac:dyDescent="0.35">
      <c r="C3560" s="51"/>
      <c r="D3560" s="51"/>
    </row>
    <row r="3561" spans="3:4" x14ac:dyDescent="0.35">
      <c r="C3561" s="51"/>
      <c r="D3561" s="51"/>
    </row>
    <row r="3562" spans="3:4" x14ac:dyDescent="0.35">
      <c r="C3562" s="51"/>
      <c r="D3562" s="51"/>
    </row>
    <row r="3563" spans="3:4" x14ac:dyDescent="0.35">
      <c r="C3563" s="51"/>
      <c r="D3563" s="51"/>
    </row>
    <row r="3564" spans="3:4" x14ac:dyDescent="0.35">
      <c r="C3564" s="51"/>
      <c r="D3564" s="51"/>
    </row>
    <row r="3565" spans="3:4" x14ac:dyDescent="0.35">
      <c r="C3565" s="51"/>
      <c r="D3565" s="51"/>
    </row>
    <row r="3566" spans="3:4" x14ac:dyDescent="0.35">
      <c r="C3566" s="51"/>
      <c r="D3566" s="51"/>
    </row>
    <row r="3567" spans="3:4" x14ac:dyDescent="0.35">
      <c r="C3567" s="51"/>
      <c r="D3567" s="51"/>
    </row>
    <row r="3568" spans="3:4" x14ac:dyDescent="0.35">
      <c r="C3568" s="51"/>
      <c r="D3568" s="51"/>
    </row>
    <row r="3569" spans="3:4" x14ac:dyDescent="0.35">
      <c r="C3569" s="51"/>
      <c r="D3569" s="51"/>
    </row>
    <row r="3570" spans="3:4" x14ac:dyDescent="0.35">
      <c r="C3570" s="51"/>
      <c r="D3570" s="51"/>
    </row>
    <row r="3571" spans="3:4" x14ac:dyDescent="0.35">
      <c r="C3571" s="51"/>
      <c r="D3571" s="51"/>
    </row>
    <row r="3572" spans="3:4" x14ac:dyDescent="0.35">
      <c r="C3572" s="51"/>
      <c r="D3572" s="51"/>
    </row>
    <row r="3573" spans="3:4" x14ac:dyDescent="0.35">
      <c r="C3573" s="51"/>
      <c r="D3573" s="51"/>
    </row>
    <row r="3574" spans="3:4" x14ac:dyDescent="0.35">
      <c r="C3574" s="51"/>
      <c r="D3574" s="51"/>
    </row>
    <row r="3575" spans="3:4" x14ac:dyDescent="0.35">
      <c r="C3575" s="51"/>
      <c r="D3575" s="51"/>
    </row>
    <row r="3576" spans="3:4" x14ac:dyDescent="0.35">
      <c r="C3576" s="51"/>
      <c r="D3576" s="51"/>
    </row>
    <row r="3577" spans="3:4" x14ac:dyDescent="0.35">
      <c r="C3577" s="51"/>
      <c r="D3577" s="51"/>
    </row>
    <row r="3578" spans="3:4" x14ac:dyDescent="0.35">
      <c r="C3578" s="51"/>
      <c r="D3578" s="51"/>
    </row>
    <row r="3579" spans="3:4" x14ac:dyDescent="0.35">
      <c r="C3579" s="51"/>
      <c r="D3579" s="51"/>
    </row>
    <row r="3580" spans="3:4" x14ac:dyDescent="0.35">
      <c r="C3580" s="51"/>
      <c r="D3580" s="51"/>
    </row>
    <row r="3581" spans="3:4" x14ac:dyDescent="0.35">
      <c r="C3581" s="51"/>
      <c r="D3581" s="51"/>
    </row>
    <row r="3582" spans="3:4" x14ac:dyDescent="0.35">
      <c r="C3582" s="51"/>
      <c r="D3582" s="51"/>
    </row>
    <row r="3583" spans="3:4" x14ac:dyDescent="0.35">
      <c r="C3583" s="51"/>
      <c r="D3583" s="51"/>
    </row>
    <row r="3584" spans="3:4" x14ac:dyDescent="0.35">
      <c r="C3584" s="51"/>
      <c r="D3584" s="51"/>
    </row>
    <row r="3585" spans="3:4" x14ac:dyDescent="0.35">
      <c r="C3585" s="51"/>
      <c r="D3585" s="51"/>
    </row>
    <row r="3586" spans="3:4" x14ac:dyDescent="0.35">
      <c r="C3586" s="51"/>
      <c r="D3586" s="51"/>
    </row>
    <row r="3587" spans="3:4" x14ac:dyDescent="0.35">
      <c r="C3587" s="51"/>
      <c r="D3587" s="51"/>
    </row>
    <row r="3588" spans="3:4" x14ac:dyDescent="0.35">
      <c r="C3588" s="51"/>
      <c r="D3588" s="51"/>
    </row>
    <row r="3589" spans="3:4" x14ac:dyDescent="0.35">
      <c r="C3589" s="51"/>
      <c r="D3589" s="51"/>
    </row>
    <row r="3590" spans="3:4" x14ac:dyDescent="0.35">
      <c r="C3590" s="51"/>
      <c r="D3590" s="51"/>
    </row>
    <row r="3591" spans="3:4" x14ac:dyDescent="0.35">
      <c r="C3591" s="51"/>
      <c r="D3591" s="51"/>
    </row>
    <row r="3592" spans="3:4" x14ac:dyDescent="0.35">
      <c r="C3592" s="51"/>
      <c r="D3592" s="51"/>
    </row>
    <row r="3593" spans="3:4" x14ac:dyDescent="0.35">
      <c r="C3593" s="51"/>
      <c r="D3593" s="51"/>
    </row>
    <row r="3594" spans="3:4" x14ac:dyDescent="0.35">
      <c r="C3594" s="51"/>
      <c r="D3594" s="51"/>
    </row>
    <row r="3595" spans="3:4" x14ac:dyDescent="0.35">
      <c r="C3595" s="51"/>
      <c r="D3595" s="51"/>
    </row>
    <row r="3596" spans="3:4" x14ac:dyDescent="0.35">
      <c r="C3596" s="51"/>
      <c r="D3596" s="51"/>
    </row>
    <row r="3597" spans="3:4" x14ac:dyDescent="0.35">
      <c r="C3597" s="51"/>
      <c r="D3597" s="51"/>
    </row>
    <row r="3598" spans="3:4" x14ac:dyDescent="0.35">
      <c r="C3598" s="51"/>
      <c r="D3598" s="51"/>
    </row>
    <row r="3599" spans="3:4" x14ac:dyDescent="0.35">
      <c r="C3599" s="51"/>
      <c r="D3599" s="51"/>
    </row>
    <row r="3600" spans="3:4" x14ac:dyDescent="0.35">
      <c r="C3600" s="51"/>
      <c r="D3600" s="51"/>
    </row>
    <row r="3601" spans="3:4" x14ac:dyDescent="0.35">
      <c r="C3601" s="51"/>
      <c r="D3601" s="51"/>
    </row>
    <row r="3602" spans="3:4" x14ac:dyDescent="0.35">
      <c r="C3602" s="51"/>
      <c r="D3602" s="51"/>
    </row>
    <row r="3603" spans="3:4" x14ac:dyDescent="0.35">
      <c r="C3603" s="51"/>
      <c r="D3603" s="51"/>
    </row>
    <row r="3604" spans="3:4" x14ac:dyDescent="0.35">
      <c r="C3604" s="51"/>
      <c r="D3604" s="51"/>
    </row>
    <row r="3605" spans="3:4" x14ac:dyDescent="0.35">
      <c r="C3605" s="51"/>
      <c r="D3605" s="51"/>
    </row>
    <row r="3606" spans="3:4" x14ac:dyDescent="0.35">
      <c r="C3606" s="51"/>
      <c r="D3606" s="51"/>
    </row>
    <row r="3607" spans="3:4" x14ac:dyDescent="0.35">
      <c r="C3607" s="51"/>
      <c r="D3607" s="51"/>
    </row>
    <row r="3608" spans="3:4" x14ac:dyDescent="0.35">
      <c r="C3608" s="51"/>
      <c r="D3608" s="51"/>
    </row>
    <row r="3609" spans="3:4" x14ac:dyDescent="0.35">
      <c r="C3609" s="51"/>
      <c r="D3609" s="51"/>
    </row>
    <row r="3610" spans="3:4" x14ac:dyDescent="0.35">
      <c r="C3610" s="51"/>
      <c r="D3610" s="51"/>
    </row>
    <row r="3611" spans="3:4" x14ac:dyDescent="0.35">
      <c r="C3611" s="51"/>
      <c r="D3611" s="51"/>
    </row>
    <row r="3612" spans="3:4" x14ac:dyDescent="0.35">
      <c r="C3612" s="51"/>
      <c r="D3612" s="51"/>
    </row>
    <row r="3613" spans="3:4" x14ac:dyDescent="0.35">
      <c r="C3613" s="51"/>
      <c r="D3613" s="51"/>
    </row>
    <row r="3614" spans="3:4" x14ac:dyDescent="0.35">
      <c r="C3614" s="51"/>
      <c r="D3614" s="51"/>
    </row>
    <row r="3615" spans="3:4" x14ac:dyDescent="0.35">
      <c r="C3615" s="51"/>
      <c r="D3615" s="51"/>
    </row>
    <row r="3616" spans="3:4" x14ac:dyDescent="0.35">
      <c r="C3616" s="51"/>
      <c r="D3616" s="51"/>
    </row>
    <row r="3617" spans="3:4" x14ac:dyDescent="0.35">
      <c r="C3617" s="51"/>
      <c r="D3617" s="51"/>
    </row>
    <row r="3618" spans="3:4" x14ac:dyDescent="0.35">
      <c r="C3618" s="51"/>
      <c r="D3618" s="51"/>
    </row>
    <row r="3619" spans="3:4" x14ac:dyDescent="0.35">
      <c r="C3619" s="51"/>
      <c r="D3619" s="51"/>
    </row>
    <row r="3620" spans="3:4" x14ac:dyDescent="0.35">
      <c r="C3620" s="51"/>
      <c r="D3620" s="51"/>
    </row>
    <row r="3621" spans="3:4" x14ac:dyDescent="0.35">
      <c r="C3621" s="51"/>
      <c r="D3621" s="51"/>
    </row>
    <row r="3622" spans="3:4" x14ac:dyDescent="0.35">
      <c r="C3622" s="51"/>
      <c r="D3622" s="51"/>
    </row>
    <row r="3623" spans="3:4" x14ac:dyDescent="0.35">
      <c r="C3623" s="51"/>
      <c r="D3623" s="51"/>
    </row>
    <row r="3624" spans="3:4" x14ac:dyDescent="0.35">
      <c r="C3624" s="51"/>
      <c r="D3624" s="51"/>
    </row>
    <row r="3625" spans="3:4" x14ac:dyDescent="0.35">
      <c r="C3625" s="51"/>
      <c r="D3625" s="51"/>
    </row>
    <row r="3626" spans="3:4" x14ac:dyDescent="0.35">
      <c r="C3626" s="51"/>
      <c r="D3626" s="51"/>
    </row>
    <row r="3627" spans="3:4" x14ac:dyDescent="0.35">
      <c r="C3627" s="51"/>
      <c r="D3627" s="51"/>
    </row>
    <row r="3628" spans="3:4" x14ac:dyDescent="0.35">
      <c r="C3628" s="51"/>
      <c r="D3628" s="51"/>
    </row>
    <row r="3629" spans="3:4" x14ac:dyDescent="0.35">
      <c r="C3629" s="51"/>
      <c r="D3629" s="51"/>
    </row>
    <row r="3630" spans="3:4" x14ac:dyDescent="0.35">
      <c r="C3630" s="51"/>
      <c r="D3630" s="51"/>
    </row>
    <row r="3631" spans="3:4" x14ac:dyDescent="0.35">
      <c r="C3631" s="51"/>
      <c r="D3631" s="51"/>
    </row>
    <row r="3632" spans="3:4" x14ac:dyDescent="0.35">
      <c r="C3632" s="51"/>
      <c r="D3632" s="51"/>
    </row>
    <row r="3633" spans="3:4" x14ac:dyDescent="0.35">
      <c r="C3633" s="51"/>
      <c r="D3633" s="51"/>
    </row>
    <row r="3634" spans="3:4" x14ac:dyDescent="0.35">
      <c r="C3634" s="51"/>
      <c r="D3634" s="51"/>
    </row>
    <row r="3635" spans="3:4" x14ac:dyDescent="0.35">
      <c r="C3635" s="51"/>
      <c r="D3635" s="51"/>
    </row>
    <row r="3636" spans="3:4" x14ac:dyDescent="0.35">
      <c r="C3636" s="51"/>
      <c r="D3636" s="51"/>
    </row>
    <row r="3637" spans="3:4" x14ac:dyDescent="0.35">
      <c r="C3637" s="51"/>
      <c r="D3637" s="51"/>
    </row>
    <row r="3638" spans="3:4" x14ac:dyDescent="0.35">
      <c r="C3638" s="51"/>
      <c r="D3638" s="51"/>
    </row>
    <row r="3639" spans="3:4" x14ac:dyDescent="0.35">
      <c r="C3639" s="51"/>
      <c r="D3639" s="51"/>
    </row>
    <row r="3640" spans="3:4" x14ac:dyDescent="0.35">
      <c r="C3640" s="51"/>
      <c r="D3640" s="51"/>
    </row>
    <row r="3641" spans="3:4" x14ac:dyDescent="0.35">
      <c r="C3641" s="51"/>
      <c r="D3641" s="51"/>
    </row>
    <row r="3642" spans="3:4" x14ac:dyDescent="0.35">
      <c r="C3642" s="51"/>
      <c r="D3642" s="51"/>
    </row>
    <row r="3643" spans="3:4" x14ac:dyDescent="0.35">
      <c r="C3643" s="51"/>
      <c r="D3643" s="51"/>
    </row>
    <row r="3644" spans="3:4" x14ac:dyDescent="0.35">
      <c r="C3644" s="51"/>
      <c r="D3644" s="51"/>
    </row>
    <row r="3645" spans="3:4" x14ac:dyDescent="0.35">
      <c r="C3645" s="51"/>
      <c r="D3645" s="51"/>
    </row>
    <row r="3646" spans="3:4" x14ac:dyDescent="0.35">
      <c r="C3646" s="51"/>
      <c r="D3646" s="51"/>
    </row>
    <row r="3647" spans="3:4" x14ac:dyDescent="0.35">
      <c r="C3647" s="51"/>
      <c r="D3647" s="51"/>
    </row>
    <row r="3648" spans="3:4" x14ac:dyDescent="0.35">
      <c r="C3648" s="51"/>
      <c r="D3648" s="51"/>
    </row>
    <row r="3649" spans="3:4" x14ac:dyDescent="0.35">
      <c r="C3649" s="51"/>
      <c r="D3649" s="51"/>
    </row>
    <row r="3650" spans="3:4" x14ac:dyDescent="0.35">
      <c r="C3650" s="51"/>
      <c r="D3650" s="51"/>
    </row>
    <row r="3651" spans="3:4" x14ac:dyDescent="0.35">
      <c r="C3651" s="51"/>
      <c r="D3651" s="51"/>
    </row>
    <row r="3652" spans="3:4" x14ac:dyDescent="0.35">
      <c r="C3652" s="51"/>
      <c r="D3652" s="51"/>
    </row>
    <row r="3653" spans="3:4" x14ac:dyDescent="0.35">
      <c r="C3653" s="51"/>
      <c r="D3653" s="51"/>
    </row>
    <row r="3654" spans="3:4" x14ac:dyDescent="0.35">
      <c r="C3654" s="51"/>
      <c r="D3654" s="51"/>
    </row>
    <row r="3655" spans="3:4" x14ac:dyDescent="0.35">
      <c r="C3655" s="51"/>
      <c r="D3655" s="51"/>
    </row>
    <row r="3656" spans="3:4" x14ac:dyDescent="0.35">
      <c r="C3656" s="51"/>
      <c r="D3656" s="51"/>
    </row>
    <row r="3657" spans="3:4" x14ac:dyDescent="0.35">
      <c r="C3657" s="51"/>
      <c r="D3657" s="51"/>
    </row>
    <row r="3658" spans="3:4" x14ac:dyDescent="0.35">
      <c r="C3658" s="51"/>
      <c r="D3658" s="51"/>
    </row>
    <row r="3659" spans="3:4" x14ac:dyDescent="0.35">
      <c r="C3659" s="51"/>
      <c r="D3659" s="51"/>
    </row>
    <row r="3660" spans="3:4" x14ac:dyDescent="0.35">
      <c r="C3660" s="51"/>
      <c r="D3660" s="51"/>
    </row>
    <row r="3661" spans="3:4" x14ac:dyDescent="0.35">
      <c r="C3661" s="51"/>
      <c r="D3661" s="51"/>
    </row>
    <row r="3662" spans="3:4" x14ac:dyDescent="0.35">
      <c r="C3662" s="51"/>
      <c r="D3662" s="51"/>
    </row>
    <row r="3663" spans="3:4" x14ac:dyDescent="0.35">
      <c r="C3663" s="51"/>
      <c r="D3663" s="51"/>
    </row>
    <row r="3664" spans="3:4" x14ac:dyDescent="0.35">
      <c r="C3664" s="51"/>
      <c r="D3664" s="51"/>
    </row>
    <row r="3665" spans="3:4" x14ac:dyDescent="0.35">
      <c r="C3665" s="51"/>
      <c r="D3665" s="51"/>
    </row>
    <row r="3666" spans="3:4" x14ac:dyDescent="0.35">
      <c r="C3666" s="51"/>
      <c r="D3666" s="51"/>
    </row>
    <row r="3667" spans="3:4" x14ac:dyDescent="0.35">
      <c r="C3667" s="51"/>
      <c r="D3667" s="51"/>
    </row>
    <row r="3668" spans="3:4" x14ac:dyDescent="0.35">
      <c r="C3668" s="51"/>
      <c r="D3668" s="51"/>
    </row>
    <row r="3669" spans="3:4" x14ac:dyDescent="0.35">
      <c r="C3669" s="51"/>
      <c r="D3669" s="51"/>
    </row>
    <row r="3670" spans="3:4" x14ac:dyDescent="0.35">
      <c r="C3670" s="51"/>
      <c r="D3670" s="51"/>
    </row>
    <row r="3671" spans="3:4" x14ac:dyDescent="0.35">
      <c r="C3671" s="51"/>
      <c r="D3671" s="51"/>
    </row>
    <row r="3672" spans="3:4" x14ac:dyDescent="0.35">
      <c r="C3672" s="51"/>
      <c r="D3672" s="51"/>
    </row>
    <row r="3673" spans="3:4" x14ac:dyDescent="0.35">
      <c r="C3673" s="51"/>
      <c r="D3673" s="51"/>
    </row>
    <row r="3674" spans="3:4" x14ac:dyDescent="0.35">
      <c r="C3674" s="51"/>
      <c r="D3674" s="51"/>
    </row>
    <row r="3675" spans="3:4" x14ac:dyDescent="0.35">
      <c r="C3675" s="51"/>
      <c r="D3675" s="51"/>
    </row>
    <row r="3676" spans="3:4" x14ac:dyDescent="0.35">
      <c r="C3676" s="51"/>
      <c r="D3676" s="51"/>
    </row>
    <row r="3677" spans="3:4" x14ac:dyDescent="0.35">
      <c r="C3677" s="51"/>
      <c r="D3677" s="51"/>
    </row>
    <row r="3678" spans="3:4" x14ac:dyDescent="0.35">
      <c r="C3678" s="51"/>
      <c r="D3678" s="51"/>
    </row>
    <row r="3679" spans="3:4" x14ac:dyDescent="0.35">
      <c r="C3679" s="51"/>
      <c r="D3679" s="51"/>
    </row>
    <row r="3680" spans="3:4" x14ac:dyDescent="0.35">
      <c r="C3680" s="51"/>
      <c r="D3680" s="51"/>
    </row>
    <row r="3681" spans="3:4" x14ac:dyDescent="0.35">
      <c r="C3681" s="51"/>
      <c r="D3681" s="51"/>
    </row>
    <row r="3682" spans="3:4" x14ac:dyDescent="0.35">
      <c r="C3682" s="51"/>
      <c r="D3682" s="51"/>
    </row>
    <row r="3683" spans="3:4" x14ac:dyDescent="0.35">
      <c r="C3683" s="51"/>
      <c r="D3683" s="51"/>
    </row>
    <row r="3684" spans="3:4" x14ac:dyDescent="0.35">
      <c r="C3684" s="51"/>
      <c r="D3684" s="51"/>
    </row>
    <row r="3685" spans="3:4" x14ac:dyDescent="0.35">
      <c r="C3685" s="51"/>
      <c r="D3685" s="51"/>
    </row>
    <row r="3686" spans="3:4" x14ac:dyDescent="0.35">
      <c r="C3686" s="51"/>
      <c r="D3686" s="51"/>
    </row>
    <row r="3687" spans="3:4" x14ac:dyDescent="0.35">
      <c r="C3687" s="51"/>
      <c r="D3687" s="51"/>
    </row>
    <row r="3688" spans="3:4" x14ac:dyDescent="0.35">
      <c r="C3688" s="51"/>
      <c r="D3688" s="51"/>
    </row>
    <row r="3689" spans="3:4" x14ac:dyDescent="0.35">
      <c r="C3689" s="51"/>
      <c r="D3689" s="51"/>
    </row>
    <row r="3690" spans="3:4" x14ac:dyDescent="0.35">
      <c r="C3690" s="51"/>
      <c r="D3690" s="51"/>
    </row>
    <row r="3691" spans="3:4" x14ac:dyDescent="0.35">
      <c r="C3691" s="51"/>
      <c r="D3691" s="51"/>
    </row>
    <row r="3692" spans="3:4" x14ac:dyDescent="0.35">
      <c r="C3692" s="51"/>
      <c r="D3692" s="51"/>
    </row>
    <row r="3693" spans="3:4" x14ac:dyDescent="0.35">
      <c r="C3693" s="51"/>
      <c r="D3693" s="51"/>
    </row>
    <row r="3694" spans="3:4" x14ac:dyDescent="0.35">
      <c r="C3694" s="51"/>
      <c r="D3694" s="51"/>
    </row>
    <row r="3695" spans="3:4" x14ac:dyDescent="0.35">
      <c r="C3695" s="51"/>
      <c r="D3695" s="51"/>
    </row>
    <row r="3696" spans="3:4" x14ac:dyDescent="0.35">
      <c r="C3696" s="51"/>
      <c r="D3696" s="51"/>
    </row>
    <row r="3697" spans="3:4" x14ac:dyDescent="0.35">
      <c r="C3697" s="51"/>
      <c r="D3697" s="51"/>
    </row>
    <row r="3698" spans="3:4" x14ac:dyDescent="0.35">
      <c r="C3698" s="51"/>
      <c r="D3698" s="51"/>
    </row>
    <row r="3699" spans="3:4" x14ac:dyDescent="0.35">
      <c r="C3699" s="51"/>
      <c r="D3699" s="51"/>
    </row>
    <row r="3700" spans="3:4" x14ac:dyDescent="0.35">
      <c r="C3700" s="51"/>
      <c r="D3700" s="51"/>
    </row>
    <row r="3701" spans="3:4" x14ac:dyDescent="0.35">
      <c r="C3701" s="51"/>
      <c r="D3701" s="51"/>
    </row>
    <row r="3702" spans="3:4" x14ac:dyDescent="0.35">
      <c r="C3702" s="51"/>
      <c r="D3702" s="51"/>
    </row>
    <row r="3703" spans="3:4" x14ac:dyDescent="0.35">
      <c r="C3703" s="51"/>
      <c r="D3703" s="51"/>
    </row>
    <row r="3704" spans="3:4" x14ac:dyDescent="0.35">
      <c r="C3704" s="51"/>
      <c r="D3704" s="51"/>
    </row>
    <row r="3705" spans="3:4" x14ac:dyDescent="0.35">
      <c r="C3705" s="51"/>
      <c r="D3705" s="51"/>
    </row>
    <row r="3706" spans="3:4" x14ac:dyDescent="0.35">
      <c r="C3706" s="51"/>
      <c r="D3706" s="51"/>
    </row>
    <row r="3707" spans="3:4" x14ac:dyDescent="0.35">
      <c r="C3707" s="51"/>
      <c r="D3707" s="51"/>
    </row>
    <row r="3708" spans="3:4" x14ac:dyDescent="0.35">
      <c r="C3708" s="51"/>
      <c r="D3708" s="51"/>
    </row>
    <row r="3709" spans="3:4" x14ac:dyDescent="0.35">
      <c r="C3709" s="51"/>
      <c r="D3709" s="51"/>
    </row>
    <row r="3710" spans="3:4" x14ac:dyDescent="0.35">
      <c r="C3710" s="51"/>
      <c r="D3710" s="51"/>
    </row>
    <row r="3711" spans="3:4" x14ac:dyDescent="0.35">
      <c r="C3711" s="51"/>
      <c r="D3711" s="51"/>
    </row>
    <row r="3712" spans="3:4" x14ac:dyDescent="0.35">
      <c r="C3712" s="51"/>
      <c r="D3712" s="51"/>
    </row>
    <row r="3713" spans="3:4" x14ac:dyDescent="0.35">
      <c r="C3713" s="51"/>
      <c r="D3713" s="51"/>
    </row>
    <row r="3714" spans="3:4" x14ac:dyDescent="0.35">
      <c r="C3714" s="51"/>
      <c r="D3714" s="51"/>
    </row>
    <row r="3715" spans="3:4" x14ac:dyDescent="0.35">
      <c r="C3715" s="51"/>
      <c r="D3715" s="51"/>
    </row>
    <row r="3716" spans="3:4" x14ac:dyDescent="0.35">
      <c r="C3716" s="51"/>
      <c r="D3716" s="51"/>
    </row>
    <row r="3717" spans="3:4" x14ac:dyDescent="0.35">
      <c r="C3717" s="51"/>
      <c r="D3717" s="51"/>
    </row>
    <row r="3718" spans="3:4" x14ac:dyDescent="0.35">
      <c r="C3718" s="51"/>
      <c r="D3718" s="51"/>
    </row>
    <row r="3719" spans="3:4" x14ac:dyDescent="0.35">
      <c r="C3719" s="51"/>
      <c r="D3719" s="51"/>
    </row>
    <row r="3720" spans="3:4" x14ac:dyDescent="0.35">
      <c r="C3720" s="51"/>
      <c r="D3720" s="51"/>
    </row>
    <row r="3721" spans="3:4" x14ac:dyDescent="0.35">
      <c r="C3721" s="51"/>
      <c r="D3721" s="51"/>
    </row>
    <row r="3722" spans="3:4" x14ac:dyDescent="0.35">
      <c r="C3722" s="51"/>
      <c r="D3722" s="51"/>
    </row>
    <row r="3723" spans="3:4" x14ac:dyDescent="0.35">
      <c r="C3723" s="51"/>
      <c r="D3723" s="51"/>
    </row>
    <row r="3724" spans="3:4" x14ac:dyDescent="0.35">
      <c r="C3724" s="51"/>
      <c r="D3724" s="51"/>
    </row>
    <row r="3725" spans="3:4" x14ac:dyDescent="0.35">
      <c r="C3725" s="51"/>
      <c r="D3725" s="51"/>
    </row>
    <row r="3726" spans="3:4" x14ac:dyDescent="0.35">
      <c r="C3726" s="51"/>
      <c r="D3726" s="51"/>
    </row>
    <row r="3727" spans="3:4" x14ac:dyDescent="0.35">
      <c r="C3727" s="51"/>
      <c r="D3727" s="51"/>
    </row>
    <row r="3728" spans="3:4" x14ac:dyDescent="0.35">
      <c r="C3728" s="51"/>
      <c r="D3728" s="51"/>
    </row>
    <row r="3729" spans="3:4" x14ac:dyDescent="0.35">
      <c r="C3729" s="51"/>
      <c r="D3729" s="51"/>
    </row>
    <row r="3730" spans="3:4" x14ac:dyDescent="0.35">
      <c r="C3730" s="51"/>
      <c r="D3730" s="51"/>
    </row>
    <row r="3731" spans="3:4" x14ac:dyDescent="0.35">
      <c r="C3731" s="51"/>
      <c r="D3731" s="51"/>
    </row>
    <row r="3732" spans="3:4" x14ac:dyDescent="0.35">
      <c r="C3732" s="51"/>
      <c r="D3732" s="51"/>
    </row>
    <row r="3733" spans="3:4" x14ac:dyDescent="0.35">
      <c r="C3733" s="51"/>
      <c r="D3733" s="51"/>
    </row>
    <row r="3734" spans="3:4" x14ac:dyDescent="0.35">
      <c r="C3734" s="51"/>
      <c r="D3734" s="51"/>
    </row>
    <row r="3735" spans="3:4" x14ac:dyDescent="0.35">
      <c r="C3735" s="51"/>
      <c r="D3735" s="51"/>
    </row>
    <row r="3736" spans="3:4" x14ac:dyDescent="0.35">
      <c r="C3736" s="51"/>
      <c r="D3736" s="51"/>
    </row>
    <row r="3737" spans="3:4" x14ac:dyDescent="0.35">
      <c r="C3737" s="51"/>
      <c r="D3737" s="51"/>
    </row>
    <row r="3738" spans="3:4" x14ac:dyDescent="0.35">
      <c r="C3738" s="51"/>
      <c r="D3738" s="51"/>
    </row>
    <row r="3739" spans="3:4" x14ac:dyDescent="0.35">
      <c r="C3739" s="51"/>
      <c r="D3739" s="51"/>
    </row>
    <row r="3740" spans="3:4" x14ac:dyDescent="0.35">
      <c r="C3740" s="51"/>
      <c r="D3740" s="51"/>
    </row>
    <row r="3741" spans="3:4" x14ac:dyDescent="0.35">
      <c r="C3741" s="51"/>
      <c r="D3741" s="51"/>
    </row>
    <row r="3742" spans="3:4" x14ac:dyDescent="0.35">
      <c r="C3742" s="51"/>
      <c r="D3742" s="51"/>
    </row>
    <row r="3743" spans="3:4" x14ac:dyDescent="0.35">
      <c r="C3743" s="51"/>
      <c r="D3743" s="51"/>
    </row>
    <row r="3744" spans="3:4" x14ac:dyDescent="0.35">
      <c r="C3744" s="51"/>
      <c r="D3744" s="51"/>
    </row>
    <row r="3745" spans="3:4" x14ac:dyDescent="0.35">
      <c r="C3745" s="51"/>
      <c r="D3745" s="51"/>
    </row>
    <row r="3746" spans="3:4" x14ac:dyDescent="0.35">
      <c r="C3746" s="51"/>
      <c r="D3746" s="51"/>
    </row>
    <row r="3747" spans="3:4" x14ac:dyDescent="0.35">
      <c r="C3747" s="51"/>
      <c r="D3747" s="51"/>
    </row>
    <row r="3748" spans="3:4" x14ac:dyDescent="0.35">
      <c r="C3748" s="51"/>
      <c r="D3748" s="51"/>
    </row>
    <row r="3749" spans="3:4" x14ac:dyDescent="0.35">
      <c r="C3749" s="51"/>
      <c r="D3749" s="51"/>
    </row>
    <row r="3750" spans="3:4" x14ac:dyDescent="0.35">
      <c r="C3750" s="51"/>
      <c r="D3750" s="51"/>
    </row>
    <row r="3751" spans="3:4" x14ac:dyDescent="0.35">
      <c r="C3751" s="51"/>
      <c r="D3751" s="51"/>
    </row>
    <row r="3752" spans="3:4" x14ac:dyDescent="0.35">
      <c r="C3752" s="51"/>
      <c r="D3752" s="51"/>
    </row>
    <row r="3753" spans="3:4" x14ac:dyDescent="0.35">
      <c r="C3753" s="51"/>
      <c r="D3753" s="51"/>
    </row>
    <row r="3754" spans="3:4" x14ac:dyDescent="0.35">
      <c r="C3754" s="51"/>
      <c r="D3754" s="51"/>
    </row>
    <row r="3755" spans="3:4" x14ac:dyDescent="0.35">
      <c r="C3755" s="51"/>
      <c r="D3755" s="51"/>
    </row>
    <row r="3756" spans="3:4" x14ac:dyDescent="0.35">
      <c r="C3756" s="51"/>
      <c r="D3756" s="51"/>
    </row>
    <row r="3757" spans="3:4" x14ac:dyDescent="0.35">
      <c r="C3757" s="51"/>
      <c r="D3757" s="51"/>
    </row>
    <row r="3758" spans="3:4" x14ac:dyDescent="0.35">
      <c r="C3758" s="51"/>
      <c r="D3758" s="51"/>
    </row>
    <row r="3759" spans="3:4" x14ac:dyDescent="0.35">
      <c r="C3759" s="51"/>
      <c r="D3759" s="51"/>
    </row>
    <row r="3760" spans="3:4" x14ac:dyDescent="0.35">
      <c r="C3760" s="51"/>
      <c r="D3760" s="51"/>
    </row>
    <row r="3761" spans="3:4" x14ac:dyDescent="0.35">
      <c r="C3761" s="51"/>
      <c r="D3761" s="51"/>
    </row>
    <row r="3762" spans="3:4" x14ac:dyDescent="0.35">
      <c r="C3762" s="51"/>
      <c r="D3762" s="51"/>
    </row>
    <row r="3763" spans="3:4" x14ac:dyDescent="0.35">
      <c r="C3763" s="51"/>
      <c r="D3763" s="51"/>
    </row>
    <row r="3764" spans="3:4" x14ac:dyDescent="0.35">
      <c r="C3764" s="51"/>
      <c r="D3764" s="51"/>
    </row>
    <row r="3765" spans="3:4" x14ac:dyDescent="0.35">
      <c r="C3765" s="51"/>
      <c r="D3765" s="51"/>
    </row>
    <row r="3766" spans="3:4" x14ac:dyDescent="0.35">
      <c r="C3766" s="51"/>
      <c r="D3766" s="51"/>
    </row>
    <row r="3767" spans="3:4" x14ac:dyDescent="0.35">
      <c r="C3767" s="51"/>
      <c r="D3767" s="51"/>
    </row>
    <row r="3768" spans="3:4" x14ac:dyDescent="0.35">
      <c r="C3768" s="51"/>
      <c r="D3768" s="51"/>
    </row>
    <row r="3769" spans="3:4" x14ac:dyDescent="0.35">
      <c r="C3769" s="51"/>
      <c r="D3769" s="51"/>
    </row>
    <row r="3770" spans="3:4" x14ac:dyDescent="0.35">
      <c r="C3770" s="51"/>
      <c r="D3770" s="51"/>
    </row>
    <row r="3771" spans="3:4" x14ac:dyDescent="0.35">
      <c r="C3771" s="51"/>
      <c r="D3771" s="51"/>
    </row>
    <row r="3772" spans="3:4" x14ac:dyDescent="0.35">
      <c r="C3772" s="51"/>
      <c r="D3772" s="51"/>
    </row>
    <row r="3773" spans="3:4" x14ac:dyDescent="0.35">
      <c r="C3773" s="51"/>
      <c r="D3773" s="51"/>
    </row>
    <row r="3774" spans="3:4" x14ac:dyDescent="0.35">
      <c r="C3774" s="51"/>
      <c r="D3774" s="51"/>
    </row>
    <row r="3775" spans="3:4" x14ac:dyDescent="0.35">
      <c r="C3775" s="51"/>
      <c r="D3775" s="51"/>
    </row>
    <row r="3776" spans="3:4" x14ac:dyDescent="0.35">
      <c r="C3776" s="51"/>
      <c r="D3776" s="51"/>
    </row>
    <row r="3777" spans="3:4" x14ac:dyDescent="0.35">
      <c r="C3777" s="51"/>
      <c r="D3777" s="51"/>
    </row>
    <row r="3778" spans="3:4" x14ac:dyDescent="0.35">
      <c r="C3778" s="51"/>
      <c r="D3778" s="51"/>
    </row>
    <row r="3779" spans="3:4" x14ac:dyDescent="0.35">
      <c r="C3779" s="51"/>
      <c r="D3779" s="51"/>
    </row>
    <row r="3780" spans="3:4" x14ac:dyDescent="0.35">
      <c r="C3780" s="51"/>
      <c r="D3780" s="51"/>
    </row>
    <row r="3781" spans="3:4" x14ac:dyDescent="0.35">
      <c r="C3781" s="51"/>
      <c r="D3781" s="51"/>
    </row>
    <row r="3782" spans="3:4" x14ac:dyDescent="0.35">
      <c r="C3782" s="51"/>
      <c r="D3782" s="51"/>
    </row>
    <row r="3783" spans="3:4" x14ac:dyDescent="0.35">
      <c r="C3783" s="51"/>
      <c r="D3783" s="51"/>
    </row>
    <row r="3784" spans="3:4" x14ac:dyDescent="0.35">
      <c r="C3784" s="51"/>
      <c r="D3784" s="51"/>
    </row>
    <row r="3785" spans="3:4" x14ac:dyDescent="0.35">
      <c r="C3785" s="51"/>
      <c r="D3785" s="51"/>
    </row>
    <row r="3786" spans="3:4" x14ac:dyDescent="0.35">
      <c r="C3786" s="51"/>
      <c r="D3786" s="51"/>
    </row>
    <row r="3787" spans="3:4" x14ac:dyDescent="0.35">
      <c r="C3787" s="51"/>
      <c r="D3787" s="51"/>
    </row>
    <row r="3788" spans="3:4" x14ac:dyDescent="0.35">
      <c r="C3788" s="51"/>
      <c r="D3788" s="51"/>
    </row>
    <row r="3789" spans="3:4" x14ac:dyDescent="0.35">
      <c r="C3789" s="51"/>
      <c r="D3789" s="51"/>
    </row>
    <row r="3790" spans="3:4" x14ac:dyDescent="0.35">
      <c r="C3790" s="51"/>
      <c r="D3790" s="51"/>
    </row>
    <row r="3791" spans="3:4" x14ac:dyDescent="0.35">
      <c r="C3791" s="51"/>
      <c r="D3791" s="51"/>
    </row>
    <row r="3792" spans="3:4" x14ac:dyDescent="0.35">
      <c r="C3792" s="51"/>
      <c r="D3792" s="51"/>
    </row>
    <row r="3793" spans="3:4" x14ac:dyDescent="0.35">
      <c r="C3793" s="51"/>
      <c r="D3793" s="51"/>
    </row>
    <row r="3794" spans="3:4" x14ac:dyDescent="0.35">
      <c r="C3794" s="51"/>
      <c r="D3794" s="51"/>
    </row>
    <row r="3795" spans="3:4" x14ac:dyDescent="0.35">
      <c r="C3795" s="51"/>
      <c r="D3795" s="51"/>
    </row>
    <row r="3796" spans="3:4" x14ac:dyDescent="0.35">
      <c r="C3796" s="51"/>
      <c r="D3796" s="51"/>
    </row>
    <row r="3797" spans="3:4" x14ac:dyDescent="0.35">
      <c r="C3797" s="51"/>
      <c r="D3797" s="51"/>
    </row>
    <row r="3798" spans="3:4" x14ac:dyDescent="0.35">
      <c r="C3798" s="51"/>
      <c r="D3798" s="51"/>
    </row>
    <row r="3799" spans="3:4" x14ac:dyDescent="0.35">
      <c r="C3799" s="51"/>
      <c r="D3799" s="51"/>
    </row>
    <row r="3800" spans="3:4" x14ac:dyDescent="0.35">
      <c r="C3800" s="51"/>
      <c r="D3800" s="51"/>
    </row>
    <row r="3801" spans="3:4" x14ac:dyDescent="0.35">
      <c r="C3801" s="51"/>
      <c r="D3801" s="51"/>
    </row>
    <row r="3802" spans="3:4" x14ac:dyDescent="0.35">
      <c r="C3802" s="51"/>
      <c r="D3802" s="51"/>
    </row>
    <row r="3803" spans="3:4" x14ac:dyDescent="0.35">
      <c r="C3803" s="51"/>
      <c r="D3803" s="51"/>
    </row>
    <row r="3804" spans="3:4" x14ac:dyDescent="0.35">
      <c r="C3804" s="51"/>
      <c r="D3804" s="51"/>
    </row>
    <row r="3805" spans="3:4" x14ac:dyDescent="0.35">
      <c r="C3805" s="51"/>
      <c r="D3805" s="51"/>
    </row>
    <row r="3806" spans="3:4" x14ac:dyDescent="0.35">
      <c r="C3806" s="51"/>
      <c r="D3806" s="51"/>
    </row>
    <row r="3807" spans="3:4" x14ac:dyDescent="0.35">
      <c r="C3807" s="51"/>
      <c r="D3807" s="51"/>
    </row>
    <row r="3808" spans="3:4" x14ac:dyDescent="0.35">
      <c r="C3808" s="51"/>
      <c r="D3808" s="51"/>
    </row>
    <row r="3809" spans="3:4" x14ac:dyDescent="0.35">
      <c r="C3809" s="51"/>
      <c r="D3809" s="51"/>
    </row>
    <row r="3810" spans="3:4" x14ac:dyDescent="0.35">
      <c r="C3810" s="51"/>
      <c r="D3810" s="51"/>
    </row>
    <row r="3811" spans="3:4" x14ac:dyDescent="0.35">
      <c r="C3811" s="51"/>
      <c r="D3811" s="51"/>
    </row>
    <row r="3812" spans="3:4" x14ac:dyDescent="0.35">
      <c r="C3812" s="51"/>
      <c r="D3812" s="51"/>
    </row>
    <row r="3813" spans="3:4" x14ac:dyDescent="0.35">
      <c r="C3813" s="51"/>
      <c r="D3813" s="51"/>
    </row>
    <row r="3814" spans="3:4" x14ac:dyDescent="0.35">
      <c r="C3814" s="51"/>
      <c r="D3814" s="51"/>
    </row>
    <row r="3815" spans="3:4" x14ac:dyDescent="0.35">
      <c r="C3815" s="51"/>
      <c r="D3815" s="51"/>
    </row>
    <row r="3816" spans="3:4" x14ac:dyDescent="0.35">
      <c r="C3816" s="51"/>
      <c r="D3816" s="51"/>
    </row>
    <row r="3817" spans="3:4" x14ac:dyDescent="0.35">
      <c r="C3817" s="51"/>
      <c r="D3817" s="51"/>
    </row>
    <row r="3818" spans="3:4" x14ac:dyDescent="0.35">
      <c r="C3818" s="51"/>
      <c r="D3818" s="51"/>
    </row>
    <row r="3819" spans="3:4" x14ac:dyDescent="0.35">
      <c r="C3819" s="51"/>
      <c r="D3819" s="51"/>
    </row>
    <row r="3820" spans="3:4" x14ac:dyDescent="0.35">
      <c r="C3820" s="51"/>
      <c r="D3820" s="51"/>
    </row>
    <row r="3821" spans="3:4" x14ac:dyDescent="0.35">
      <c r="C3821" s="51"/>
      <c r="D3821" s="51"/>
    </row>
    <row r="3822" spans="3:4" x14ac:dyDescent="0.35">
      <c r="C3822" s="51"/>
      <c r="D3822" s="51"/>
    </row>
    <row r="3823" spans="3:4" x14ac:dyDescent="0.35">
      <c r="C3823" s="51"/>
      <c r="D3823" s="51"/>
    </row>
    <row r="3824" spans="3:4" x14ac:dyDescent="0.35">
      <c r="C3824" s="51"/>
      <c r="D3824" s="51"/>
    </row>
    <row r="3825" spans="3:4" x14ac:dyDescent="0.35">
      <c r="C3825" s="51"/>
      <c r="D3825" s="51"/>
    </row>
    <row r="3826" spans="3:4" x14ac:dyDescent="0.35">
      <c r="C3826" s="51"/>
      <c r="D3826" s="51"/>
    </row>
    <row r="3827" spans="3:4" x14ac:dyDescent="0.35">
      <c r="C3827" s="51"/>
      <c r="D3827" s="51"/>
    </row>
    <row r="3828" spans="3:4" x14ac:dyDescent="0.35">
      <c r="C3828" s="51"/>
      <c r="D3828" s="51"/>
    </row>
    <row r="3829" spans="3:4" x14ac:dyDescent="0.35">
      <c r="C3829" s="51"/>
      <c r="D3829" s="51"/>
    </row>
    <row r="3830" spans="3:4" x14ac:dyDescent="0.35">
      <c r="C3830" s="51"/>
      <c r="D3830" s="51"/>
    </row>
    <row r="3831" spans="3:4" x14ac:dyDescent="0.35">
      <c r="C3831" s="51"/>
      <c r="D3831" s="51"/>
    </row>
    <row r="3832" spans="3:4" x14ac:dyDescent="0.35">
      <c r="C3832" s="51"/>
      <c r="D3832" s="51"/>
    </row>
    <row r="3833" spans="3:4" x14ac:dyDescent="0.35">
      <c r="C3833" s="51"/>
      <c r="D3833" s="51"/>
    </row>
    <row r="3834" spans="3:4" x14ac:dyDescent="0.35">
      <c r="C3834" s="51"/>
      <c r="D3834" s="51"/>
    </row>
    <row r="3835" spans="3:4" x14ac:dyDescent="0.35">
      <c r="C3835" s="51"/>
      <c r="D3835" s="51"/>
    </row>
    <row r="3836" spans="3:4" x14ac:dyDescent="0.35">
      <c r="C3836" s="51"/>
      <c r="D3836" s="51"/>
    </row>
    <row r="3837" spans="3:4" x14ac:dyDescent="0.35">
      <c r="C3837" s="51"/>
      <c r="D3837" s="51"/>
    </row>
    <row r="3838" spans="3:4" x14ac:dyDescent="0.35">
      <c r="C3838" s="51"/>
      <c r="D3838" s="51"/>
    </row>
    <row r="3839" spans="3:4" x14ac:dyDescent="0.35">
      <c r="C3839" s="51"/>
      <c r="D3839" s="51"/>
    </row>
    <row r="3840" spans="3:4" x14ac:dyDescent="0.35">
      <c r="C3840" s="51"/>
      <c r="D3840" s="51"/>
    </row>
    <row r="3841" spans="3:4" x14ac:dyDescent="0.35">
      <c r="C3841" s="51"/>
      <c r="D3841" s="51"/>
    </row>
    <row r="3842" spans="3:4" x14ac:dyDescent="0.35">
      <c r="C3842" s="51"/>
      <c r="D3842" s="51"/>
    </row>
    <row r="3843" spans="3:4" x14ac:dyDescent="0.35">
      <c r="C3843" s="51"/>
      <c r="D3843" s="51"/>
    </row>
    <row r="3844" spans="3:4" x14ac:dyDescent="0.35">
      <c r="C3844" s="51"/>
      <c r="D3844" s="51"/>
    </row>
    <row r="3845" spans="3:4" x14ac:dyDescent="0.35">
      <c r="C3845" s="51"/>
      <c r="D3845" s="51"/>
    </row>
    <row r="3846" spans="3:4" x14ac:dyDescent="0.35">
      <c r="C3846" s="51"/>
      <c r="D3846" s="51"/>
    </row>
    <row r="3847" spans="3:4" x14ac:dyDescent="0.35">
      <c r="C3847" s="51"/>
      <c r="D3847" s="51"/>
    </row>
    <row r="3848" spans="3:4" x14ac:dyDescent="0.35">
      <c r="C3848" s="51"/>
      <c r="D3848" s="51"/>
    </row>
    <row r="3849" spans="3:4" x14ac:dyDescent="0.35">
      <c r="C3849" s="51"/>
      <c r="D3849" s="51"/>
    </row>
    <row r="3850" spans="3:4" x14ac:dyDescent="0.35">
      <c r="C3850" s="51"/>
      <c r="D3850" s="51"/>
    </row>
    <row r="3851" spans="3:4" x14ac:dyDescent="0.35">
      <c r="C3851" s="51"/>
      <c r="D3851" s="51"/>
    </row>
    <row r="3852" spans="3:4" x14ac:dyDescent="0.35">
      <c r="C3852" s="51"/>
      <c r="D3852" s="51"/>
    </row>
    <row r="3853" spans="3:4" x14ac:dyDescent="0.35">
      <c r="C3853" s="51"/>
      <c r="D3853" s="51"/>
    </row>
    <row r="3854" spans="3:4" x14ac:dyDescent="0.35">
      <c r="C3854" s="51"/>
      <c r="D3854" s="51"/>
    </row>
    <row r="3855" spans="3:4" x14ac:dyDescent="0.35">
      <c r="C3855" s="51"/>
      <c r="D3855" s="51"/>
    </row>
    <row r="3856" spans="3:4" x14ac:dyDescent="0.35">
      <c r="C3856" s="51"/>
      <c r="D3856" s="51"/>
    </row>
    <row r="3857" spans="3:4" x14ac:dyDescent="0.35">
      <c r="C3857" s="51"/>
      <c r="D3857" s="51"/>
    </row>
    <row r="3858" spans="3:4" x14ac:dyDescent="0.35">
      <c r="C3858" s="51"/>
      <c r="D3858" s="51"/>
    </row>
    <row r="3859" spans="3:4" x14ac:dyDescent="0.35">
      <c r="C3859" s="51"/>
      <c r="D3859" s="51"/>
    </row>
    <row r="3860" spans="3:4" x14ac:dyDescent="0.35">
      <c r="C3860" s="51"/>
      <c r="D3860" s="51"/>
    </row>
    <row r="3861" spans="3:4" x14ac:dyDescent="0.35">
      <c r="C3861" s="51"/>
      <c r="D3861" s="51"/>
    </row>
    <row r="3862" spans="3:4" x14ac:dyDescent="0.35">
      <c r="C3862" s="51"/>
      <c r="D3862" s="51"/>
    </row>
    <row r="3863" spans="3:4" x14ac:dyDescent="0.35">
      <c r="C3863" s="51"/>
      <c r="D3863" s="51"/>
    </row>
    <row r="3864" spans="3:4" x14ac:dyDescent="0.35">
      <c r="C3864" s="51"/>
      <c r="D3864" s="51"/>
    </row>
    <row r="3865" spans="3:4" x14ac:dyDescent="0.35">
      <c r="C3865" s="51"/>
      <c r="D3865" s="51"/>
    </row>
    <row r="3866" spans="3:4" x14ac:dyDescent="0.35">
      <c r="C3866" s="51"/>
      <c r="D3866" s="51"/>
    </row>
    <row r="3867" spans="3:4" x14ac:dyDescent="0.35">
      <c r="C3867" s="51"/>
      <c r="D3867" s="51"/>
    </row>
    <row r="3868" spans="3:4" x14ac:dyDescent="0.35">
      <c r="C3868" s="51"/>
      <c r="D3868" s="51"/>
    </row>
    <row r="3869" spans="3:4" x14ac:dyDescent="0.35">
      <c r="C3869" s="51"/>
      <c r="D3869" s="51"/>
    </row>
    <row r="3870" spans="3:4" x14ac:dyDescent="0.35">
      <c r="C3870" s="51"/>
      <c r="D3870" s="51"/>
    </row>
    <row r="3871" spans="3:4" x14ac:dyDescent="0.35">
      <c r="C3871" s="51"/>
      <c r="D3871" s="51"/>
    </row>
    <row r="3872" spans="3:4" x14ac:dyDescent="0.35">
      <c r="C3872" s="51"/>
      <c r="D3872" s="51"/>
    </row>
    <row r="3873" spans="3:4" x14ac:dyDescent="0.35">
      <c r="C3873" s="51"/>
      <c r="D3873" s="51"/>
    </row>
    <row r="3874" spans="3:4" x14ac:dyDescent="0.35">
      <c r="C3874" s="51"/>
      <c r="D3874" s="51"/>
    </row>
    <row r="3875" spans="3:4" x14ac:dyDescent="0.35">
      <c r="C3875" s="51"/>
      <c r="D3875" s="51"/>
    </row>
    <row r="3876" spans="3:4" x14ac:dyDescent="0.35">
      <c r="C3876" s="51"/>
      <c r="D3876" s="51"/>
    </row>
    <row r="3877" spans="3:4" x14ac:dyDescent="0.35">
      <c r="C3877" s="51"/>
      <c r="D3877" s="51"/>
    </row>
    <row r="3878" spans="3:4" x14ac:dyDescent="0.35">
      <c r="C3878" s="51"/>
      <c r="D3878" s="51"/>
    </row>
    <row r="3879" spans="3:4" x14ac:dyDescent="0.35">
      <c r="C3879" s="51"/>
      <c r="D3879" s="51"/>
    </row>
    <row r="3880" spans="3:4" x14ac:dyDescent="0.35">
      <c r="C3880" s="51"/>
      <c r="D3880" s="51"/>
    </row>
    <row r="3881" spans="3:4" x14ac:dyDescent="0.35">
      <c r="C3881" s="51"/>
      <c r="D3881" s="51"/>
    </row>
    <row r="3882" spans="3:4" x14ac:dyDescent="0.35">
      <c r="C3882" s="51"/>
      <c r="D3882" s="51"/>
    </row>
    <row r="3883" spans="3:4" x14ac:dyDescent="0.35">
      <c r="C3883" s="51"/>
      <c r="D3883" s="51"/>
    </row>
    <row r="3884" spans="3:4" x14ac:dyDescent="0.35">
      <c r="C3884" s="51"/>
      <c r="D3884" s="51"/>
    </row>
    <row r="3885" spans="3:4" x14ac:dyDescent="0.35">
      <c r="C3885" s="51"/>
      <c r="D3885" s="51"/>
    </row>
    <row r="3886" spans="3:4" x14ac:dyDescent="0.35">
      <c r="C3886" s="51"/>
      <c r="D3886" s="51"/>
    </row>
    <row r="3887" spans="3:4" x14ac:dyDescent="0.35">
      <c r="C3887" s="51"/>
      <c r="D3887" s="51"/>
    </row>
    <row r="3888" spans="3:4" x14ac:dyDescent="0.35">
      <c r="C3888" s="51"/>
      <c r="D3888" s="51"/>
    </row>
    <row r="3889" spans="3:4" x14ac:dyDescent="0.35">
      <c r="C3889" s="51"/>
      <c r="D3889" s="51"/>
    </row>
    <row r="3890" spans="3:4" x14ac:dyDescent="0.35">
      <c r="C3890" s="51"/>
      <c r="D3890" s="51"/>
    </row>
    <row r="3891" spans="3:4" x14ac:dyDescent="0.35">
      <c r="C3891" s="51"/>
      <c r="D3891" s="51"/>
    </row>
    <row r="3892" spans="3:4" x14ac:dyDescent="0.35">
      <c r="C3892" s="51"/>
      <c r="D3892" s="51"/>
    </row>
    <row r="3893" spans="3:4" x14ac:dyDescent="0.35">
      <c r="C3893" s="51"/>
      <c r="D3893" s="51"/>
    </row>
    <row r="3894" spans="3:4" x14ac:dyDescent="0.35">
      <c r="C3894" s="51"/>
      <c r="D3894" s="51"/>
    </row>
    <row r="3895" spans="3:4" x14ac:dyDescent="0.35">
      <c r="C3895" s="51"/>
      <c r="D3895" s="51"/>
    </row>
    <row r="3896" spans="3:4" x14ac:dyDescent="0.35">
      <c r="C3896" s="51"/>
      <c r="D3896" s="51"/>
    </row>
    <row r="3897" spans="3:4" x14ac:dyDescent="0.35">
      <c r="C3897" s="51"/>
      <c r="D3897" s="51"/>
    </row>
    <row r="3898" spans="3:4" x14ac:dyDescent="0.35">
      <c r="C3898" s="51"/>
      <c r="D3898" s="51"/>
    </row>
    <row r="3899" spans="3:4" x14ac:dyDescent="0.35">
      <c r="C3899" s="51"/>
      <c r="D3899" s="51"/>
    </row>
    <row r="3900" spans="3:4" x14ac:dyDescent="0.35">
      <c r="C3900" s="51"/>
      <c r="D3900" s="51"/>
    </row>
    <row r="3901" spans="3:4" x14ac:dyDescent="0.35">
      <c r="C3901" s="51"/>
      <c r="D3901" s="51"/>
    </row>
    <row r="3902" spans="3:4" x14ac:dyDescent="0.35">
      <c r="C3902" s="51"/>
      <c r="D3902" s="51"/>
    </row>
    <row r="3903" spans="3:4" x14ac:dyDescent="0.35">
      <c r="C3903" s="51"/>
      <c r="D3903" s="51"/>
    </row>
    <row r="3904" spans="3:4" x14ac:dyDescent="0.35">
      <c r="C3904" s="51"/>
      <c r="D3904" s="51"/>
    </row>
    <row r="3905" spans="3:4" x14ac:dyDescent="0.35">
      <c r="C3905" s="51"/>
      <c r="D3905" s="51"/>
    </row>
    <row r="3906" spans="3:4" x14ac:dyDescent="0.35">
      <c r="C3906" s="51"/>
      <c r="D3906" s="51"/>
    </row>
    <row r="3907" spans="3:4" x14ac:dyDescent="0.35">
      <c r="C3907" s="51"/>
      <c r="D3907" s="51"/>
    </row>
    <row r="3908" spans="3:4" x14ac:dyDescent="0.35">
      <c r="C3908" s="51"/>
      <c r="D3908" s="51"/>
    </row>
    <row r="3909" spans="3:4" x14ac:dyDescent="0.35">
      <c r="C3909" s="51"/>
      <c r="D3909" s="51"/>
    </row>
    <row r="3910" spans="3:4" x14ac:dyDescent="0.35">
      <c r="C3910" s="51"/>
      <c r="D3910" s="51"/>
    </row>
    <row r="3911" spans="3:4" x14ac:dyDescent="0.35">
      <c r="C3911" s="51"/>
      <c r="D3911" s="51"/>
    </row>
    <row r="3912" spans="3:4" x14ac:dyDescent="0.35">
      <c r="C3912" s="51"/>
      <c r="D3912" s="51"/>
    </row>
    <row r="3913" spans="3:4" x14ac:dyDescent="0.35">
      <c r="C3913" s="51"/>
      <c r="D3913" s="51"/>
    </row>
    <row r="3914" spans="3:4" x14ac:dyDescent="0.35">
      <c r="C3914" s="51"/>
      <c r="D3914" s="51"/>
    </row>
    <row r="3915" spans="3:4" x14ac:dyDescent="0.35">
      <c r="C3915" s="51"/>
      <c r="D3915" s="51"/>
    </row>
    <row r="3916" spans="3:4" x14ac:dyDescent="0.35">
      <c r="C3916" s="51"/>
      <c r="D3916" s="51"/>
    </row>
    <row r="3917" spans="3:4" x14ac:dyDescent="0.35">
      <c r="C3917" s="51"/>
      <c r="D3917" s="51"/>
    </row>
    <row r="3918" spans="3:4" x14ac:dyDescent="0.35">
      <c r="C3918" s="51"/>
      <c r="D3918" s="51"/>
    </row>
    <row r="3919" spans="3:4" x14ac:dyDescent="0.35">
      <c r="C3919" s="51"/>
      <c r="D3919" s="51"/>
    </row>
    <row r="3920" spans="3:4" x14ac:dyDescent="0.35">
      <c r="C3920" s="51"/>
      <c r="D3920" s="51"/>
    </row>
    <row r="3921" spans="3:4" x14ac:dyDescent="0.35">
      <c r="C3921" s="51"/>
      <c r="D3921" s="51"/>
    </row>
    <row r="3922" spans="3:4" x14ac:dyDescent="0.35">
      <c r="C3922" s="51"/>
      <c r="D3922" s="51"/>
    </row>
    <row r="3923" spans="3:4" x14ac:dyDescent="0.35">
      <c r="C3923" s="51"/>
      <c r="D3923" s="51"/>
    </row>
    <row r="3924" spans="3:4" x14ac:dyDescent="0.35">
      <c r="C3924" s="51"/>
      <c r="D3924" s="51"/>
    </row>
    <row r="3925" spans="3:4" x14ac:dyDescent="0.35">
      <c r="C3925" s="51"/>
      <c r="D3925" s="51"/>
    </row>
    <row r="3926" spans="3:4" x14ac:dyDescent="0.35">
      <c r="C3926" s="51"/>
      <c r="D3926" s="51"/>
    </row>
    <row r="3927" spans="3:4" x14ac:dyDescent="0.35">
      <c r="C3927" s="51"/>
      <c r="D3927" s="51"/>
    </row>
    <row r="3928" spans="3:4" x14ac:dyDescent="0.35">
      <c r="C3928" s="51"/>
      <c r="D3928" s="51"/>
    </row>
    <row r="3929" spans="3:4" x14ac:dyDescent="0.35">
      <c r="C3929" s="51"/>
      <c r="D3929" s="51"/>
    </row>
    <row r="3930" spans="3:4" x14ac:dyDescent="0.35">
      <c r="C3930" s="51"/>
      <c r="D3930" s="51"/>
    </row>
    <row r="3931" spans="3:4" x14ac:dyDescent="0.35">
      <c r="C3931" s="51"/>
      <c r="D3931" s="51"/>
    </row>
    <row r="3932" spans="3:4" x14ac:dyDescent="0.35">
      <c r="C3932" s="51"/>
      <c r="D3932" s="51"/>
    </row>
    <row r="3933" spans="3:4" x14ac:dyDescent="0.35">
      <c r="C3933" s="51"/>
      <c r="D3933" s="51"/>
    </row>
    <row r="3934" spans="3:4" x14ac:dyDescent="0.35">
      <c r="C3934" s="51"/>
      <c r="D3934" s="51"/>
    </row>
    <row r="3935" spans="3:4" x14ac:dyDescent="0.35">
      <c r="C3935" s="51"/>
      <c r="D3935" s="51"/>
    </row>
    <row r="3936" spans="3:4" x14ac:dyDescent="0.35">
      <c r="C3936" s="51"/>
      <c r="D3936" s="51"/>
    </row>
    <row r="3937" spans="3:4" x14ac:dyDescent="0.35">
      <c r="C3937" s="51"/>
      <c r="D3937" s="51"/>
    </row>
    <row r="3938" spans="3:4" x14ac:dyDescent="0.35">
      <c r="C3938" s="51"/>
      <c r="D3938" s="51"/>
    </row>
    <row r="3939" spans="3:4" x14ac:dyDescent="0.35">
      <c r="C3939" s="51"/>
      <c r="D3939" s="51"/>
    </row>
    <row r="3940" spans="3:4" x14ac:dyDescent="0.35">
      <c r="C3940" s="51"/>
      <c r="D3940" s="51"/>
    </row>
    <row r="3941" spans="3:4" x14ac:dyDescent="0.35">
      <c r="C3941" s="51"/>
      <c r="D3941" s="51"/>
    </row>
    <row r="3942" spans="3:4" x14ac:dyDescent="0.35">
      <c r="C3942" s="51"/>
      <c r="D3942" s="51"/>
    </row>
    <row r="3943" spans="3:4" x14ac:dyDescent="0.35">
      <c r="C3943" s="51"/>
      <c r="D3943" s="51"/>
    </row>
    <row r="3944" spans="3:4" x14ac:dyDescent="0.35">
      <c r="C3944" s="51"/>
      <c r="D3944" s="51"/>
    </row>
    <row r="3945" spans="3:4" x14ac:dyDescent="0.35">
      <c r="C3945" s="51"/>
      <c r="D3945" s="51"/>
    </row>
    <row r="3946" spans="3:4" x14ac:dyDescent="0.35">
      <c r="C3946" s="51"/>
      <c r="D3946" s="51"/>
    </row>
    <row r="3947" spans="3:4" x14ac:dyDescent="0.35">
      <c r="C3947" s="51"/>
      <c r="D3947" s="51"/>
    </row>
    <row r="3948" spans="3:4" x14ac:dyDescent="0.35">
      <c r="C3948" s="51"/>
      <c r="D3948" s="51"/>
    </row>
    <row r="3949" spans="3:4" x14ac:dyDescent="0.35">
      <c r="C3949" s="51"/>
      <c r="D3949" s="51"/>
    </row>
    <row r="3950" spans="3:4" x14ac:dyDescent="0.35">
      <c r="C3950" s="51"/>
      <c r="D3950" s="51"/>
    </row>
    <row r="3951" spans="3:4" x14ac:dyDescent="0.35">
      <c r="C3951" s="51"/>
      <c r="D3951" s="51"/>
    </row>
    <row r="3952" spans="3:4" x14ac:dyDescent="0.35">
      <c r="C3952" s="51"/>
      <c r="D3952" s="51"/>
    </row>
    <row r="3953" spans="3:4" x14ac:dyDescent="0.35">
      <c r="C3953" s="51"/>
      <c r="D3953" s="51"/>
    </row>
    <row r="3954" spans="3:4" x14ac:dyDescent="0.35">
      <c r="C3954" s="51"/>
      <c r="D3954" s="51"/>
    </row>
    <row r="3955" spans="3:4" x14ac:dyDescent="0.35">
      <c r="C3955" s="51"/>
      <c r="D3955" s="51"/>
    </row>
    <row r="3956" spans="3:4" x14ac:dyDescent="0.35">
      <c r="C3956" s="51"/>
      <c r="D3956" s="51"/>
    </row>
    <row r="3957" spans="3:4" x14ac:dyDescent="0.35">
      <c r="C3957" s="51"/>
      <c r="D3957" s="51"/>
    </row>
    <row r="3958" spans="3:4" x14ac:dyDescent="0.35">
      <c r="C3958" s="51"/>
      <c r="D3958" s="51"/>
    </row>
    <row r="3959" spans="3:4" x14ac:dyDescent="0.35">
      <c r="C3959" s="51"/>
      <c r="D3959" s="51"/>
    </row>
    <row r="3960" spans="3:4" x14ac:dyDescent="0.35">
      <c r="C3960" s="51"/>
      <c r="D3960" s="51"/>
    </row>
    <row r="3961" spans="3:4" x14ac:dyDescent="0.35">
      <c r="C3961" s="51"/>
      <c r="D3961" s="51"/>
    </row>
    <row r="3962" spans="3:4" x14ac:dyDescent="0.35">
      <c r="C3962" s="51"/>
      <c r="D3962" s="51"/>
    </row>
    <row r="3963" spans="3:4" x14ac:dyDescent="0.35">
      <c r="C3963" s="51"/>
      <c r="D3963" s="51"/>
    </row>
    <row r="3964" spans="3:4" x14ac:dyDescent="0.35">
      <c r="C3964" s="51"/>
      <c r="D3964" s="51"/>
    </row>
    <row r="3965" spans="3:4" x14ac:dyDescent="0.35">
      <c r="C3965" s="51"/>
      <c r="D3965" s="51"/>
    </row>
    <row r="3966" spans="3:4" x14ac:dyDescent="0.35">
      <c r="C3966" s="51"/>
      <c r="D3966" s="51"/>
    </row>
    <row r="3967" spans="3:4" x14ac:dyDescent="0.35">
      <c r="C3967" s="51"/>
      <c r="D3967" s="51"/>
    </row>
    <row r="3968" spans="3:4" x14ac:dyDescent="0.35">
      <c r="C3968" s="51"/>
      <c r="D3968" s="51"/>
    </row>
    <row r="3969" spans="3:4" x14ac:dyDescent="0.35">
      <c r="C3969" s="51"/>
      <c r="D3969" s="51"/>
    </row>
    <row r="3970" spans="3:4" x14ac:dyDescent="0.35">
      <c r="C3970" s="51"/>
      <c r="D3970" s="51"/>
    </row>
    <row r="3971" spans="3:4" x14ac:dyDescent="0.35">
      <c r="C3971" s="51"/>
      <c r="D3971" s="51"/>
    </row>
    <row r="3972" spans="3:4" x14ac:dyDescent="0.35">
      <c r="C3972" s="51"/>
      <c r="D3972" s="51"/>
    </row>
    <row r="3973" spans="3:4" x14ac:dyDescent="0.35">
      <c r="C3973" s="51"/>
      <c r="D3973" s="51"/>
    </row>
    <row r="3974" spans="3:4" x14ac:dyDescent="0.35">
      <c r="C3974" s="51"/>
      <c r="D3974" s="51"/>
    </row>
    <row r="3975" spans="3:4" x14ac:dyDescent="0.35">
      <c r="C3975" s="51"/>
      <c r="D3975" s="51"/>
    </row>
    <row r="3976" spans="3:4" x14ac:dyDescent="0.35">
      <c r="C3976" s="51"/>
      <c r="D3976" s="51"/>
    </row>
    <row r="3977" spans="3:4" x14ac:dyDescent="0.35">
      <c r="C3977" s="51"/>
      <c r="D3977" s="51"/>
    </row>
    <row r="3978" spans="3:4" x14ac:dyDescent="0.35">
      <c r="C3978" s="51"/>
      <c r="D3978" s="51"/>
    </row>
    <row r="3979" spans="3:4" x14ac:dyDescent="0.35">
      <c r="C3979" s="51"/>
      <c r="D3979" s="51"/>
    </row>
    <row r="3980" spans="3:4" x14ac:dyDescent="0.35">
      <c r="C3980" s="51"/>
      <c r="D3980" s="51"/>
    </row>
    <row r="3981" spans="3:4" x14ac:dyDescent="0.35">
      <c r="C3981" s="51"/>
      <c r="D3981" s="51"/>
    </row>
    <row r="3982" spans="3:4" x14ac:dyDescent="0.35">
      <c r="C3982" s="51"/>
      <c r="D3982" s="51"/>
    </row>
    <row r="3983" spans="3:4" x14ac:dyDescent="0.35">
      <c r="C3983" s="51"/>
      <c r="D3983" s="51"/>
    </row>
    <row r="3984" spans="3:4" x14ac:dyDescent="0.35">
      <c r="C3984" s="51"/>
      <c r="D3984" s="51"/>
    </row>
    <row r="3985" spans="3:4" x14ac:dyDescent="0.35">
      <c r="C3985" s="51"/>
      <c r="D3985" s="51"/>
    </row>
    <row r="3986" spans="3:4" x14ac:dyDescent="0.35">
      <c r="C3986" s="51"/>
      <c r="D3986" s="51"/>
    </row>
    <row r="3987" spans="3:4" x14ac:dyDescent="0.35">
      <c r="C3987" s="51"/>
      <c r="D3987" s="51"/>
    </row>
    <row r="3988" spans="3:4" x14ac:dyDescent="0.35">
      <c r="C3988" s="51"/>
      <c r="D3988" s="51"/>
    </row>
    <row r="3989" spans="3:4" x14ac:dyDescent="0.35">
      <c r="C3989" s="51"/>
      <c r="D3989" s="51"/>
    </row>
    <row r="3990" spans="3:4" x14ac:dyDescent="0.35">
      <c r="C3990" s="51"/>
      <c r="D3990" s="51"/>
    </row>
    <row r="3991" spans="3:4" x14ac:dyDescent="0.35">
      <c r="C3991" s="51"/>
      <c r="D3991" s="51"/>
    </row>
    <row r="3992" spans="3:4" x14ac:dyDescent="0.35">
      <c r="C3992" s="51"/>
      <c r="D3992" s="51"/>
    </row>
    <row r="3993" spans="3:4" x14ac:dyDescent="0.35">
      <c r="C3993" s="51"/>
      <c r="D3993" s="51"/>
    </row>
    <row r="3994" spans="3:4" x14ac:dyDescent="0.35">
      <c r="C3994" s="51"/>
      <c r="D3994" s="51"/>
    </row>
    <row r="3995" spans="3:4" x14ac:dyDescent="0.35">
      <c r="C3995" s="51"/>
      <c r="D3995" s="51"/>
    </row>
    <row r="3996" spans="3:4" x14ac:dyDescent="0.35">
      <c r="C3996" s="51"/>
      <c r="D3996" s="51"/>
    </row>
    <row r="3997" spans="3:4" x14ac:dyDescent="0.35">
      <c r="C3997" s="51"/>
      <c r="D3997" s="51"/>
    </row>
    <row r="3998" spans="3:4" x14ac:dyDescent="0.35">
      <c r="C3998" s="51"/>
      <c r="D3998" s="51"/>
    </row>
    <row r="3999" spans="3:4" x14ac:dyDescent="0.35">
      <c r="C3999" s="51"/>
      <c r="D3999" s="51"/>
    </row>
    <row r="4000" spans="3:4" x14ac:dyDescent="0.35">
      <c r="C4000" s="51"/>
      <c r="D4000" s="51"/>
    </row>
    <row r="4001" spans="3:4" x14ac:dyDescent="0.35">
      <c r="C4001" s="51"/>
      <c r="D4001" s="51"/>
    </row>
    <row r="4002" spans="3:4" x14ac:dyDescent="0.35">
      <c r="C4002" s="51"/>
      <c r="D4002" s="51"/>
    </row>
    <row r="4003" spans="3:4" x14ac:dyDescent="0.35">
      <c r="C4003" s="51"/>
      <c r="D4003" s="51"/>
    </row>
    <row r="4004" spans="3:4" x14ac:dyDescent="0.35">
      <c r="C4004" s="51"/>
      <c r="D4004" s="51"/>
    </row>
    <row r="4005" spans="3:4" x14ac:dyDescent="0.35">
      <c r="C4005" s="51"/>
      <c r="D4005" s="51"/>
    </row>
    <row r="4006" spans="3:4" x14ac:dyDescent="0.35">
      <c r="C4006" s="51"/>
      <c r="D4006" s="51"/>
    </row>
    <row r="4007" spans="3:4" x14ac:dyDescent="0.35">
      <c r="C4007" s="51"/>
      <c r="D4007" s="51"/>
    </row>
    <row r="4008" spans="3:4" x14ac:dyDescent="0.35">
      <c r="C4008" s="51"/>
      <c r="D4008" s="51"/>
    </row>
    <row r="4009" spans="3:4" x14ac:dyDescent="0.35">
      <c r="C4009" s="51"/>
      <c r="D4009" s="51"/>
    </row>
    <row r="4010" spans="3:4" x14ac:dyDescent="0.35">
      <c r="C4010" s="51"/>
      <c r="D4010" s="51"/>
    </row>
    <row r="4011" spans="3:4" x14ac:dyDescent="0.35">
      <c r="C4011" s="51"/>
      <c r="D4011" s="51"/>
    </row>
    <row r="4012" spans="3:4" x14ac:dyDescent="0.35">
      <c r="C4012" s="51"/>
      <c r="D4012" s="51"/>
    </row>
    <row r="4013" spans="3:4" x14ac:dyDescent="0.35">
      <c r="C4013" s="51"/>
      <c r="D4013" s="51"/>
    </row>
    <row r="4014" spans="3:4" x14ac:dyDescent="0.35">
      <c r="C4014" s="51"/>
      <c r="D4014" s="51"/>
    </row>
    <row r="4015" spans="3:4" x14ac:dyDescent="0.35">
      <c r="C4015" s="51"/>
      <c r="D4015" s="51"/>
    </row>
    <row r="4016" spans="3:4" x14ac:dyDescent="0.35">
      <c r="C4016" s="51"/>
      <c r="D4016" s="51"/>
    </row>
    <row r="4017" spans="3:4" x14ac:dyDescent="0.35">
      <c r="C4017" s="51"/>
      <c r="D4017" s="51"/>
    </row>
    <row r="4018" spans="3:4" x14ac:dyDescent="0.35">
      <c r="C4018" s="51"/>
      <c r="D4018" s="51"/>
    </row>
    <row r="4019" spans="3:4" x14ac:dyDescent="0.35">
      <c r="C4019" s="51"/>
      <c r="D4019" s="51"/>
    </row>
    <row r="4020" spans="3:4" x14ac:dyDescent="0.35">
      <c r="C4020" s="51"/>
      <c r="D4020" s="51"/>
    </row>
    <row r="4021" spans="3:4" x14ac:dyDescent="0.35">
      <c r="C4021" s="51"/>
      <c r="D4021" s="51"/>
    </row>
    <row r="4022" spans="3:4" x14ac:dyDescent="0.35">
      <c r="C4022" s="51"/>
      <c r="D4022" s="51"/>
    </row>
    <row r="4023" spans="3:4" x14ac:dyDescent="0.35">
      <c r="C4023" s="51"/>
      <c r="D4023" s="51"/>
    </row>
    <row r="4024" spans="3:4" x14ac:dyDescent="0.35">
      <c r="C4024" s="51"/>
      <c r="D4024" s="51"/>
    </row>
    <row r="4025" spans="3:4" x14ac:dyDescent="0.35">
      <c r="C4025" s="51"/>
      <c r="D4025" s="51"/>
    </row>
    <row r="4026" spans="3:4" x14ac:dyDescent="0.35">
      <c r="C4026" s="51"/>
      <c r="D4026" s="51"/>
    </row>
    <row r="4027" spans="3:4" x14ac:dyDescent="0.35">
      <c r="C4027" s="51"/>
      <c r="D4027" s="51"/>
    </row>
    <row r="4028" spans="3:4" x14ac:dyDescent="0.35">
      <c r="C4028" s="51"/>
      <c r="D4028" s="51"/>
    </row>
    <row r="4029" spans="3:4" x14ac:dyDescent="0.35">
      <c r="C4029" s="51"/>
      <c r="D4029" s="51"/>
    </row>
    <row r="4030" spans="3:4" x14ac:dyDescent="0.35">
      <c r="C4030" s="51"/>
      <c r="D4030" s="51"/>
    </row>
    <row r="4031" spans="3:4" x14ac:dyDescent="0.35">
      <c r="C4031" s="51"/>
      <c r="D4031" s="51"/>
    </row>
    <row r="4032" spans="3:4" x14ac:dyDescent="0.35">
      <c r="C4032" s="51"/>
      <c r="D4032" s="51"/>
    </row>
    <row r="4033" spans="3:4" x14ac:dyDescent="0.35">
      <c r="C4033" s="51"/>
      <c r="D4033" s="51"/>
    </row>
    <row r="4034" spans="3:4" x14ac:dyDescent="0.35">
      <c r="C4034" s="51"/>
      <c r="D4034" s="51"/>
    </row>
    <row r="4035" spans="3:4" x14ac:dyDescent="0.35">
      <c r="C4035" s="51"/>
      <c r="D4035" s="51"/>
    </row>
    <row r="4036" spans="3:4" x14ac:dyDescent="0.35">
      <c r="C4036" s="51"/>
      <c r="D4036" s="51"/>
    </row>
    <row r="4037" spans="3:4" x14ac:dyDescent="0.35">
      <c r="C4037" s="51"/>
      <c r="D4037" s="51"/>
    </row>
    <row r="4038" spans="3:4" x14ac:dyDescent="0.35">
      <c r="C4038" s="51"/>
      <c r="D4038" s="51"/>
    </row>
    <row r="4039" spans="3:4" x14ac:dyDescent="0.35">
      <c r="C4039" s="51"/>
      <c r="D4039" s="51"/>
    </row>
    <row r="4040" spans="3:4" x14ac:dyDescent="0.35">
      <c r="C4040" s="51"/>
      <c r="D4040" s="51"/>
    </row>
    <row r="4041" spans="3:4" x14ac:dyDescent="0.35">
      <c r="C4041" s="51"/>
      <c r="D4041" s="51"/>
    </row>
    <row r="4042" spans="3:4" x14ac:dyDescent="0.35">
      <c r="C4042" s="51"/>
      <c r="D4042" s="51"/>
    </row>
    <row r="4043" spans="3:4" x14ac:dyDescent="0.35">
      <c r="C4043" s="51"/>
      <c r="D4043" s="51"/>
    </row>
    <row r="4044" spans="3:4" x14ac:dyDescent="0.35">
      <c r="C4044" s="51"/>
      <c r="D4044" s="51"/>
    </row>
    <row r="4045" spans="3:4" x14ac:dyDescent="0.35">
      <c r="C4045" s="51"/>
      <c r="D4045" s="51"/>
    </row>
    <row r="4046" spans="3:4" x14ac:dyDescent="0.35">
      <c r="C4046" s="51"/>
      <c r="D4046" s="51"/>
    </row>
    <row r="4047" spans="3:4" x14ac:dyDescent="0.35">
      <c r="C4047" s="51"/>
      <c r="D4047" s="51"/>
    </row>
    <row r="4048" spans="3:4" x14ac:dyDescent="0.35">
      <c r="C4048" s="51"/>
      <c r="D4048" s="51"/>
    </row>
    <row r="4049" spans="3:4" x14ac:dyDescent="0.35">
      <c r="C4049" s="51"/>
      <c r="D4049" s="51"/>
    </row>
    <row r="4050" spans="3:4" x14ac:dyDescent="0.35">
      <c r="C4050" s="51"/>
      <c r="D4050" s="51"/>
    </row>
    <row r="4051" spans="3:4" x14ac:dyDescent="0.35">
      <c r="C4051" s="51"/>
      <c r="D4051" s="51"/>
    </row>
    <row r="4052" spans="3:4" x14ac:dyDescent="0.35">
      <c r="C4052" s="51"/>
      <c r="D4052" s="51"/>
    </row>
    <row r="4053" spans="3:4" x14ac:dyDescent="0.35">
      <c r="C4053" s="51"/>
      <c r="D4053" s="51"/>
    </row>
    <row r="4054" spans="3:4" x14ac:dyDescent="0.35">
      <c r="C4054" s="51"/>
      <c r="D4054" s="51"/>
    </row>
    <row r="4055" spans="3:4" x14ac:dyDescent="0.35">
      <c r="C4055" s="51"/>
      <c r="D4055" s="51"/>
    </row>
    <row r="4056" spans="3:4" x14ac:dyDescent="0.35">
      <c r="C4056" s="51"/>
      <c r="D4056" s="51"/>
    </row>
    <row r="4057" spans="3:4" x14ac:dyDescent="0.35">
      <c r="C4057" s="51"/>
      <c r="D4057" s="51"/>
    </row>
    <row r="4058" spans="3:4" x14ac:dyDescent="0.35">
      <c r="C4058" s="51"/>
      <c r="D4058" s="51"/>
    </row>
    <row r="4059" spans="3:4" x14ac:dyDescent="0.35">
      <c r="C4059" s="51"/>
      <c r="D4059" s="51"/>
    </row>
    <row r="4060" spans="3:4" x14ac:dyDescent="0.35">
      <c r="C4060" s="51"/>
      <c r="D4060" s="51"/>
    </row>
    <row r="4061" spans="3:4" x14ac:dyDescent="0.35">
      <c r="C4061" s="51"/>
      <c r="D4061" s="51"/>
    </row>
    <row r="4062" spans="3:4" x14ac:dyDescent="0.35">
      <c r="C4062" s="51"/>
      <c r="D4062" s="51"/>
    </row>
    <row r="4063" spans="3:4" x14ac:dyDescent="0.35">
      <c r="C4063" s="51"/>
      <c r="D4063" s="51"/>
    </row>
    <row r="4064" spans="3:4" x14ac:dyDescent="0.35">
      <c r="C4064" s="51"/>
      <c r="D4064" s="51"/>
    </row>
    <row r="4065" spans="3:4" x14ac:dyDescent="0.35">
      <c r="C4065" s="51"/>
      <c r="D4065" s="51"/>
    </row>
    <row r="4066" spans="3:4" x14ac:dyDescent="0.35">
      <c r="C4066" s="51"/>
      <c r="D4066" s="51"/>
    </row>
    <row r="4067" spans="3:4" x14ac:dyDescent="0.35">
      <c r="C4067" s="51"/>
      <c r="D4067" s="51"/>
    </row>
    <row r="4068" spans="3:4" x14ac:dyDescent="0.35">
      <c r="C4068" s="51"/>
      <c r="D4068" s="51"/>
    </row>
    <row r="4069" spans="3:4" x14ac:dyDescent="0.35">
      <c r="C4069" s="51"/>
      <c r="D4069" s="51"/>
    </row>
    <row r="4070" spans="3:4" x14ac:dyDescent="0.35">
      <c r="C4070" s="51"/>
      <c r="D4070" s="51"/>
    </row>
    <row r="4071" spans="3:4" x14ac:dyDescent="0.35">
      <c r="C4071" s="51"/>
      <c r="D4071" s="51"/>
    </row>
    <row r="4072" spans="3:4" x14ac:dyDescent="0.35">
      <c r="C4072" s="51"/>
      <c r="D4072" s="51"/>
    </row>
    <row r="4073" spans="3:4" x14ac:dyDescent="0.35">
      <c r="C4073" s="51"/>
      <c r="D4073" s="51"/>
    </row>
    <row r="4074" spans="3:4" x14ac:dyDescent="0.35">
      <c r="C4074" s="51"/>
      <c r="D4074" s="51"/>
    </row>
    <row r="4075" spans="3:4" x14ac:dyDescent="0.35">
      <c r="C4075" s="51"/>
      <c r="D4075" s="51"/>
    </row>
    <row r="4076" spans="3:4" x14ac:dyDescent="0.35">
      <c r="C4076" s="51"/>
      <c r="D4076" s="51"/>
    </row>
    <row r="4077" spans="3:4" x14ac:dyDescent="0.35">
      <c r="C4077" s="51"/>
      <c r="D4077" s="51"/>
    </row>
    <row r="4078" spans="3:4" x14ac:dyDescent="0.35">
      <c r="C4078" s="51"/>
      <c r="D4078" s="51"/>
    </row>
    <row r="4079" spans="3:4" x14ac:dyDescent="0.35">
      <c r="C4079" s="51"/>
      <c r="D4079" s="51"/>
    </row>
    <row r="4080" spans="3:4" x14ac:dyDescent="0.35">
      <c r="C4080" s="51"/>
      <c r="D4080" s="51"/>
    </row>
    <row r="4081" spans="3:4" x14ac:dyDescent="0.35">
      <c r="C4081" s="51"/>
      <c r="D4081" s="51"/>
    </row>
    <row r="4082" spans="3:4" x14ac:dyDescent="0.35">
      <c r="C4082" s="51"/>
      <c r="D4082" s="51"/>
    </row>
    <row r="4083" spans="3:4" x14ac:dyDescent="0.35">
      <c r="C4083" s="51"/>
      <c r="D4083" s="51"/>
    </row>
    <row r="4084" spans="3:4" x14ac:dyDescent="0.35">
      <c r="C4084" s="51"/>
      <c r="D4084" s="51"/>
    </row>
    <row r="4085" spans="3:4" x14ac:dyDescent="0.35">
      <c r="C4085" s="51"/>
      <c r="D4085" s="51"/>
    </row>
    <row r="4086" spans="3:4" x14ac:dyDescent="0.35">
      <c r="C4086" s="51"/>
      <c r="D4086" s="51"/>
    </row>
    <row r="4087" spans="3:4" x14ac:dyDescent="0.35">
      <c r="C4087" s="51"/>
      <c r="D4087" s="51"/>
    </row>
    <row r="4088" spans="3:4" x14ac:dyDescent="0.35">
      <c r="C4088" s="51"/>
      <c r="D4088" s="51"/>
    </row>
    <row r="4089" spans="3:4" x14ac:dyDescent="0.35">
      <c r="C4089" s="51"/>
      <c r="D4089" s="51"/>
    </row>
    <row r="4090" spans="3:4" x14ac:dyDescent="0.35">
      <c r="C4090" s="51"/>
      <c r="D4090" s="51"/>
    </row>
    <row r="4091" spans="3:4" x14ac:dyDescent="0.35">
      <c r="C4091" s="51"/>
      <c r="D4091" s="51"/>
    </row>
    <row r="4092" spans="3:4" x14ac:dyDescent="0.35">
      <c r="C4092" s="51"/>
      <c r="D4092" s="51"/>
    </row>
    <row r="4093" spans="3:4" x14ac:dyDescent="0.35">
      <c r="C4093" s="51"/>
      <c r="D4093" s="51"/>
    </row>
    <row r="4094" spans="3:4" x14ac:dyDescent="0.35">
      <c r="C4094" s="51"/>
      <c r="D4094" s="51"/>
    </row>
    <row r="4095" spans="3:4" x14ac:dyDescent="0.35">
      <c r="C4095" s="51"/>
      <c r="D4095" s="51"/>
    </row>
    <row r="4096" spans="3:4" x14ac:dyDescent="0.35">
      <c r="C4096" s="51"/>
      <c r="D4096" s="51"/>
    </row>
    <row r="4097" spans="3:4" x14ac:dyDescent="0.35">
      <c r="C4097" s="51"/>
      <c r="D4097" s="51"/>
    </row>
    <row r="4098" spans="3:4" x14ac:dyDescent="0.35">
      <c r="C4098" s="51"/>
      <c r="D4098" s="51"/>
    </row>
    <row r="4099" spans="3:4" x14ac:dyDescent="0.35">
      <c r="C4099" s="51"/>
      <c r="D4099" s="51"/>
    </row>
    <row r="4100" spans="3:4" x14ac:dyDescent="0.35">
      <c r="C4100" s="51"/>
      <c r="D4100" s="51"/>
    </row>
    <row r="4101" spans="3:4" x14ac:dyDescent="0.35">
      <c r="C4101" s="51"/>
      <c r="D4101" s="51"/>
    </row>
    <row r="4102" spans="3:4" x14ac:dyDescent="0.35">
      <c r="C4102" s="51"/>
      <c r="D4102" s="51"/>
    </row>
    <row r="4103" spans="3:4" x14ac:dyDescent="0.35">
      <c r="C4103" s="51"/>
      <c r="D4103" s="51"/>
    </row>
    <row r="4104" spans="3:4" x14ac:dyDescent="0.35">
      <c r="C4104" s="51"/>
      <c r="D4104" s="51"/>
    </row>
    <row r="4105" spans="3:4" x14ac:dyDescent="0.35">
      <c r="C4105" s="51"/>
      <c r="D4105" s="51"/>
    </row>
    <row r="4106" spans="3:4" x14ac:dyDescent="0.35">
      <c r="C4106" s="51"/>
      <c r="D4106" s="51"/>
    </row>
    <row r="4107" spans="3:4" x14ac:dyDescent="0.35">
      <c r="C4107" s="51"/>
      <c r="D4107" s="51"/>
    </row>
    <row r="4108" spans="3:4" x14ac:dyDescent="0.35">
      <c r="C4108" s="51"/>
      <c r="D4108" s="51"/>
    </row>
    <row r="4109" spans="3:4" x14ac:dyDescent="0.35">
      <c r="C4109" s="51"/>
      <c r="D4109" s="51"/>
    </row>
    <row r="4110" spans="3:4" x14ac:dyDescent="0.35">
      <c r="C4110" s="51"/>
      <c r="D4110" s="51"/>
    </row>
    <row r="4111" spans="3:4" x14ac:dyDescent="0.35">
      <c r="C4111" s="51"/>
      <c r="D4111" s="51"/>
    </row>
    <row r="4112" spans="3:4" x14ac:dyDescent="0.35">
      <c r="C4112" s="51"/>
      <c r="D4112" s="51"/>
    </row>
    <row r="4113" spans="3:4" x14ac:dyDescent="0.35">
      <c r="C4113" s="51"/>
      <c r="D4113" s="51"/>
    </row>
    <row r="4114" spans="3:4" x14ac:dyDescent="0.35">
      <c r="C4114" s="51"/>
      <c r="D4114" s="51"/>
    </row>
    <row r="4115" spans="3:4" x14ac:dyDescent="0.35">
      <c r="C4115" s="51"/>
      <c r="D4115" s="51"/>
    </row>
    <row r="4116" spans="3:4" x14ac:dyDescent="0.35">
      <c r="C4116" s="51"/>
      <c r="D4116" s="51"/>
    </row>
    <row r="4117" spans="3:4" x14ac:dyDescent="0.35">
      <c r="C4117" s="51"/>
      <c r="D4117" s="51"/>
    </row>
    <row r="4118" spans="3:4" x14ac:dyDescent="0.35">
      <c r="C4118" s="51"/>
      <c r="D4118" s="51"/>
    </row>
    <row r="4119" spans="3:4" x14ac:dyDescent="0.35">
      <c r="C4119" s="51"/>
      <c r="D4119" s="51"/>
    </row>
    <row r="4120" spans="3:4" x14ac:dyDescent="0.35">
      <c r="C4120" s="51"/>
      <c r="D4120" s="51"/>
    </row>
    <row r="4121" spans="3:4" x14ac:dyDescent="0.35">
      <c r="C4121" s="51"/>
      <c r="D4121" s="51"/>
    </row>
    <row r="4122" spans="3:4" x14ac:dyDescent="0.35">
      <c r="C4122" s="51"/>
      <c r="D4122" s="51"/>
    </row>
    <row r="4123" spans="3:4" x14ac:dyDescent="0.35">
      <c r="C4123" s="51"/>
      <c r="D4123" s="51"/>
    </row>
    <row r="4124" spans="3:4" x14ac:dyDescent="0.35">
      <c r="C4124" s="51"/>
      <c r="D4124" s="51"/>
    </row>
    <row r="4125" spans="3:4" x14ac:dyDescent="0.35">
      <c r="C4125" s="51"/>
      <c r="D4125" s="51"/>
    </row>
    <row r="4126" spans="3:4" x14ac:dyDescent="0.35">
      <c r="C4126" s="51"/>
      <c r="D4126" s="51"/>
    </row>
    <row r="4127" spans="3:4" x14ac:dyDescent="0.35">
      <c r="C4127" s="51"/>
      <c r="D4127" s="51"/>
    </row>
    <row r="4128" spans="3:4" x14ac:dyDescent="0.35">
      <c r="C4128" s="51"/>
      <c r="D4128" s="51"/>
    </row>
    <row r="4129" spans="3:4" x14ac:dyDescent="0.35">
      <c r="C4129" s="51"/>
      <c r="D4129" s="51"/>
    </row>
    <row r="4130" spans="3:4" x14ac:dyDescent="0.35">
      <c r="C4130" s="51"/>
      <c r="D4130" s="51"/>
    </row>
    <row r="4131" spans="3:4" x14ac:dyDescent="0.35">
      <c r="C4131" s="51"/>
      <c r="D4131" s="51"/>
    </row>
    <row r="4132" spans="3:4" x14ac:dyDescent="0.35">
      <c r="C4132" s="51"/>
      <c r="D4132" s="51"/>
    </row>
    <row r="4133" spans="3:4" x14ac:dyDescent="0.35">
      <c r="C4133" s="51"/>
      <c r="D4133" s="51"/>
    </row>
    <row r="4134" spans="3:4" x14ac:dyDescent="0.35">
      <c r="C4134" s="51"/>
      <c r="D4134" s="51"/>
    </row>
    <row r="4135" spans="3:4" x14ac:dyDescent="0.35">
      <c r="C4135" s="51"/>
      <c r="D4135" s="51"/>
    </row>
    <row r="4136" spans="3:4" x14ac:dyDescent="0.35">
      <c r="C4136" s="51"/>
      <c r="D4136" s="51"/>
    </row>
    <row r="4137" spans="3:4" x14ac:dyDescent="0.35">
      <c r="C4137" s="51"/>
      <c r="D4137" s="51"/>
    </row>
    <row r="4138" spans="3:4" x14ac:dyDescent="0.35">
      <c r="C4138" s="51"/>
      <c r="D4138" s="51"/>
    </row>
    <row r="4139" spans="3:4" x14ac:dyDescent="0.35">
      <c r="C4139" s="51"/>
      <c r="D4139" s="51"/>
    </row>
    <row r="4140" spans="3:4" x14ac:dyDescent="0.35">
      <c r="C4140" s="51"/>
      <c r="D4140" s="51"/>
    </row>
    <row r="4141" spans="3:4" x14ac:dyDescent="0.35">
      <c r="C4141" s="51"/>
      <c r="D4141" s="51"/>
    </row>
    <row r="4142" spans="3:4" x14ac:dyDescent="0.35">
      <c r="C4142" s="51"/>
      <c r="D4142" s="51"/>
    </row>
    <row r="4143" spans="3:4" x14ac:dyDescent="0.35">
      <c r="C4143" s="51"/>
      <c r="D4143" s="51"/>
    </row>
    <row r="4144" spans="3:4" x14ac:dyDescent="0.35">
      <c r="C4144" s="51"/>
      <c r="D4144" s="51"/>
    </row>
    <row r="4145" spans="3:4" x14ac:dyDescent="0.35">
      <c r="C4145" s="51"/>
      <c r="D4145" s="51"/>
    </row>
    <row r="4146" spans="3:4" x14ac:dyDescent="0.35">
      <c r="C4146" s="51"/>
      <c r="D4146" s="51"/>
    </row>
    <row r="4147" spans="3:4" x14ac:dyDescent="0.35">
      <c r="C4147" s="51"/>
      <c r="D4147" s="51"/>
    </row>
    <row r="4148" spans="3:4" x14ac:dyDescent="0.35">
      <c r="C4148" s="51"/>
      <c r="D4148" s="51"/>
    </row>
    <row r="4149" spans="3:4" x14ac:dyDescent="0.35">
      <c r="C4149" s="51"/>
      <c r="D4149" s="51"/>
    </row>
    <row r="4150" spans="3:4" x14ac:dyDescent="0.35">
      <c r="C4150" s="51"/>
      <c r="D4150" s="51"/>
    </row>
    <row r="4151" spans="3:4" x14ac:dyDescent="0.35">
      <c r="C4151" s="51"/>
      <c r="D4151" s="51"/>
    </row>
    <row r="4152" spans="3:4" x14ac:dyDescent="0.35">
      <c r="C4152" s="51"/>
      <c r="D4152" s="51"/>
    </row>
    <row r="4153" spans="3:4" x14ac:dyDescent="0.35">
      <c r="C4153" s="51"/>
      <c r="D4153" s="51"/>
    </row>
    <row r="4154" spans="3:4" x14ac:dyDescent="0.35">
      <c r="C4154" s="51"/>
      <c r="D4154" s="51"/>
    </row>
    <row r="4155" spans="3:4" x14ac:dyDescent="0.35">
      <c r="C4155" s="51"/>
      <c r="D4155" s="51"/>
    </row>
    <row r="4156" spans="3:4" x14ac:dyDescent="0.35">
      <c r="C4156" s="51"/>
      <c r="D4156" s="51"/>
    </row>
    <row r="4157" spans="3:4" x14ac:dyDescent="0.35">
      <c r="C4157" s="51"/>
      <c r="D4157" s="51"/>
    </row>
    <row r="4158" spans="3:4" x14ac:dyDescent="0.35">
      <c r="C4158" s="51"/>
      <c r="D4158" s="51"/>
    </row>
    <row r="4159" spans="3:4" x14ac:dyDescent="0.35">
      <c r="C4159" s="51"/>
      <c r="D4159" s="51"/>
    </row>
    <row r="4160" spans="3:4" x14ac:dyDescent="0.35">
      <c r="C4160" s="51"/>
      <c r="D4160" s="51"/>
    </row>
    <row r="4161" spans="3:4" x14ac:dyDescent="0.35">
      <c r="C4161" s="51"/>
      <c r="D4161" s="51"/>
    </row>
    <row r="4162" spans="3:4" x14ac:dyDescent="0.35">
      <c r="C4162" s="51"/>
      <c r="D4162" s="51"/>
    </row>
    <row r="4163" spans="3:4" x14ac:dyDescent="0.35">
      <c r="C4163" s="51"/>
      <c r="D4163" s="51"/>
    </row>
    <row r="4164" spans="3:4" x14ac:dyDescent="0.35">
      <c r="C4164" s="51"/>
      <c r="D4164" s="51"/>
    </row>
    <row r="4165" spans="3:4" x14ac:dyDescent="0.35">
      <c r="C4165" s="51"/>
      <c r="D4165" s="51"/>
    </row>
    <row r="4166" spans="3:4" x14ac:dyDescent="0.35">
      <c r="C4166" s="51"/>
      <c r="D4166" s="51"/>
    </row>
    <row r="4167" spans="3:4" x14ac:dyDescent="0.35">
      <c r="C4167" s="51"/>
      <c r="D4167" s="51"/>
    </row>
    <row r="4168" spans="3:4" x14ac:dyDescent="0.35">
      <c r="C4168" s="51"/>
      <c r="D4168" s="51"/>
    </row>
    <row r="4169" spans="3:4" x14ac:dyDescent="0.35">
      <c r="C4169" s="51"/>
      <c r="D4169" s="51"/>
    </row>
    <row r="4170" spans="3:4" x14ac:dyDescent="0.35">
      <c r="C4170" s="51"/>
      <c r="D4170" s="51"/>
    </row>
    <row r="4171" spans="3:4" x14ac:dyDescent="0.35">
      <c r="C4171" s="51"/>
      <c r="D4171" s="51"/>
    </row>
    <row r="4172" spans="3:4" x14ac:dyDescent="0.35">
      <c r="C4172" s="51"/>
      <c r="D4172" s="51"/>
    </row>
    <row r="4173" spans="3:4" x14ac:dyDescent="0.35">
      <c r="C4173" s="51"/>
      <c r="D4173" s="51"/>
    </row>
    <row r="4174" spans="3:4" x14ac:dyDescent="0.35">
      <c r="C4174" s="51"/>
      <c r="D4174" s="51"/>
    </row>
    <row r="4175" spans="3:4" x14ac:dyDescent="0.35">
      <c r="C4175" s="51"/>
      <c r="D4175" s="51"/>
    </row>
    <row r="4176" spans="3:4" x14ac:dyDescent="0.35">
      <c r="C4176" s="51"/>
      <c r="D4176" s="51"/>
    </row>
    <row r="4177" spans="3:4" x14ac:dyDescent="0.35">
      <c r="C4177" s="51"/>
      <c r="D4177" s="51"/>
    </row>
    <row r="4178" spans="3:4" x14ac:dyDescent="0.35">
      <c r="C4178" s="51"/>
      <c r="D4178" s="51"/>
    </row>
    <row r="4179" spans="3:4" x14ac:dyDescent="0.35">
      <c r="C4179" s="51"/>
      <c r="D4179" s="51"/>
    </row>
    <row r="4180" spans="3:4" x14ac:dyDescent="0.35">
      <c r="C4180" s="51"/>
      <c r="D4180" s="51"/>
    </row>
    <row r="4181" spans="3:4" x14ac:dyDescent="0.35">
      <c r="C4181" s="51"/>
      <c r="D4181" s="51"/>
    </row>
    <row r="4182" spans="3:4" x14ac:dyDescent="0.35">
      <c r="C4182" s="51"/>
      <c r="D4182" s="51"/>
    </row>
    <row r="4183" spans="3:4" x14ac:dyDescent="0.35">
      <c r="C4183" s="51"/>
      <c r="D4183" s="51"/>
    </row>
    <row r="4184" spans="3:4" x14ac:dyDescent="0.35">
      <c r="C4184" s="51"/>
      <c r="D4184" s="51"/>
    </row>
    <row r="4185" spans="3:4" x14ac:dyDescent="0.35">
      <c r="C4185" s="51"/>
      <c r="D4185" s="51"/>
    </row>
    <row r="4186" spans="3:4" x14ac:dyDescent="0.35">
      <c r="C4186" s="51"/>
      <c r="D4186" s="51"/>
    </row>
    <row r="4187" spans="3:4" x14ac:dyDescent="0.35">
      <c r="C4187" s="51"/>
      <c r="D4187" s="51"/>
    </row>
    <row r="4188" spans="3:4" x14ac:dyDescent="0.35">
      <c r="C4188" s="51"/>
      <c r="D4188" s="51"/>
    </row>
    <row r="4189" spans="3:4" x14ac:dyDescent="0.35">
      <c r="C4189" s="51"/>
      <c r="D4189" s="51"/>
    </row>
    <row r="4190" spans="3:4" x14ac:dyDescent="0.35">
      <c r="C4190" s="51"/>
      <c r="D4190" s="51"/>
    </row>
    <row r="4191" spans="3:4" x14ac:dyDescent="0.35">
      <c r="C4191" s="51"/>
      <c r="D4191" s="51"/>
    </row>
    <row r="4192" spans="3:4" x14ac:dyDescent="0.35">
      <c r="C4192" s="51"/>
      <c r="D4192" s="51"/>
    </row>
    <row r="4193" spans="3:4" x14ac:dyDescent="0.35">
      <c r="C4193" s="51"/>
      <c r="D4193" s="51"/>
    </row>
    <row r="4194" spans="3:4" x14ac:dyDescent="0.35">
      <c r="C4194" s="51"/>
      <c r="D4194" s="51"/>
    </row>
    <row r="4195" spans="3:4" x14ac:dyDescent="0.35">
      <c r="C4195" s="51"/>
      <c r="D4195" s="51"/>
    </row>
    <row r="4196" spans="3:4" x14ac:dyDescent="0.35">
      <c r="C4196" s="51"/>
      <c r="D4196" s="51"/>
    </row>
    <row r="4197" spans="3:4" x14ac:dyDescent="0.35">
      <c r="C4197" s="51"/>
      <c r="D4197" s="51"/>
    </row>
    <row r="4198" spans="3:4" x14ac:dyDescent="0.35">
      <c r="C4198" s="51"/>
      <c r="D4198" s="51"/>
    </row>
    <row r="4199" spans="3:4" x14ac:dyDescent="0.35">
      <c r="C4199" s="51"/>
      <c r="D4199" s="51"/>
    </row>
    <row r="4200" spans="3:4" x14ac:dyDescent="0.35">
      <c r="C4200" s="51"/>
      <c r="D4200" s="51"/>
    </row>
    <row r="4201" spans="3:4" x14ac:dyDescent="0.35">
      <c r="C4201" s="51"/>
      <c r="D4201" s="51"/>
    </row>
    <row r="4202" spans="3:4" x14ac:dyDescent="0.35">
      <c r="C4202" s="51"/>
      <c r="D4202" s="51"/>
    </row>
    <row r="4203" spans="3:4" x14ac:dyDescent="0.35">
      <c r="C4203" s="51"/>
      <c r="D4203" s="51"/>
    </row>
    <row r="4204" spans="3:4" x14ac:dyDescent="0.35">
      <c r="C4204" s="51"/>
      <c r="D4204" s="51"/>
    </row>
    <row r="4205" spans="3:4" x14ac:dyDescent="0.35">
      <c r="C4205" s="51"/>
      <c r="D4205" s="51"/>
    </row>
    <row r="4206" spans="3:4" x14ac:dyDescent="0.35">
      <c r="C4206" s="51"/>
      <c r="D4206" s="51"/>
    </row>
    <row r="4207" spans="3:4" x14ac:dyDescent="0.35">
      <c r="C4207" s="51"/>
      <c r="D4207" s="51"/>
    </row>
    <row r="4208" spans="3:4" x14ac:dyDescent="0.35">
      <c r="C4208" s="51"/>
      <c r="D4208" s="51"/>
    </row>
    <row r="4209" spans="3:4" x14ac:dyDescent="0.35">
      <c r="C4209" s="51"/>
      <c r="D4209" s="51"/>
    </row>
    <row r="4210" spans="3:4" x14ac:dyDescent="0.35">
      <c r="C4210" s="51"/>
      <c r="D4210" s="51"/>
    </row>
    <row r="4211" spans="3:4" x14ac:dyDescent="0.35">
      <c r="C4211" s="51"/>
      <c r="D4211" s="51"/>
    </row>
    <row r="4212" spans="3:4" x14ac:dyDescent="0.35">
      <c r="C4212" s="51"/>
      <c r="D4212" s="51"/>
    </row>
    <row r="4213" spans="3:4" x14ac:dyDescent="0.35">
      <c r="C4213" s="51"/>
      <c r="D4213" s="51"/>
    </row>
    <row r="4214" spans="3:4" x14ac:dyDescent="0.35">
      <c r="C4214" s="51"/>
      <c r="D4214" s="51"/>
    </row>
    <row r="4215" spans="3:4" x14ac:dyDescent="0.35">
      <c r="C4215" s="51"/>
      <c r="D4215" s="51"/>
    </row>
    <row r="4216" spans="3:4" x14ac:dyDescent="0.35">
      <c r="C4216" s="51"/>
      <c r="D4216" s="51"/>
    </row>
    <row r="4217" spans="3:4" x14ac:dyDescent="0.35">
      <c r="C4217" s="51"/>
      <c r="D4217" s="51"/>
    </row>
    <row r="4218" spans="3:4" x14ac:dyDescent="0.35">
      <c r="C4218" s="51"/>
      <c r="D4218" s="51"/>
    </row>
    <row r="4219" spans="3:4" x14ac:dyDescent="0.35">
      <c r="C4219" s="51"/>
      <c r="D4219" s="51"/>
    </row>
    <row r="4220" spans="3:4" x14ac:dyDescent="0.35">
      <c r="C4220" s="51"/>
      <c r="D4220" s="51"/>
    </row>
    <row r="4221" spans="3:4" x14ac:dyDescent="0.35">
      <c r="C4221" s="51"/>
      <c r="D4221" s="51"/>
    </row>
    <row r="4222" spans="3:4" x14ac:dyDescent="0.35">
      <c r="C4222" s="51"/>
      <c r="D4222" s="51"/>
    </row>
    <row r="4223" spans="3:4" x14ac:dyDescent="0.35">
      <c r="C4223" s="51"/>
      <c r="D4223" s="51"/>
    </row>
    <row r="4224" spans="3:4" x14ac:dyDescent="0.35">
      <c r="C4224" s="51"/>
      <c r="D4224" s="51"/>
    </row>
    <row r="4225" spans="3:4" x14ac:dyDescent="0.35">
      <c r="C4225" s="51"/>
      <c r="D4225" s="51"/>
    </row>
    <row r="4226" spans="3:4" x14ac:dyDescent="0.35">
      <c r="C4226" s="51"/>
      <c r="D4226" s="51"/>
    </row>
    <row r="4227" spans="3:4" x14ac:dyDescent="0.35">
      <c r="C4227" s="51"/>
      <c r="D4227" s="51"/>
    </row>
    <row r="4228" spans="3:4" x14ac:dyDescent="0.35">
      <c r="C4228" s="51"/>
      <c r="D4228" s="51"/>
    </row>
    <row r="4229" spans="3:4" x14ac:dyDescent="0.35">
      <c r="C4229" s="51"/>
      <c r="D4229" s="51"/>
    </row>
    <row r="4230" spans="3:4" x14ac:dyDescent="0.35">
      <c r="C4230" s="51"/>
      <c r="D4230" s="51"/>
    </row>
    <row r="4231" spans="3:4" x14ac:dyDescent="0.35">
      <c r="C4231" s="51"/>
      <c r="D4231" s="51"/>
    </row>
    <row r="4232" spans="3:4" x14ac:dyDescent="0.35">
      <c r="C4232" s="51"/>
      <c r="D4232" s="51"/>
    </row>
    <row r="4233" spans="3:4" x14ac:dyDescent="0.35">
      <c r="C4233" s="51"/>
      <c r="D4233" s="51"/>
    </row>
    <row r="4234" spans="3:4" x14ac:dyDescent="0.35">
      <c r="C4234" s="51"/>
      <c r="D4234" s="51"/>
    </row>
    <row r="4235" spans="3:4" x14ac:dyDescent="0.35">
      <c r="C4235" s="51"/>
      <c r="D4235" s="51"/>
    </row>
    <row r="4236" spans="3:4" x14ac:dyDescent="0.35">
      <c r="C4236" s="51"/>
      <c r="D4236" s="51"/>
    </row>
    <row r="4237" spans="3:4" x14ac:dyDescent="0.35">
      <c r="C4237" s="51"/>
      <c r="D4237" s="51"/>
    </row>
    <row r="4238" spans="3:4" x14ac:dyDescent="0.35">
      <c r="C4238" s="51"/>
      <c r="D4238" s="51"/>
    </row>
    <row r="4239" spans="3:4" x14ac:dyDescent="0.35">
      <c r="C4239" s="51"/>
      <c r="D4239" s="51"/>
    </row>
    <row r="4240" spans="3:4" x14ac:dyDescent="0.35">
      <c r="C4240" s="51"/>
      <c r="D4240" s="51"/>
    </row>
    <row r="4241" spans="3:4" x14ac:dyDescent="0.35">
      <c r="C4241" s="51"/>
      <c r="D4241" s="51"/>
    </row>
    <row r="4242" spans="3:4" x14ac:dyDescent="0.35">
      <c r="C4242" s="51"/>
      <c r="D4242" s="51"/>
    </row>
    <row r="4243" spans="3:4" x14ac:dyDescent="0.35">
      <c r="C4243" s="51"/>
      <c r="D4243" s="51"/>
    </row>
    <row r="4244" spans="3:4" x14ac:dyDescent="0.35">
      <c r="C4244" s="51"/>
      <c r="D4244" s="51"/>
    </row>
    <row r="4245" spans="3:4" x14ac:dyDescent="0.35">
      <c r="C4245" s="51"/>
      <c r="D4245" s="51"/>
    </row>
    <row r="4246" spans="3:4" x14ac:dyDescent="0.35">
      <c r="C4246" s="51"/>
      <c r="D4246" s="51"/>
    </row>
    <row r="4247" spans="3:4" x14ac:dyDescent="0.35">
      <c r="C4247" s="51"/>
      <c r="D4247" s="51"/>
    </row>
    <row r="4248" spans="3:4" x14ac:dyDescent="0.35">
      <c r="C4248" s="51"/>
      <c r="D4248" s="51"/>
    </row>
    <row r="4249" spans="3:4" x14ac:dyDescent="0.35">
      <c r="C4249" s="51"/>
      <c r="D4249" s="51"/>
    </row>
    <row r="4250" spans="3:4" x14ac:dyDescent="0.35">
      <c r="C4250" s="51"/>
      <c r="D4250" s="51"/>
    </row>
    <row r="4251" spans="3:4" x14ac:dyDescent="0.35">
      <c r="C4251" s="51"/>
      <c r="D4251" s="51"/>
    </row>
    <row r="4252" spans="3:4" x14ac:dyDescent="0.35">
      <c r="C4252" s="51"/>
      <c r="D4252" s="51"/>
    </row>
    <row r="4253" spans="3:4" x14ac:dyDescent="0.35">
      <c r="C4253" s="51"/>
      <c r="D4253" s="51"/>
    </row>
    <row r="4254" spans="3:4" x14ac:dyDescent="0.35">
      <c r="C4254" s="51"/>
      <c r="D4254" s="51"/>
    </row>
    <row r="4255" spans="3:4" x14ac:dyDescent="0.35">
      <c r="C4255" s="51"/>
      <c r="D4255" s="51"/>
    </row>
    <row r="4256" spans="3:4" x14ac:dyDescent="0.35">
      <c r="C4256" s="51"/>
      <c r="D4256" s="51"/>
    </row>
    <row r="4257" spans="3:4" x14ac:dyDescent="0.35">
      <c r="C4257" s="51"/>
      <c r="D4257" s="51"/>
    </row>
    <row r="4258" spans="3:4" x14ac:dyDescent="0.35">
      <c r="C4258" s="51"/>
      <c r="D4258" s="51"/>
    </row>
    <row r="4259" spans="3:4" x14ac:dyDescent="0.35">
      <c r="C4259" s="51"/>
      <c r="D4259" s="51"/>
    </row>
    <row r="4260" spans="3:4" x14ac:dyDescent="0.35">
      <c r="C4260" s="51"/>
      <c r="D4260" s="51"/>
    </row>
    <row r="4261" spans="3:4" x14ac:dyDescent="0.35">
      <c r="C4261" s="51"/>
      <c r="D4261" s="51"/>
    </row>
    <row r="4262" spans="3:4" x14ac:dyDescent="0.35">
      <c r="C4262" s="51"/>
      <c r="D4262" s="51"/>
    </row>
    <row r="4263" spans="3:4" x14ac:dyDescent="0.35">
      <c r="C4263" s="51"/>
      <c r="D4263" s="51"/>
    </row>
    <row r="4264" spans="3:4" x14ac:dyDescent="0.35">
      <c r="C4264" s="51"/>
      <c r="D4264" s="51"/>
    </row>
    <row r="4265" spans="3:4" x14ac:dyDescent="0.35">
      <c r="C4265" s="51"/>
      <c r="D4265" s="51"/>
    </row>
    <row r="4266" spans="3:4" x14ac:dyDescent="0.35">
      <c r="C4266" s="51"/>
      <c r="D4266" s="51"/>
    </row>
    <row r="4267" spans="3:4" x14ac:dyDescent="0.35">
      <c r="C4267" s="51"/>
      <c r="D4267" s="51"/>
    </row>
    <row r="4268" spans="3:4" x14ac:dyDescent="0.35">
      <c r="C4268" s="51"/>
      <c r="D4268" s="51"/>
    </row>
    <row r="4269" spans="3:4" x14ac:dyDescent="0.35">
      <c r="C4269" s="51"/>
      <c r="D4269" s="51"/>
    </row>
    <row r="4270" spans="3:4" x14ac:dyDescent="0.35">
      <c r="C4270" s="51"/>
      <c r="D4270" s="51"/>
    </row>
    <row r="4271" spans="3:4" x14ac:dyDescent="0.35">
      <c r="C4271" s="51"/>
      <c r="D4271" s="51"/>
    </row>
    <row r="4272" spans="3:4" x14ac:dyDescent="0.35">
      <c r="C4272" s="51"/>
      <c r="D4272" s="51"/>
    </row>
    <row r="4273" spans="3:4" x14ac:dyDescent="0.35">
      <c r="C4273" s="51"/>
      <c r="D4273" s="51"/>
    </row>
    <row r="4274" spans="3:4" x14ac:dyDescent="0.35">
      <c r="C4274" s="51"/>
      <c r="D4274" s="51"/>
    </row>
    <row r="4275" spans="3:4" x14ac:dyDescent="0.35">
      <c r="C4275" s="51"/>
      <c r="D4275" s="51"/>
    </row>
    <row r="4276" spans="3:4" x14ac:dyDescent="0.35">
      <c r="C4276" s="51"/>
      <c r="D4276" s="51"/>
    </row>
    <row r="4277" spans="3:4" x14ac:dyDescent="0.35">
      <c r="C4277" s="51"/>
      <c r="D4277" s="51"/>
    </row>
    <row r="4278" spans="3:4" x14ac:dyDescent="0.35">
      <c r="C4278" s="51"/>
      <c r="D4278" s="51"/>
    </row>
    <row r="4279" spans="3:4" x14ac:dyDescent="0.35">
      <c r="C4279" s="51"/>
      <c r="D4279" s="51"/>
    </row>
    <row r="4280" spans="3:4" x14ac:dyDescent="0.35">
      <c r="C4280" s="51"/>
      <c r="D4280" s="51"/>
    </row>
    <row r="4281" spans="3:4" x14ac:dyDescent="0.35">
      <c r="C4281" s="51"/>
      <c r="D4281" s="51"/>
    </row>
    <row r="4282" spans="3:4" x14ac:dyDescent="0.35">
      <c r="C4282" s="51"/>
      <c r="D4282" s="51"/>
    </row>
    <row r="4283" spans="3:4" x14ac:dyDescent="0.35">
      <c r="C4283" s="51"/>
      <c r="D4283" s="51"/>
    </row>
    <row r="4284" spans="3:4" x14ac:dyDescent="0.35">
      <c r="C4284" s="51"/>
      <c r="D4284" s="51"/>
    </row>
    <row r="4285" spans="3:4" x14ac:dyDescent="0.35">
      <c r="C4285" s="51"/>
      <c r="D4285" s="51"/>
    </row>
    <row r="4286" spans="3:4" x14ac:dyDescent="0.35">
      <c r="C4286" s="51"/>
      <c r="D4286" s="51"/>
    </row>
    <row r="4287" spans="3:4" x14ac:dyDescent="0.35">
      <c r="C4287" s="51"/>
      <c r="D4287" s="51"/>
    </row>
    <row r="4288" spans="3:4" x14ac:dyDescent="0.35">
      <c r="C4288" s="51"/>
      <c r="D4288" s="51"/>
    </row>
    <row r="4289" spans="3:4" x14ac:dyDescent="0.35">
      <c r="C4289" s="51"/>
      <c r="D4289" s="51"/>
    </row>
    <row r="4290" spans="3:4" x14ac:dyDescent="0.35">
      <c r="C4290" s="51"/>
      <c r="D4290" s="51"/>
    </row>
    <row r="4291" spans="3:4" x14ac:dyDescent="0.35">
      <c r="C4291" s="51"/>
      <c r="D4291" s="51"/>
    </row>
    <row r="4292" spans="3:4" x14ac:dyDescent="0.35">
      <c r="C4292" s="51"/>
      <c r="D4292" s="51"/>
    </row>
    <row r="4293" spans="3:4" x14ac:dyDescent="0.35">
      <c r="C4293" s="51"/>
      <c r="D4293" s="51"/>
    </row>
    <row r="4294" spans="3:4" x14ac:dyDescent="0.35">
      <c r="C4294" s="51"/>
      <c r="D4294" s="51"/>
    </row>
    <row r="4295" spans="3:4" x14ac:dyDescent="0.35">
      <c r="C4295" s="51"/>
      <c r="D4295" s="51"/>
    </row>
    <row r="4296" spans="3:4" x14ac:dyDescent="0.35">
      <c r="C4296" s="51"/>
      <c r="D4296" s="51"/>
    </row>
    <row r="4297" spans="3:4" x14ac:dyDescent="0.35">
      <c r="C4297" s="51"/>
      <c r="D4297" s="51"/>
    </row>
    <row r="4298" spans="3:4" x14ac:dyDescent="0.35">
      <c r="C4298" s="51"/>
      <c r="D4298" s="51"/>
    </row>
    <row r="4299" spans="3:4" x14ac:dyDescent="0.35">
      <c r="C4299" s="51"/>
      <c r="D4299" s="51"/>
    </row>
    <row r="4300" spans="3:4" x14ac:dyDescent="0.35">
      <c r="C4300" s="51"/>
      <c r="D4300" s="51"/>
    </row>
    <row r="4301" spans="3:4" x14ac:dyDescent="0.35">
      <c r="C4301" s="51"/>
      <c r="D4301" s="51"/>
    </row>
    <row r="4302" spans="3:4" x14ac:dyDescent="0.35">
      <c r="C4302" s="51"/>
      <c r="D4302" s="51"/>
    </row>
    <row r="4303" spans="3:4" x14ac:dyDescent="0.35">
      <c r="C4303" s="51"/>
      <c r="D4303" s="51"/>
    </row>
    <row r="4304" spans="3:4" x14ac:dyDescent="0.35">
      <c r="C4304" s="51"/>
      <c r="D4304" s="51"/>
    </row>
    <row r="4305" spans="3:4" x14ac:dyDescent="0.35">
      <c r="C4305" s="51"/>
      <c r="D4305" s="51"/>
    </row>
    <row r="4306" spans="3:4" x14ac:dyDescent="0.35">
      <c r="C4306" s="51"/>
      <c r="D4306" s="51"/>
    </row>
    <row r="4307" spans="3:4" x14ac:dyDescent="0.35">
      <c r="C4307" s="51"/>
      <c r="D4307" s="51"/>
    </row>
    <row r="4308" spans="3:4" x14ac:dyDescent="0.35">
      <c r="C4308" s="51"/>
      <c r="D4308" s="51"/>
    </row>
    <row r="4309" spans="3:4" x14ac:dyDescent="0.35">
      <c r="C4309" s="51"/>
      <c r="D4309" s="51"/>
    </row>
    <row r="4310" spans="3:4" x14ac:dyDescent="0.35">
      <c r="C4310" s="51"/>
      <c r="D4310" s="51"/>
    </row>
    <row r="4311" spans="3:4" x14ac:dyDescent="0.35">
      <c r="C4311" s="51"/>
      <c r="D4311" s="51"/>
    </row>
    <row r="4312" spans="3:4" x14ac:dyDescent="0.35">
      <c r="C4312" s="51"/>
      <c r="D4312" s="51"/>
    </row>
    <row r="4313" spans="3:4" x14ac:dyDescent="0.35">
      <c r="C4313" s="51"/>
      <c r="D4313" s="51"/>
    </row>
    <row r="4314" spans="3:4" x14ac:dyDescent="0.35">
      <c r="C4314" s="51"/>
      <c r="D4314" s="51"/>
    </row>
    <row r="4315" spans="3:4" x14ac:dyDescent="0.35">
      <c r="C4315" s="51"/>
      <c r="D4315" s="51"/>
    </row>
    <row r="4316" spans="3:4" x14ac:dyDescent="0.35">
      <c r="C4316" s="51"/>
      <c r="D4316" s="51"/>
    </row>
    <row r="4317" spans="3:4" x14ac:dyDescent="0.35">
      <c r="C4317" s="51"/>
      <c r="D4317" s="51"/>
    </row>
    <row r="4318" spans="3:4" x14ac:dyDescent="0.35">
      <c r="C4318" s="51"/>
      <c r="D4318" s="51"/>
    </row>
    <row r="4319" spans="3:4" x14ac:dyDescent="0.35">
      <c r="C4319" s="51"/>
      <c r="D4319" s="51"/>
    </row>
    <row r="4320" spans="3:4" x14ac:dyDescent="0.35">
      <c r="C4320" s="51"/>
      <c r="D4320" s="51"/>
    </row>
    <row r="4321" spans="3:4" x14ac:dyDescent="0.35">
      <c r="C4321" s="51"/>
      <c r="D4321" s="51"/>
    </row>
    <row r="4322" spans="3:4" x14ac:dyDescent="0.35">
      <c r="C4322" s="51"/>
      <c r="D4322" s="51"/>
    </row>
    <row r="4323" spans="3:4" x14ac:dyDescent="0.35">
      <c r="C4323" s="51"/>
      <c r="D4323" s="51"/>
    </row>
    <row r="4324" spans="3:4" x14ac:dyDescent="0.35">
      <c r="C4324" s="51"/>
      <c r="D4324" s="51"/>
    </row>
    <row r="4325" spans="3:4" x14ac:dyDescent="0.35">
      <c r="C4325" s="51"/>
      <c r="D4325" s="51"/>
    </row>
    <row r="4326" spans="3:4" x14ac:dyDescent="0.35">
      <c r="C4326" s="51"/>
      <c r="D4326" s="51"/>
    </row>
    <row r="4327" spans="3:4" x14ac:dyDescent="0.35">
      <c r="C4327" s="51"/>
      <c r="D4327" s="51"/>
    </row>
    <row r="4328" spans="3:4" x14ac:dyDescent="0.35">
      <c r="C4328" s="51"/>
      <c r="D4328" s="51"/>
    </row>
    <row r="4329" spans="3:4" x14ac:dyDescent="0.35">
      <c r="C4329" s="51"/>
      <c r="D4329" s="51"/>
    </row>
    <row r="4330" spans="3:4" x14ac:dyDescent="0.35">
      <c r="C4330" s="51"/>
      <c r="D4330" s="51"/>
    </row>
    <row r="4331" spans="3:4" x14ac:dyDescent="0.35">
      <c r="C4331" s="51"/>
      <c r="D4331" s="51"/>
    </row>
    <row r="4332" spans="3:4" x14ac:dyDescent="0.35">
      <c r="C4332" s="51"/>
      <c r="D4332" s="51"/>
    </row>
    <row r="4333" spans="3:4" x14ac:dyDescent="0.35">
      <c r="C4333" s="51"/>
      <c r="D4333" s="51"/>
    </row>
    <row r="4334" spans="3:4" x14ac:dyDescent="0.35">
      <c r="C4334" s="51"/>
      <c r="D4334" s="51"/>
    </row>
    <row r="4335" spans="3:4" x14ac:dyDescent="0.35">
      <c r="C4335" s="51"/>
      <c r="D4335" s="51"/>
    </row>
    <row r="4336" spans="3:4" x14ac:dyDescent="0.35">
      <c r="C4336" s="51"/>
      <c r="D4336" s="51"/>
    </row>
    <row r="4337" spans="3:4" x14ac:dyDescent="0.35">
      <c r="C4337" s="51"/>
      <c r="D4337" s="51"/>
    </row>
    <row r="4338" spans="3:4" x14ac:dyDescent="0.35">
      <c r="C4338" s="51"/>
      <c r="D4338" s="51"/>
    </row>
    <row r="4339" spans="3:4" x14ac:dyDescent="0.35">
      <c r="C4339" s="51"/>
      <c r="D4339" s="51"/>
    </row>
    <row r="4340" spans="3:4" x14ac:dyDescent="0.35">
      <c r="C4340" s="51"/>
      <c r="D4340" s="51"/>
    </row>
    <row r="4341" spans="3:4" x14ac:dyDescent="0.35">
      <c r="C4341" s="51"/>
      <c r="D4341" s="51"/>
    </row>
    <row r="4342" spans="3:4" x14ac:dyDescent="0.35">
      <c r="C4342" s="51"/>
      <c r="D4342" s="51"/>
    </row>
    <row r="4343" spans="3:4" x14ac:dyDescent="0.35">
      <c r="C4343" s="51"/>
      <c r="D4343" s="51"/>
    </row>
    <row r="4344" spans="3:4" x14ac:dyDescent="0.35">
      <c r="C4344" s="51"/>
      <c r="D4344" s="51"/>
    </row>
    <row r="4345" spans="3:4" x14ac:dyDescent="0.35">
      <c r="C4345" s="51"/>
      <c r="D4345" s="51"/>
    </row>
    <row r="4346" spans="3:4" x14ac:dyDescent="0.35">
      <c r="C4346" s="51"/>
      <c r="D4346" s="51"/>
    </row>
    <row r="4347" spans="3:4" x14ac:dyDescent="0.35">
      <c r="C4347" s="51"/>
      <c r="D4347" s="51"/>
    </row>
    <row r="4348" spans="3:4" x14ac:dyDescent="0.35">
      <c r="C4348" s="51"/>
      <c r="D4348" s="51"/>
    </row>
    <row r="4349" spans="3:4" x14ac:dyDescent="0.35">
      <c r="C4349" s="51"/>
      <c r="D4349" s="51"/>
    </row>
    <row r="4350" spans="3:4" x14ac:dyDescent="0.35">
      <c r="C4350" s="51"/>
      <c r="D4350" s="51"/>
    </row>
    <row r="4351" spans="3:4" x14ac:dyDescent="0.35">
      <c r="C4351" s="51"/>
      <c r="D4351" s="51"/>
    </row>
    <row r="4352" spans="3:4" x14ac:dyDescent="0.35">
      <c r="C4352" s="51"/>
      <c r="D4352" s="51"/>
    </row>
    <row r="4353" spans="3:4" x14ac:dyDescent="0.35">
      <c r="C4353" s="51"/>
      <c r="D4353" s="51"/>
    </row>
    <row r="4354" spans="3:4" x14ac:dyDescent="0.35">
      <c r="C4354" s="51"/>
      <c r="D4354" s="51"/>
    </row>
    <row r="4355" spans="3:4" x14ac:dyDescent="0.35">
      <c r="C4355" s="51"/>
      <c r="D4355" s="51"/>
    </row>
    <row r="4356" spans="3:4" x14ac:dyDescent="0.35">
      <c r="C4356" s="51"/>
      <c r="D4356" s="51"/>
    </row>
    <row r="4357" spans="3:4" x14ac:dyDescent="0.35">
      <c r="C4357" s="51"/>
      <c r="D4357" s="51"/>
    </row>
    <row r="4358" spans="3:4" x14ac:dyDescent="0.35">
      <c r="C4358" s="51"/>
      <c r="D4358" s="51"/>
    </row>
    <row r="4359" spans="3:4" x14ac:dyDescent="0.35">
      <c r="C4359" s="51"/>
      <c r="D4359" s="51"/>
    </row>
    <row r="4360" spans="3:4" x14ac:dyDescent="0.35">
      <c r="C4360" s="51"/>
      <c r="D4360" s="51"/>
    </row>
    <row r="4361" spans="3:4" x14ac:dyDescent="0.35">
      <c r="C4361" s="51"/>
      <c r="D4361" s="51"/>
    </row>
    <row r="4362" spans="3:4" x14ac:dyDescent="0.35">
      <c r="C4362" s="51"/>
      <c r="D4362" s="51"/>
    </row>
    <row r="4363" spans="3:4" x14ac:dyDescent="0.35">
      <c r="C4363" s="51"/>
      <c r="D4363" s="51"/>
    </row>
    <row r="4364" spans="3:4" x14ac:dyDescent="0.35">
      <c r="C4364" s="51"/>
      <c r="D4364" s="51"/>
    </row>
    <row r="4365" spans="3:4" x14ac:dyDescent="0.35">
      <c r="C4365" s="51"/>
      <c r="D4365" s="51"/>
    </row>
    <row r="4366" spans="3:4" x14ac:dyDescent="0.35">
      <c r="C4366" s="51"/>
      <c r="D4366" s="51"/>
    </row>
    <row r="4367" spans="3:4" x14ac:dyDescent="0.35">
      <c r="C4367" s="51"/>
      <c r="D4367" s="51"/>
    </row>
    <row r="4368" spans="3:4" x14ac:dyDescent="0.35">
      <c r="C4368" s="51"/>
      <c r="D4368" s="51"/>
    </row>
    <row r="4369" spans="3:4" x14ac:dyDescent="0.35">
      <c r="C4369" s="51"/>
      <c r="D4369" s="51"/>
    </row>
    <row r="4370" spans="3:4" x14ac:dyDescent="0.35">
      <c r="C4370" s="51"/>
      <c r="D4370" s="51"/>
    </row>
    <row r="4371" spans="3:4" x14ac:dyDescent="0.35">
      <c r="C4371" s="51"/>
      <c r="D4371" s="51"/>
    </row>
    <row r="4372" spans="3:4" x14ac:dyDescent="0.35">
      <c r="C4372" s="51"/>
      <c r="D4372" s="51"/>
    </row>
    <row r="4373" spans="3:4" x14ac:dyDescent="0.35">
      <c r="C4373" s="51"/>
      <c r="D4373" s="51"/>
    </row>
    <row r="4374" spans="3:4" x14ac:dyDescent="0.35">
      <c r="C4374" s="51"/>
      <c r="D4374" s="51"/>
    </row>
    <row r="4375" spans="3:4" x14ac:dyDescent="0.35">
      <c r="C4375" s="51"/>
      <c r="D4375" s="51"/>
    </row>
    <row r="4376" spans="3:4" x14ac:dyDescent="0.35">
      <c r="C4376" s="51"/>
      <c r="D4376" s="51"/>
    </row>
    <row r="4377" spans="3:4" x14ac:dyDescent="0.35">
      <c r="C4377" s="51"/>
      <c r="D4377" s="51"/>
    </row>
    <row r="4378" spans="3:4" x14ac:dyDescent="0.35">
      <c r="C4378" s="51"/>
      <c r="D4378" s="51"/>
    </row>
    <row r="4379" spans="3:4" x14ac:dyDescent="0.35">
      <c r="C4379" s="51"/>
      <c r="D4379" s="51"/>
    </row>
    <row r="4380" spans="3:4" x14ac:dyDescent="0.35">
      <c r="C4380" s="51"/>
      <c r="D4380" s="51"/>
    </row>
    <row r="4381" spans="3:4" x14ac:dyDescent="0.35">
      <c r="C4381" s="51"/>
      <c r="D4381" s="51"/>
    </row>
    <row r="4382" spans="3:4" x14ac:dyDescent="0.35">
      <c r="C4382" s="51"/>
      <c r="D4382" s="51"/>
    </row>
    <row r="4383" spans="3:4" x14ac:dyDescent="0.35">
      <c r="C4383" s="51"/>
      <c r="D4383" s="51"/>
    </row>
    <row r="4384" spans="3:4" x14ac:dyDescent="0.35">
      <c r="C4384" s="51"/>
      <c r="D4384" s="51"/>
    </row>
    <row r="4385" spans="3:4" x14ac:dyDescent="0.35">
      <c r="C4385" s="51"/>
      <c r="D4385" s="51"/>
    </row>
    <row r="4386" spans="3:4" x14ac:dyDescent="0.35">
      <c r="C4386" s="51"/>
      <c r="D4386" s="51"/>
    </row>
    <row r="4387" spans="3:4" x14ac:dyDescent="0.35">
      <c r="C4387" s="51"/>
      <c r="D4387" s="51"/>
    </row>
    <row r="4388" spans="3:4" x14ac:dyDescent="0.35">
      <c r="C4388" s="51"/>
      <c r="D4388" s="51"/>
    </row>
    <row r="4389" spans="3:4" x14ac:dyDescent="0.35">
      <c r="C4389" s="51"/>
      <c r="D4389" s="51"/>
    </row>
    <row r="4390" spans="3:4" x14ac:dyDescent="0.35">
      <c r="C4390" s="51"/>
      <c r="D4390" s="51"/>
    </row>
    <row r="4391" spans="3:4" x14ac:dyDescent="0.35">
      <c r="C4391" s="51"/>
      <c r="D4391" s="51"/>
    </row>
    <row r="4392" spans="3:4" x14ac:dyDescent="0.35">
      <c r="C4392" s="51"/>
      <c r="D4392" s="51"/>
    </row>
    <row r="4393" spans="3:4" x14ac:dyDescent="0.35">
      <c r="C4393" s="51"/>
      <c r="D4393" s="51"/>
    </row>
    <row r="4394" spans="3:4" x14ac:dyDescent="0.35">
      <c r="C4394" s="51"/>
      <c r="D4394" s="51"/>
    </row>
    <row r="4395" spans="3:4" x14ac:dyDescent="0.35">
      <c r="C4395" s="51"/>
      <c r="D4395" s="51"/>
    </row>
    <row r="4396" spans="3:4" x14ac:dyDescent="0.35">
      <c r="C4396" s="51"/>
      <c r="D4396" s="51"/>
    </row>
    <row r="4397" spans="3:4" x14ac:dyDescent="0.35">
      <c r="C4397" s="51"/>
      <c r="D4397" s="51"/>
    </row>
    <row r="4398" spans="3:4" x14ac:dyDescent="0.35">
      <c r="C4398" s="51"/>
      <c r="D4398" s="51"/>
    </row>
    <row r="4399" spans="3:4" x14ac:dyDescent="0.35">
      <c r="C4399" s="51"/>
      <c r="D4399" s="51"/>
    </row>
    <row r="4400" spans="3:4" x14ac:dyDescent="0.35">
      <c r="C4400" s="51"/>
      <c r="D4400" s="51"/>
    </row>
    <row r="4401" spans="3:4" x14ac:dyDescent="0.35">
      <c r="C4401" s="51"/>
      <c r="D4401" s="51"/>
    </row>
    <row r="4402" spans="3:4" x14ac:dyDescent="0.35">
      <c r="C4402" s="51"/>
      <c r="D4402" s="51"/>
    </row>
    <row r="4403" spans="3:4" x14ac:dyDescent="0.35">
      <c r="C4403" s="51"/>
      <c r="D4403" s="51"/>
    </row>
    <row r="4404" spans="3:4" x14ac:dyDescent="0.35">
      <c r="C4404" s="51"/>
      <c r="D4404" s="51"/>
    </row>
    <row r="4405" spans="3:4" x14ac:dyDescent="0.35">
      <c r="C4405" s="51"/>
      <c r="D4405" s="51"/>
    </row>
    <row r="4406" spans="3:4" x14ac:dyDescent="0.35">
      <c r="C4406" s="51"/>
      <c r="D4406" s="51"/>
    </row>
    <row r="4407" spans="3:4" x14ac:dyDescent="0.35">
      <c r="C4407" s="51"/>
      <c r="D4407" s="51"/>
    </row>
    <row r="4408" spans="3:4" x14ac:dyDescent="0.35">
      <c r="C4408" s="51"/>
      <c r="D4408" s="51"/>
    </row>
    <row r="4409" spans="3:4" x14ac:dyDescent="0.35">
      <c r="C4409" s="51"/>
      <c r="D4409" s="51"/>
    </row>
    <row r="4410" spans="3:4" x14ac:dyDescent="0.35">
      <c r="C4410" s="51"/>
      <c r="D4410" s="51"/>
    </row>
    <row r="4411" spans="3:4" x14ac:dyDescent="0.35">
      <c r="C4411" s="51"/>
      <c r="D4411" s="51"/>
    </row>
    <row r="4412" spans="3:4" x14ac:dyDescent="0.35">
      <c r="C4412" s="51"/>
      <c r="D4412" s="51"/>
    </row>
    <row r="4413" spans="3:4" x14ac:dyDescent="0.35">
      <c r="C4413" s="51"/>
      <c r="D4413" s="51"/>
    </row>
    <row r="4414" spans="3:4" x14ac:dyDescent="0.35">
      <c r="C4414" s="51"/>
      <c r="D4414" s="51"/>
    </row>
    <row r="4415" spans="3:4" x14ac:dyDescent="0.35">
      <c r="C4415" s="51"/>
      <c r="D4415" s="51"/>
    </row>
    <row r="4416" spans="3:4" x14ac:dyDescent="0.35">
      <c r="C4416" s="51"/>
      <c r="D4416" s="51"/>
    </row>
    <row r="4417" spans="3:4" x14ac:dyDescent="0.35">
      <c r="C4417" s="51"/>
      <c r="D4417" s="51"/>
    </row>
    <row r="4418" spans="3:4" x14ac:dyDescent="0.35">
      <c r="C4418" s="51"/>
      <c r="D4418" s="51"/>
    </row>
    <row r="4419" spans="3:4" x14ac:dyDescent="0.35">
      <c r="C4419" s="51"/>
      <c r="D4419" s="51"/>
    </row>
    <row r="4420" spans="3:4" x14ac:dyDescent="0.35">
      <c r="C4420" s="51"/>
      <c r="D4420" s="51"/>
    </row>
    <row r="4421" spans="3:4" x14ac:dyDescent="0.35">
      <c r="C4421" s="51"/>
      <c r="D4421" s="51"/>
    </row>
    <row r="4422" spans="3:4" x14ac:dyDescent="0.35">
      <c r="C4422" s="51"/>
      <c r="D4422" s="51"/>
    </row>
    <row r="4423" spans="3:4" x14ac:dyDescent="0.35">
      <c r="C4423" s="51"/>
      <c r="D4423" s="51"/>
    </row>
    <row r="4424" spans="3:4" x14ac:dyDescent="0.35">
      <c r="C4424" s="51"/>
      <c r="D4424" s="51"/>
    </row>
    <row r="4425" spans="3:4" x14ac:dyDescent="0.35">
      <c r="C4425" s="51"/>
      <c r="D4425" s="51"/>
    </row>
    <row r="4426" spans="3:4" x14ac:dyDescent="0.35">
      <c r="C4426" s="51"/>
      <c r="D4426" s="51"/>
    </row>
    <row r="4427" spans="3:4" x14ac:dyDescent="0.35">
      <c r="C4427" s="51"/>
      <c r="D4427" s="51"/>
    </row>
    <row r="4428" spans="3:4" x14ac:dyDescent="0.35">
      <c r="C4428" s="51"/>
      <c r="D4428" s="51"/>
    </row>
    <row r="4429" spans="3:4" x14ac:dyDescent="0.35">
      <c r="C4429" s="51"/>
      <c r="D4429" s="51"/>
    </row>
    <row r="4430" spans="3:4" x14ac:dyDescent="0.35">
      <c r="C4430" s="51"/>
      <c r="D4430" s="51"/>
    </row>
    <row r="4431" spans="3:4" x14ac:dyDescent="0.35">
      <c r="C4431" s="51"/>
      <c r="D4431" s="51"/>
    </row>
    <row r="4432" spans="3:4" x14ac:dyDescent="0.35">
      <c r="C4432" s="51"/>
      <c r="D4432" s="51"/>
    </row>
    <row r="4433" spans="3:4" x14ac:dyDescent="0.35">
      <c r="C4433" s="51"/>
      <c r="D4433" s="51"/>
    </row>
    <row r="4434" spans="3:4" x14ac:dyDescent="0.35">
      <c r="C4434" s="51"/>
      <c r="D4434" s="51"/>
    </row>
    <row r="4435" spans="3:4" x14ac:dyDescent="0.35">
      <c r="C4435" s="51"/>
      <c r="D4435" s="51"/>
    </row>
    <row r="4436" spans="3:4" x14ac:dyDescent="0.35">
      <c r="C4436" s="51"/>
      <c r="D4436" s="51"/>
    </row>
    <row r="4437" spans="3:4" x14ac:dyDescent="0.35">
      <c r="C4437" s="51"/>
      <c r="D4437" s="51"/>
    </row>
    <row r="4438" spans="3:4" x14ac:dyDescent="0.35">
      <c r="C4438" s="51"/>
      <c r="D4438" s="51"/>
    </row>
    <row r="4439" spans="3:4" x14ac:dyDescent="0.35">
      <c r="C4439" s="51"/>
      <c r="D4439" s="51"/>
    </row>
    <row r="4440" spans="3:4" x14ac:dyDescent="0.35">
      <c r="C4440" s="51"/>
      <c r="D4440" s="51"/>
    </row>
    <row r="4441" spans="3:4" x14ac:dyDescent="0.35">
      <c r="C4441" s="51"/>
      <c r="D4441" s="51"/>
    </row>
    <row r="4442" spans="3:4" x14ac:dyDescent="0.35">
      <c r="C4442" s="51"/>
      <c r="D4442" s="51"/>
    </row>
    <row r="4443" spans="3:4" x14ac:dyDescent="0.35">
      <c r="C4443" s="51"/>
      <c r="D4443" s="51"/>
    </row>
    <row r="4444" spans="3:4" x14ac:dyDescent="0.35">
      <c r="C4444" s="51"/>
      <c r="D4444" s="51"/>
    </row>
    <row r="4445" spans="3:4" x14ac:dyDescent="0.35">
      <c r="C4445" s="51"/>
      <c r="D4445" s="51"/>
    </row>
    <row r="4446" spans="3:4" x14ac:dyDescent="0.35">
      <c r="C4446" s="51"/>
      <c r="D4446" s="51"/>
    </row>
    <row r="4447" spans="3:4" x14ac:dyDescent="0.35">
      <c r="C4447" s="51"/>
      <c r="D4447" s="51"/>
    </row>
    <row r="4448" spans="3:4" x14ac:dyDescent="0.35">
      <c r="C4448" s="51"/>
      <c r="D4448" s="51"/>
    </row>
    <row r="4449" spans="3:4" x14ac:dyDescent="0.35">
      <c r="C4449" s="51"/>
      <c r="D4449" s="51"/>
    </row>
    <row r="4450" spans="3:4" x14ac:dyDescent="0.35">
      <c r="C4450" s="51"/>
      <c r="D4450" s="51"/>
    </row>
    <row r="4451" spans="3:4" x14ac:dyDescent="0.35">
      <c r="C4451" s="51"/>
      <c r="D4451" s="51"/>
    </row>
    <row r="4452" spans="3:4" x14ac:dyDescent="0.35">
      <c r="C4452" s="51"/>
      <c r="D4452" s="51"/>
    </row>
    <row r="4453" spans="3:4" x14ac:dyDescent="0.35">
      <c r="C4453" s="51"/>
      <c r="D4453" s="51"/>
    </row>
    <row r="4454" spans="3:4" x14ac:dyDescent="0.35">
      <c r="C4454" s="51"/>
      <c r="D4454" s="51"/>
    </row>
    <row r="4455" spans="3:4" x14ac:dyDescent="0.35">
      <c r="C4455" s="51"/>
      <c r="D4455" s="51"/>
    </row>
    <row r="4456" spans="3:4" x14ac:dyDescent="0.35">
      <c r="C4456" s="51"/>
      <c r="D4456" s="51"/>
    </row>
    <row r="4457" spans="3:4" x14ac:dyDescent="0.35">
      <c r="C4457" s="51"/>
      <c r="D4457" s="51"/>
    </row>
    <row r="4458" spans="3:4" x14ac:dyDescent="0.35">
      <c r="C4458" s="51"/>
      <c r="D4458" s="51"/>
    </row>
    <row r="4459" spans="3:4" x14ac:dyDescent="0.35">
      <c r="C4459" s="51"/>
      <c r="D4459" s="51"/>
    </row>
    <row r="4460" spans="3:4" x14ac:dyDescent="0.35">
      <c r="C4460" s="51"/>
      <c r="D4460" s="51"/>
    </row>
    <row r="4461" spans="3:4" x14ac:dyDescent="0.35">
      <c r="C4461" s="51"/>
      <c r="D4461" s="51"/>
    </row>
    <row r="4462" spans="3:4" x14ac:dyDescent="0.35">
      <c r="C4462" s="51"/>
      <c r="D4462" s="51"/>
    </row>
    <row r="4463" spans="3:4" x14ac:dyDescent="0.35">
      <c r="C4463" s="51"/>
      <c r="D4463" s="51"/>
    </row>
    <row r="4464" spans="3:4" x14ac:dyDescent="0.35">
      <c r="C4464" s="51"/>
      <c r="D4464" s="51"/>
    </row>
    <row r="4465" spans="3:4" x14ac:dyDescent="0.35">
      <c r="C4465" s="51"/>
      <c r="D4465" s="51"/>
    </row>
    <row r="4466" spans="3:4" x14ac:dyDescent="0.35">
      <c r="C4466" s="51"/>
      <c r="D4466" s="51"/>
    </row>
    <row r="4467" spans="3:4" x14ac:dyDescent="0.35">
      <c r="C4467" s="51"/>
      <c r="D4467" s="51"/>
    </row>
    <row r="4468" spans="3:4" x14ac:dyDescent="0.35">
      <c r="C4468" s="51"/>
      <c r="D4468" s="51"/>
    </row>
    <row r="4469" spans="3:4" x14ac:dyDescent="0.35">
      <c r="C4469" s="51"/>
      <c r="D4469" s="51"/>
    </row>
    <row r="4470" spans="3:4" x14ac:dyDescent="0.35">
      <c r="C4470" s="51"/>
      <c r="D4470" s="51"/>
    </row>
    <row r="4471" spans="3:4" x14ac:dyDescent="0.35">
      <c r="C4471" s="51"/>
      <c r="D4471" s="51"/>
    </row>
    <row r="4472" spans="3:4" x14ac:dyDescent="0.35">
      <c r="C4472" s="51"/>
      <c r="D4472" s="51"/>
    </row>
    <row r="4473" spans="3:4" x14ac:dyDescent="0.35">
      <c r="C4473" s="51"/>
      <c r="D4473" s="51"/>
    </row>
    <row r="4474" spans="3:4" x14ac:dyDescent="0.35">
      <c r="C4474" s="51"/>
      <c r="D4474" s="51"/>
    </row>
    <row r="4475" spans="3:4" x14ac:dyDescent="0.35">
      <c r="C4475" s="51"/>
      <c r="D4475" s="51"/>
    </row>
    <row r="4476" spans="3:4" x14ac:dyDescent="0.35">
      <c r="C4476" s="51"/>
      <c r="D4476" s="51"/>
    </row>
    <row r="4477" spans="3:4" x14ac:dyDescent="0.35">
      <c r="C4477" s="51"/>
      <c r="D4477" s="51"/>
    </row>
    <row r="4478" spans="3:4" x14ac:dyDescent="0.35">
      <c r="C4478" s="51"/>
      <c r="D4478" s="51"/>
    </row>
    <row r="4479" spans="3:4" x14ac:dyDescent="0.35">
      <c r="C4479" s="51"/>
      <c r="D4479" s="51"/>
    </row>
    <row r="4480" spans="3:4" x14ac:dyDescent="0.35">
      <c r="C4480" s="51"/>
      <c r="D4480" s="51"/>
    </row>
    <row r="4481" spans="3:4" x14ac:dyDescent="0.35">
      <c r="C4481" s="51"/>
      <c r="D4481" s="51"/>
    </row>
    <row r="4482" spans="3:4" x14ac:dyDescent="0.35">
      <c r="C4482" s="51"/>
      <c r="D4482" s="51"/>
    </row>
    <row r="4483" spans="3:4" x14ac:dyDescent="0.35">
      <c r="C4483" s="51"/>
      <c r="D4483" s="51"/>
    </row>
    <row r="4484" spans="3:4" x14ac:dyDescent="0.35">
      <c r="C4484" s="51"/>
      <c r="D4484" s="51"/>
    </row>
    <row r="4485" spans="3:4" x14ac:dyDescent="0.35">
      <c r="C4485" s="51"/>
      <c r="D4485" s="51"/>
    </row>
    <row r="4486" spans="3:4" x14ac:dyDescent="0.35">
      <c r="C4486" s="51"/>
      <c r="D4486" s="51"/>
    </row>
    <row r="4487" spans="3:4" x14ac:dyDescent="0.35">
      <c r="C4487" s="51"/>
      <c r="D4487" s="51"/>
    </row>
    <row r="4488" spans="3:4" x14ac:dyDescent="0.35">
      <c r="C4488" s="51"/>
      <c r="D4488" s="51"/>
    </row>
    <row r="4489" spans="3:4" x14ac:dyDescent="0.35">
      <c r="C4489" s="51"/>
      <c r="D4489" s="51"/>
    </row>
    <row r="4490" spans="3:4" x14ac:dyDescent="0.35">
      <c r="C4490" s="51"/>
      <c r="D4490" s="51"/>
    </row>
    <row r="4491" spans="3:4" x14ac:dyDescent="0.35">
      <c r="C4491" s="51"/>
      <c r="D4491" s="51"/>
    </row>
    <row r="4492" spans="3:4" x14ac:dyDescent="0.35">
      <c r="C4492" s="51"/>
      <c r="D4492" s="51"/>
    </row>
    <row r="4493" spans="3:4" x14ac:dyDescent="0.35">
      <c r="C4493" s="51"/>
      <c r="D4493" s="51"/>
    </row>
    <row r="4494" spans="3:4" x14ac:dyDescent="0.35">
      <c r="C4494" s="51"/>
      <c r="D4494" s="51"/>
    </row>
    <row r="4495" spans="3:4" x14ac:dyDescent="0.35">
      <c r="C4495" s="51"/>
      <c r="D4495" s="51"/>
    </row>
    <row r="4496" spans="3:4" x14ac:dyDescent="0.35">
      <c r="C4496" s="51"/>
      <c r="D4496" s="51"/>
    </row>
    <row r="4497" spans="3:4" x14ac:dyDescent="0.35">
      <c r="C4497" s="51"/>
      <c r="D4497" s="51"/>
    </row>
    <row r="4498" spans="3:4" x14ac:dyDescent="0.35">
      <c r="C4498" s="51"/>
      <c r="D4498" s="51"/>
    </row>
    <row r="4499" spans="3:4" x14ac:dyDescent="0.35">
      <c r="C4499" s="51"/>
      <c r="D4499" s="51"/>
    </row>
    <row r="4500" spans="3:4" x14ac:dyDescent="0.35">
      <c r="C4500" s="51"/>
      <c r="D4500" s="51"/>
    </row>
    <row r="4501" spans="3:4" x14ac:dyDescent="0.35">
      <c r="C4501" s="51"/>
      <c r="D4501" s="51"/>
    </row>
    <row r="4502" spans="3:4" x14ac:dyDescent="0.35">
      <c r="C4502" s="51"/>
      <c r="D4502" s="51"/>
    </row>
    <row r="4503" spans="3:4" x14ac:dyDescent="0.35">
      <c r="C4503" s="51"/>
      <c r="D4503" s="51"/>
    </row>
    <row r="4504" spans="3:4" x14ac:dyDescent="0.35">
      <c r="C4504" s="51"/>
      <c r="D4504" s="51"/>
    </row>
    <row r="4505" spans="3:4" x14ac:dyDescent="0.35">
      <c r="C4505" s="51"/>
      <c r="D4505" s="51"/>
    </row>
    <row r="4506" spans="3:4" x14ac:dyDescent="0.35">
      <c r="C4506" s="51"/>
      <c r="D4506" s="51"/>
    </row>
    <row r="4507" spans="3:4" x14ac:dyDescent="0.35">
      <c r="C4507" s="51"/>
      <c r="D4507" s="51"/>
    </row>
    <row r="4508" spans="3:4" x14ac:dyDescent="0.35">
      <c r="C4508" s="51"/>
      <c r="D4508" s="51"/>
    </row>
    <row r="4509" spans="3:4" x14ac:dyDescent="0.35">
      <c r="C4509" s="51"/>
      <c r="D4509" s="51"/>
    </row>
    <row r="4510" spans="3:4" x14ac:dyDescent="0.35">
      <c r="C4510" s="51"/>
      <c r="D4510" s="51"/>
    </row>
    <row r="4511" spans="3:4" x14ac:dyDescent="0.35">
      <c r="C4511" s="51"/>
      <c r="D4511" s="51"/>
    </row>
    <row r="4512" spans="3:4" x14ac:dyDescent="0.35">
      <c r="C4512" s="51"/>
      <c r="D4512" s="51"/>
    </row>
    <row r="4513" spans="3:4" x14ac:dyDescent="0.35">
      <c r="C4513" s="51"/>
      <c r="D4513" s="51"/>
    </row>
    <row r="4514" spans="3:4" x14ac:dyDescent="0.35">
      <c r="C4514" s="51"/>
      <c r="D4514" s="51"/>
    </row>
    <row r="4515" spans="3:4" x14ac:dyDescent="0.35">
      <c r="C4515" s="51"/>
      <c r="D4515" s="51"/>
    </row>
    <row r="4516" spans="3:4" x14ac:dyDescent="0.35">
      <c r="C4516" s="51"/>
      <c r="D4516" s="51"/>
    </row>
    <row r="4517" spans="3:4" x14ac:dyDescent="0.35">
      <c r="C4517" s="51"/>
      <c r="D4517" s="51"/>
    </row>
    <row r="4518" spans="3:4" x14ac:dyDescent="0.35">
      <c r="C4518" s="51"/>
      <c r="D4518" s="51"/>
    </row>
    <row r="4519" spans="3:4" x14ac:dyDescent="0.35">
      <c r="C4519" s="51"/>
      <c r="D4519" s="51"/>
    </row>
    <row r="4520" spans="3:4" x14ac:dyDescent="0.35">
      <c r="C4520" s="51"/>
      <c r="D4520" s="51"/>
    </row>
    <row r="4521" spans="3:4" x14ac:dyDescent="0.35">
      <c r="C4521" s="51"/>
      <c r="D4521" s="51"/>
    </row>
    <row r="4522" spans="3:4" x14ac:dyDescent="0.35">
      <c r="C4522" s="51"/>
      <c r="D4522" s="51"/>
    </row>
    <row r="4523" spans="3:4" x14ac:dyDescent="0.35">
      <c r="C4523" s="51"/>
      <c r="D4523" s="51"/>
    </row>
    <row r="4524" spans="3:4" x14ac:dyDescent="0.35">
      <c r="C4524" s="51"/>
      <c r="D4524" s="51"/>
    </row>
    <row r="4525" spans="3:4" x14ac:dyDescent="0.35">
      <c r="C4525" s="51"/>
      <c r="D4525" s="51"/>
    </row>
    <row r="4526" spans="3:4" x14ac:dyDescent="0.35">
      <c r="C4526" s="51"/>
      <c r="D4526" s="51"/>
    </row>
    <row r="4527" spans="3:4" x14ac:dyDescent="0.35">
      <c r="C4527" s="51"/>
      <c r="D4527" s="51"/>
    </row>
    <row r="4528" spans="3:4" x14ac:dyDescent="0.35">
      <c r="C4528" s="51"/>
      <c r="D4528" s="51"/>
    </row>
    <row r="4529" spans="3:4" x14ac:dyDescent="0.35">
      <c r="C4529" s="51"/>
      <c r="D4529" s="51"/>
    </row>
    <row r="4530" spans="3:4" x14ac:dyDescent="0.35">
      <c r="C4530" s="51"/>
      <c r="D4530" s="51"/>
    </row>
    <row r="4531" spans="3:4" x14ac:dyDescent="0.35">
      <c r="C4531" s="51"/>
      <c r="D4531" s="51"/>
    </row>
    <row r="4532" spans="3:4" x14ac:dyDescent="0.35">
      <c r="C4532" s="51"/>
      <c r="D4532" s="51"/>
    </row>
    <row r="4533" spans="3:4" x14ac:dyDescent="0.35">
      <c r="C4533" s="51"/>
      <c r="D4533" s="51"/>
    </row>
    <row r="4534" spans="3:4" x14ac:dyDescent="0.35">
      <c r="C4534" s="51"/>
      <c r="D4534" s="51"/>
    </row>
    <row r="4535" spans="3:4" x14ac:dyDescent="0.35">
      <c r="C4535" s="51"/>
      <c r="D4535" s="51"/>
    </row>
    <row r="4536" spans="3:4" x14ac:dyDescent="0.35">
      <c r="C4536" s="51"/>
      <c r="D4536" s="51"/>
    </row>
    <row r="4537" spans="3:4" x14ac:dyDescent="0.35">
      <c r="C4537" s="51"/>
      <c r="D4537" s="51"/>
    </row>
    <row r="4538" spans="3:4" x14ac:dyDescent="0.35">
      <c r="C4538" s="51"/>
      <c r="D4538" s="51"/>
    </row>
    <row r="4539" spans="3:4" x14ac:dyDescent="0.35">
      <c r="C4539" s="51"/>
      <c r="D4539" s="51"/>
    </row>
    <row r="4540" spans="3:4" x14ac:dyDescent="0.35">
      <c r="C4540" s="51"/>
      <c r="D4540" s="51"/>
    </row>
    <row r="4541" spans="3:4" x14ac:dyDescent="0.35">
      <c r="C4541" s="51"/>
      <c r="D4541" s="51"/>
    </row>
    <row r="4542" spans="3:4" x14ac:dyDescent="0.35">
      <c r="C4542" s="51"/>
      <c r="D4542" s="51"/>
    </row>
    <row r="4543" spans="3:4" x14ac:dyDescent="0.35">
      <c r="C4543" s="51"/>
      <c r="D4543" s="51"/>
    </row>
    <row r="4544" spans="3:4" x14ac:dyDescent="0.35">
      <c r="C4544" s="51"/>
      <c r="D4544" s="51"/>
    </row>
    <row r="4545" spans="3:4" x14ac:dyDescent="0.35">
      <c r="C4545" s="51"/>
      <c r="D4545" s="51"/>
    </row>
    <row r="4546" spans="3:4" x14ac:dyDescent="0.35">
      <c r="C4546" s="51"/>
      <c r="D4546" s="51"/>
    </row>
    <row r="4547" spans="3:4" x14ac:dyDescent="0.35">
      <c r="C4547" s="51"/>
      <c r="D4547" s="51"/>
    </row>
    <row r="4548" spans="3:4" x14ac:dyDescent="0.35">
      <c r="C4548" s="51"/>
      <c r="D4548" s="51"/>
    </row>
    <row r="4549" spans="3:4" x14ac:dyDescent="0.35">
      <c r="C4549" s="51"/>
      <c r="D4549" s="51"/>
    </row>
    <row r="4550" spans="3:4" x14ac:dyDescent="0.35">
      <c r="C4550" s="51"/>
      <c r="D4550" s="51"/>
    </row>
    <row r="4551" spans="3:4" x14ac:dyDescent="0.35">
      <c r="C4551" s="51"/>
      <c r="D4551" s="51"/>
    </row>
    <row r="4552" spans="3:4" x14ac:dyDescent="0.35">
      <c r="C4552" s="51"/>
      <c r="D4552" s="51"/>
    </row>
    <row r="4553" spans="3:4" x14ac:dyDescent="0.35">
      <c r="C4553" s="51"/>
      <c r="D4553" s="51"/>
    </row>
    <row r="4554" spans="3:4" x14ac:dyDescent="0.35">
      <c r="C4554" s="51"/>
      <c r="D4554" s="51"/>
    </row>
    <row r="4555" spans="3:4" x14ac:dyDescent="0.35">
      <c r="C4555" s="51"/>
      <c r="D4555" s="51"/>
    </row>
    <row r="4556" spans="3:4" x14ac:dyDescent="0.35">
      <c r="C4556" s="51"/>
      <c r="D4556" s="51"/>
    </row>
    <row r="4557" spans="3:4" x14ac:dyDescent="0.35">
      <c r="C4557" s="51"/>
      <c r="D4557" s="51"/>
    </row>
    <row r="4558" spans="3:4" x14ac:dyDescent="0.35">
      <c r="C4558" s="51"/>
      <c r="D4558" s="51"/>
    </row>
    <row r="4559" spans="3:4" x14ac:dyDescent="0.35">
      <c r="C4559" s="51"/>
      <c r="D4559" s="51"/>
    </row>
    <row r="4560" spans="3:4" x14ac:dyDescent="0.35">
      <c r="C4560" s="51"/>
      <c r="D4560" s="51"/>
    </row>
    <row r="4561" spans="3:4" x14ac:dyDescent="0.35">
      <c r="C4561" s="51"/>
      <c r="D4561" s="51"/>
    </row>
    <row r="4562" spans="3:4" x14ac:dyDescent="0.35">
      <c r="C4562" s="51"/>
      <c r="D4562" s="51"/>
    </row>
    <row r="4563" spans="3:4" x14ac:dyDescent="0.35">
      <c r="C4563" s="51"/>
      <c r="D4563" s="51"/>
    </row>
    <row r="4564" spans="3:4" x14ac:dyDescent="0.35">
      <c r="C4564" s="51"/>
      <c r="D4564" s="51"/>
    </row>
    <row r="4565" spans="3:4" x14ac:dyDescent="0.35">
      <c r="C4565" s="51"/>
      <c r="D4565" s="51"/>
    </row>
    <row r="4566" spans="3:4" x14ac:dyDescent="0.35">
      <c r="C4566" s="51"/>
      <c r="D4566" s="51"/>
    </row>
    <row r="4567" spans="3:4" x14ac:dyDescent="0.35">
      <c r="C4567" s="51"/>
      <c r="D4567" s="51"/>
    </row>
    <row r="4568" spans="3:4" x14ac:dyDescent="0.35">
      <c r="C4568" s="51"/>
      <c r="D4568" s="51"/>
    </row>
    <row r="4569" spans="3:4" x14ac:dyDescent="0.35">
      <c r="C4569" s="51"/>
      <c r="D4569" s="51"/>
    </row>
    <row r="4570" spans="3:4" x14ac:dyDescent="0.35">
      <c r="C4570" s="51"/>
      <c r="D4570" s="51"/>
    </row>
    <row r="4571" spans="3:4" x14ac:dyDescent="0.35">
      <c r="C4571" s="51"/>
      <c r="D4571" s="51"/>
    </row>
    <row r="4572" spans="3:4" x14ac:dyDescent="0.35">
      <c r="C4572" s="51"/>
      <c r="D4572" s="51"/>
    </row>
    <row r="4573" spans="3:4" x14ac:dyDescent="0.35">
      <c r="C4573" s="51"/>
      <c r="D4573" s="51"/>
    </row>
    <row r="4574" spans="3:4" x14ac:dyDescent="0.35">
      <c r="C4574" s="51"/>
      <c r="D4574" s="51"/>
    </row>
    <row r="4575" spans="3:4" x14ac:dyDescent="0.35">
      <c r="C4575" s="51"/>
      <c r="D4575" s="51"/>
    </row>
    <row r="4576" spans="3:4" x14ac:dyDescent="0.35">
      <c r="C4576" s="51"/>
      <c r="D4576" s="51"/>
    </row>
    <row r="4577" spans="3:4" x14ac:dyDescent="0.35">
      <c r="C4577" s="51"/>
      <c r="D4577" s="51"/>
    </row>
    <row r="4578" spans="3:4" x14ac:dyDescent="0.35">
      <c r="C4578" s="51"/>
      <c r="D4578" s="51"/>
    </row>
    <row r="4579" spans="3:4" x14ac:dyDescent="0.35">
      <c r="C4579" s="51"/>
      <c r="D4579" s="51"/>
    </row>
    <row r="4580" spans="3:4" x14ac:dyDescent="0.35">
      <c r="C4580" s="51"/>
      <c r="D4580" s="51"/>
    </row>
    <row r="4581" spans="3:4" x14ac:dyDescent="0.35">
      <c r="C4581" s="51"/>
      <c r="D4581" s="51"/>
    </row>
    <row r="4582" spans="3:4" x14ac:dyDescent="0.35">
      <c r="C4582" s="51"/>
      <c r="D4582" s="51"/>
    </row>
    <row r="4583" spans="3:4" x14ac:dyDescent="0.35">
      <c r="C4583" s="51"/>
      <c r="D4583" s="51"/>
    </row>
    <row r="4584" spans="3:4" x14ac:dyDescent="0.35">
      <c r="C4584" s="51"/>
      <c r="D4584" s="51"/>
    </row>
    <row r="4585" spans="3:4" x14ac:dyDescent="0.35">
      <c r="C4585" s="51"/>
      <c r="D4585" s="51"/>
    </row>
    <row r="4586" spans="3:4" x14ac:dyDescent="0.35">
      <c r="C4586" s="51"/>
      <c r="D4586" s="51"/>
    </row>
    <row r="4587" spans="3:4" x14ac:dyDescent="0.35">
      <c r="C4587" s="51"/>
      <c r="D4587" s="51"/>
    </row>
    <row r="4588" spans="3:4" x14ac:dyDescent="0.35">
      <c r="C4588" s="51"/>
      <c r="D4588" s="51"/>
    </row>
    <row r="4589" spans="3:4" x14ac:dyDescent="0.35">
      <c r="C4589" s="51"/>
      <c r="D4589" s="51"/>
    </row>
    <row r="4590" spans="3:4" x14ac:dyDescent="0.35">
      <c r="C4590" s="51"/>
      <c r="D4590" s="51"/>
    </row>
    <row r="4591" spans="3:4" x14ac:dyDescent="0.35">
      <c r="C4591" s="51"/>
      <c r="D4591" s="51"/>
    </row>
    <row r="4592" spans="3:4" x14ac:dyDescent="0.35">
      <c r="C4592" s="51"/>
      <c r="D4592" s="51"/>
    </row>
    <row r="4593" spans="3:4" x14ac:dyDescent="0.35">
      <c r="C4593" s="51"/>
      <c r="D4593" s="51"/>
    </row>
    <row r="4594" spans="3:4" x14ac:dyDescent="0.35">
      <c r="C4594" s="51"/>
      <c r="D4594" s="51"/>
    </row>
    <row r="4595" spans="3:4" x14ac:dyDescent="0.35">
      <c r="C4595" s="51"/>
      <c r="D4595" s="51"/>
    </row>
    <row r="4596" spans="3:4" x14ac:dyDescent="0.35">
      <c r="C4596" s="51"/>
      <c r="D4596" s="51"/>
    </row>
    <row r="4597" spans="3:4" x14ac:dyDescent="0.35">
      <c r="C4597" s="51"/>
      <c r="D4597" s="51"/>
    </row>
    <row r="4598" spans="3:4" x14ac:dyDescent="0.35">
      <c r="C4598" s="51"/>
      <c r="D4598" s="51"/>
    </row>
    <row r="4599" spans="3:4" x14ac:dyDescent="0.35">
      <c r="C4599" s="51"/>
      <c r="D4599" s="51"/>
    </row>
    <row r="4600" spans="3:4" x14ac:dyDescent="0.35">
      <c r="C4600" s="51"/>
      <c r="D4600" s="51"/>
    </row>
    <row r="4601" spans="3:4" x14ac:dyDescent="0.35">
      <c r="C4601" s="51"/>
      <c r="D4601" s="51"/>
    </row>
    <row r="4602" spans="3:4" x14ac:dyDescent="0.35">
      <c r="C4602" s="51"/>
      <c r="D4602" s="51"/>
    </row>
    <row r="4603" spans="3:4" x14ac:dyDescent="0.35">
      <c r="C4603" s="51"/>
      <c r="D4603" s="51"/>
    </row>
    <row r="4604" spans="3:4" x14ac:dyDescent="0.35">
      <c r="C4604" s="51"/>
      <c r="D4604" s="51"/>
    </row>
    <row r="4605" spans="3:4" x14ac:dyDescent="0.35">
      <c r="C4605" s="51"/>
      <c r="D4605" s="51"/>
    </row>
    <row r="4606" spans="3:4" x14ac:dyDescent="0.35">
      <c r="C4606" s="51"/>
      <c r="D4606" s="51"/>
    </row>
    <row r="4607" spans="3:4" x14ac:dyDescent="0.35">
      <c r="C4607" s="51"/>
      <c r="D4607" s="51"/>
    </row>
    <row r="4608" spans="3:4" x14ac:dyDescent="0.35">
      <c r="C4608" s="51"/>
      <c r="D4608" s="51"/>
    </row>
    <row r="4609" spans="3:4" x14ac:dyDescent="0.35">
      <c r="C4609" s="51"/>
      <c r="D4609" s="51"/>
    </row>
    <row r="4610" spans="3:4" x14ac:dyDescent="0.35">
      <c r="C4610" s="51"/>
      <c r="D4610" s="51"/>
    </row>
    <row r="4611" spans="3:4" x14ac:dyDescent="0.35">
      <c r="C4611" s="51"/>
      <c r="D4611" s="51"/>
    </row>
    <row r="4612" spans="3:4" x14ac:dyDescent="0.35">
      <c r="C4612" s="51"/>
      <c r="D4612" s="51"/>
    </row>
    <row r="4613" spans="3:4" x14ac:dyDescent="0.35">
      <c r="C4613" s="51"/>
      <c r="D4613" s="51"/>
    </row>
    <row r="4614" spans="3:4" x14ac:dyDescent="0.35">
      <c r="C4614" s="51"/>
      <c r="D4614" s="51"/>
    </row>
    <row r="4615" spans="3:4" x14ac:dyDescent="0.35">
      <c r="C4615" s="51"/>
      <c r="D4615" s="51"/>
    </row>
    <row r="4616" spans="3:4" x14ac:dyDescent="0.35">
      <c r="C4616" s="51"/>
      <c r="D4616" s="51"/>
    </row>
    <row r="4617" spans="3:4" x14ac:dyDescent="0.35">
      <c r="C4617" s="51"/>
      <c r="D4617" s="51"/>
    </row>
    <row r="4618" spans="3:4" x14ac:dyDescent="0.35">
      <c r="C4618" s="51"/>
      <c r="D4618" s="51"/>
    </row>
    <row r="4619" spans="3:4" x14ac:dyDescent="0.35">
      <c r="C4619" s="51"/>
      <c r="D4619" s="51"/>
    </row>
    <row r="4620" spans="3:4" x14ac:dyDescent="0.35">
      <c r="C4620" s="51"/>
      <c r="D4620" s="51"/>
    </row>
    <row r="4621" spans="3:4" x14ac:dyDescent="0.35">
      <c r="C4621" s="51"/>
      <c r="D4621" s="51"/>
    </row>
    <row r="4622" spans="3:4" x14ac:dyDescent="0.35">
      <c r="C4622" s="51"/>
      <c r="D4622" s="51"/>
    </row>
    <row r="4623" spans="3:4" x14ac:dyDescent="0.35">
      <c r="C4623" s="51"/>
      <c r="D4623" s="51"/>
    </row>
    <row r="4624" spans="3:4" x14ac:dyDescent="0.35">
      <c r="C4624" s="51"/>
      <c r="D4624" s="51"/>
    </row>
    <row r="4625" spans="3:4" x14ac:dyDescent="0.35">
      <c r="C4625" s="51"/>
      <c r="D4625" s="51"/>
    </row>
    <row r="4626" spans="3:4" x14ac:dyDescent="0.35">
      <c r="C4626" s="51"/>
      <c r="D4626" s="51"/>
    </row>
    <row r="4627" spans="3:4" x14ac:dyDescent="0.35">
      <c r="C4627" s="51"/>
      <c r="D4627" s="51"/>
    </row>
    <row r="4628" spans="3:4" x14ac:dyDescent="0.35">
      <c r="C4628" s="51"/>
      <c r="D4628" s="51"/>
    </row>
    <row r="4629" spans="3:4" x14ac:dyDescent="0.35">
      <c r="C4629" s="51"/>
      <c r="D4629" s="51"/>
    </row>
    <row r="4630" spans="3:4" x14ac:dyDescent="0.35">
      <c r="C4630" s="51"/>
      <c r="D4630" s="51"/>
    </row>
    <row r="4631" spans="3:4" x14ac:dyDescent="0.35">
      <c r="C4631" s="51"/>
      <c r="D4631" s="51"/>
    </row>
    <row r="4632" spans="3:4" x14ac:dyDescent="0.35">
      <c r="C4632" s="51"/>
      <c r="D4632" s="51"/>
    </row>
    <row r="4633" spans="3:4" x14ac:dyDescent="0.35">
      <c r="C4633" s="51"/>
      <c r="D4633" s="51"/>
    </row>
    <row r="4634" spans="3:4" x14ac:dyDescent="0.35">
      <c r="C4634" s="51"/>
      <c r="D4634" s="51"/>
    </row>
    <row r="4635" spans="3:4" x14ac:dyDescent="0.35">
      <c r="C4635" s="51"/>
      <c r="D4635" s="51"/>
    </row>
    <row r="4636" spans="3:4" x14ac:dyDescent="0.35">
      <c r="C4636" s="51"/>
      <c r="D4636" s="51"/>
    </row>
    <row r="4637" spans="3:4" x14ac:dyDescent="0.35">
      <c r="C4637" s="51"/>
      <c r="D4637" s="51"/>
    </row>
    <row r="4638" spans="3:4" x14ac:dyDescent="0.35">
      <c r="C4638" s="51"/>
      <c r="D4638" s="51"/>
    </row>
    <row r="4639" spans="3:4" x14ac:dyDescent="0.35">
      <c r="C4639" s="51"/>
      <c r="D4639" s="51"/>
    </row>
    <row r="4640" spans="3:4" x14ac:dyDescent="0.35">
      <c r="C4640" s="51"/>
      <c r="D4640" s="51"/>
    </row>
    <row r="4641" spans="3:4" x14ac:dyDescent="0.35">
      <c r="C4641" s="51"/>
      <c r="D4641" s="51"/>
    </row>
    <row r="4642" spans="3:4" x14ac:dyDescent="0.35">
      <c r="C4642" s="51"/>
      <c r="D4642" s="51"/>
    </row>
    <row r="4643" spans="3:4" x14ac:dyDescent="0.35">
      <c r="C4643" s="51"/>
      <c r="D4643" s="51"/>
    </row>
    <row r="4644" spans="3:4" x14ac:dyDescent="0.35">
      <c r="C4644" s="51"/>
      <c r="D4644" s="51"/>
    </row>
    <row r="4645" spans="3:4" x14ac:dyDescent="0.35">
      <c r="C4645" s="51"/>
      <c r="D4645" s="51"/>
    </row>
    <row r="4646" spans="3:4" x14ac:dyDescent="0.35">
      <c r="C4646" s="51"/>
      <c r="D4646" s="51"/>
    </row>
    <row r="4647" spans="3:4" x14ac:dyDescent="0.35">
      <c r="C4647" s="51"/>
      <c r="D4647" s="51"/>
    </row>
    <row r="4648" spans="3:4" x14ac:dyDescent="0.35">
      <c r="C4648" s="51"/>
      <c r="D4648" s="51"/>
    </row>
    <row r="4649" spans="3:4" x14ac:dyDescent="0.35">
      <c r="C4649" s="51"/>
      <c r="D4649" s="51"/>
    </row>
    <row r="4650" spans="3:4" x14ac:dyDescent="0.35">
      <c r="C4650" s="51"/>
      <c r="D4650" s="51"/>
    </row>
    <row r="4651" spans="3:4" x14ac:dyDescent="0.35">
      <c r="C4651" s="51"/>
      <c r="D4651" s="51"/>
    </row>
    <row r="4652" spans="3:4" x14ac:dyDescent="0.35">
      <c r="C4652" s="51"/>
      <c r="D4652" s="51"/>
    </row>
    <row r="4653" spans="3:4" x14ac:dyDescent="0.35">
      <c r="C4653" s="51"/>
      <c r="D4653" s="51"/>
    </row>
    <row r="4654" spans="3:4" x14ac:dyDescent="0.35">
      <c r="C4654" s="51"/>
      <c r="D4654" s="51"/>
    </row>
    <row r="4655" spans="3:4" x14ac:dyDescent="0.35">
      <c r="C4655" s="51"/>
      <c r="D4655" s="51"/>
    </row>
    <row r="4656" spans="3:4" x14ac:dyDescent="0.35">
      <c r="C4656" s="51"/>
      <c r="D4656" s="51"/>
    </row>
    <row r="4657" spans="3:4" x14ac:dyDescent="0.35">
      <c r="C4657" s="51"/>
      <c r="D4657" s="51"/>
    </row>
    <row r="4658" spans="3:4" x14ac:dyDescent="0.35">
      <c r="C4658" s="51"/>
      <c r="D4658" s="51"/>
    </row>
    <row r="4659" spans="3:4" x14ac:dyDescent="0.35">
      <c r="C4659" s="51"/>
      <c r="D4659" s="51"/>
    </row>
    <row r="4660" spans="3:4" x14ac:dyDescent="0.35">
      <c r="C4660" s="51"/>
      <c r="D4660" s="51"/>
    </row>
    <row r="4661" spans="3:4" x14ac:dyDescent="0.35">
      <c r="C4661" s="51"/>
      <c r="D4661" s="51"/>
    </row>
    <row r="4662" spans="3:4" x14ac:dyDescent="0.35">
      <c r="C4662" s="51"/>
      <c r="D4662" s="51"/>
    </row>
    <row r="4663" spans="3:4" x14ac:dyDescent="0.35">
      <c r="C4663" s="51"/>
      <c r="D4663" s="51"/>
    </row>
    <row r="4664" spans="3:4" x14ac:dyDescent="0.35">
      <c r="C4664" s="51"/>
      <c r="D4664" s="51"/>
    </row>
    <row r="4665" spans="3:4" x14ac:dyDescent="0.35">
      <c r="C4665" s="51"/>
      <c r="D4665" s="51"/>
    </row>
    <row r="4666" spans="3:4" x14ac:dyDescent="0.35">
      <c r="C4666" s="51"/>
      <c r="D4666" s="51"/>
    </row>
    <row r="4667" spans="3:4" x14ac:dyDescent="0.35">
      <c r="C4667" s="51"/>
      <c r="D4667" s="51"/>
    </row>
    <row r="4668" spans="3:4" x14ac:dyDescent="0.35">
      <c r="C4668" s="51"/>
      <c r="D4668" s="51"/>
    </row>
    <row r="4669" spans="3:4" x14ac:dyDescent="0.35">
      <c r="C4669" s="51"/>
      <c r="D4669" s="51"/>
    </row>
    <row r="4670" spans="3:4" x14ac:dyDescent="0.35">
      <c r="C4670" s="51"/>
      <c r="D4670" s="51"/>
    </row>
    <row r="4671" spans="3:4" x14ac:dyDescent="0.35">
      <c r="C4671" s="51"/>
      <c r="D4671" s="51"/>
    </row>
    <row r="4672" spans="3:4" x14ac:dyDescent="0.35">
      <c r="C4672" s="51"/>
      <c r="D4672" s="51"/>
    </row>
    <row r="4673" spans="3:4" x14ac:dyDescent="0.35">
      <c r="C4673" s="51"/>
      <c r="D4673" s="51"/>
    </row>
    <row r="4674" spans="3:4" x14ac:dyDescent="0.35">
      <c r="C4674" s="51"/>
      <c r="D4674" s="51"/>
    </row>
    <row r="4675" spans="3:4" x14ac:dyDescent="0.35">
      <c r="C4675" s="51"/>
      <c r="D4675" s="51"/>
    </row>
    <row r="4676" spans="3:4" x14ac:dyDescent="0.35">
      <c r="C4676" s="51"/>
      <c r="D4676" s="51"/>
    </row>
    <row r="4677" spans="3:4" x14ac:dyDescent="0.35">
      <c r="C4677" s="51"/>
      <c r="D4677" s="51"/>
    </row>
    <row r="4678" spans="3:4" x14ac:dyDescent="0.35">
      <c r="C4678" s="51"/>
      <c r="D4678" s="51"/>
    </row>
    <row r="4679" spans="3:4" x14ac:dyDescent="0.35">
      <c r="C4679" s="51"/>
      <c r="D4679" s="51"/>
    </row>
    <row r="4680" spans="3:4" x14ac:dyDescent="0.35">
      <c r="C4680" s="51"/>
      <c r="D4680" s="51"/>
    </row>
    <row r="4681" spans="3:4" x14ac:dyDescent="0.35">
      <c r="C4681" s="51"/>
      <c r="D4681" s="51"/>
    </row>
    <row r="4682" spans="3:4" x14ac:dyDescent="0.35">
      <c r="C4682" s="51"/>
      <c r="D4682" s="51"/>
    </row>
    <row r="4683" spans="3:4" x14ac:dyDescent="0.35">
      <c r="C4683" s="51"/>
      <c r="D4683" s="51"/>
    </row>
    <row r="4684" spans="3:4" x14ac:dyDescent="0.35">
      <c r="C4684" s="51"/>
      <c r="D4684" s="51"/>
    </row>
    <row r="4685" spans="3:4" x14ac:dyDescent="0.35">
      <c r="C4685" s="51"/>
      <c r="D4685" s="51"/>
    </row>
    <row r="4686" spans="3:4" x14ac:dyDescent="0.35">
      <c r="C4686" s="51"/>
      <c r="D4686" s="51"/>
    </row>
    <row r="4687" spans="3:4" x14ac:dyDescent="0.35">
      <c r="C4687" s="51"/>
      <c r="D4687" s="51"/>
    </row>
    <row r="4688" spans="3:4" x14ac:dyDescent="0.35">
      <c r="C4688" s="51"/>
      <c r="D4688" s="51"/>
    </row>
    <row r="4689" spans="3:4" x14ac:dyDescent="0.35">
      <c r="C4689" s="51"/>
      <c r="D4689" s="51"/>
    </row>
    <row r="4690" spans="3:4" x14ac:dyDescent="0.35">
      <c r="C4690" s="51"/>
      <c r="D4690" s="51"/>
    </row>
    <row r="4691" spans="3:4" x14ac:dyDescent="0.35">
      <c r="C4691" s="51"/>
      <c r="D4691" s="51"/>
    </row>
    <row r="4692" spans="3:4" x14ac:dyDescent="0.35">
      <c r="C4692" s="51"/>
      <c r="D4692" s="51"/>
    </row>
    <row r="4693" spans="3:4" x14ac:dyDescent="0.35">
      <c r="C4693" s="51"/>
      <c r="D4693" s="51"/>
    </row>
    <row r="4694" spans="3:4" x14ac:dyDescent="0.35">
      <c r="C4694" s="51"/>
      <c r="D4694" s="51"/>
    </row>
    <row r="4695" spans="3:4" x14ac:dyDescent="0.35">
      <c r="C4695" s="51"/>
      <c r="D4695" s="51"/>
    </row>
    <row r="4696" spans="3:4" x14ac:dyDescent="0.35">
      <c r="C4696" s="51"/>
      <c r="D4696" s="51"/>
    </row>
    <row r="4697" spans="3:4" x14ac:dyDescent="0.35">
      <c r="C4697" s="51"/>
      <c r="D4697" s="51"/>
    </row>
    <row r="4698" spans="3:4" x14ac:dyDescent="0.35">
      <c r="C4698" s="51"/>
      <c r="D4698" s="51"/>
    </row>
    <row r="4699" spans="3:4" x14ac:dyDescent="0.35">
      <c r="C4699" s="51"/>
      <c r="D4699" s="51"/>
    </row>
    <row r="4700" spans="3:4" x14ac:dyDescent="0.35">
      <c r="C4700" s="51"/>
      <c r="D4700" s="51"/>
    </row>
    <row r="4701" spans="3:4" x14ac:dyDescent="0.35">
      <c r="C4701" s="51"/>
      <c r="D4701" s="51"/>
    </row>
    <row r="4702" spans="3:4" x14ac:dyDescent="0.35">
      <c r="C4702" s="51"/>
      <c r="D4702" s="51"/>
    </row>
    <row r="4703" spans="3:4" x14ac:dyDescent="0.35">
      <c r="C4703" s="51"/>
      <c r="D4703" s="51"/>
    </row>
    <row r="4704" spans="3:4" x14ac:dyDescent="0.35">
      <c r="C4704" s="51"/>
      <c r="D4704" s="51"/>
    </row>
    <row r="4705" spans="3:4" x14ac:dyDescent="0.35">
      <c r="C4705" s="51"/>
      <c r="D4705" s="51"/>
    </row>
    <row r="4706" spans="3:4" x14ac:dyDescent="0.35">
      <c r="C4706" s="51"/>
      <c r="D4706" s="51"/>
    </row>
    <row r="4707" spans="3:4" x14ac:dyDescent="0.35">
      <c r="C4707" s="51"/>
      <c r="D4707" s="51"/>
    </row>
    <row r="4708" spans="3:4" x14ac:dyDescent="0.35">
      <c r="C4708" s="51"/>
      <c r="D4708" s="51"/>
    </row>
    <row r="4709" spans="3:4" x14ac:dyDescent="0.35">
      <c r="C4709" s="51"/>
      <c r="D4709" s="51"/>
    </row>
    <row r="4710" spans="3:4" x14ac:dyDescent="0.35">
      <c r="C4710" s="51"/>
      <c r="D4710" s="51"/>
    </row>
    <row r="4711" spans="3:4" x14ac:dyDescent="0.35">
      <c r="C4711" s="51"/>
      <c r="D4711" s="51"/>
    </row>
    <row r="4712" spans="3:4" x14ac:dyDescent="0.35">
      <c r="C4712" s="51"/>
      <c r="D4712" s="51"/>
    </row>
    <row r="4713" spans="3:4" x14ac:dyDescent="0.35">
      <c r="C4713" s="51"/>
      <c r="D4713" s="51"/>
    </row>
    <row r="4714" spans="3:4" x14ac:dyDescent="0.35">
      <c r="C4714" s="51"/>
      <c r="D4714" s="51"/>
    </row>
    <row r="4715" spans="3:4" x14ac:dyDescent="0.35">
      <c r="C4715" s="51"/>
      <c r="D4715" s="51"/>
    </row>
    <row r="4716" spans="3:4" x14ac:dyDescent="0.35">
      <c r="C4716" s="51"/>
      <c r="D4716" s="51"/>
    </row>
    <row r="4717" spans="3:4" x14ac:dyDescent="0.35">
      <c r="C4717" s="51"/>
      <c r="D4717" s="51"/>
    </row>
    <row r="4718" spans="3:4" x14ac:dyDescent="0.35">
      <c r="C4718" s="51"/>
      <c r="D4718" s="51"/>
    </row>
    <row r="4719" spans="3:4" x14ac:dyDescent="0.35">
      <c r="C4719" s="51"/>
      <c r="D4719" s="51"/>
    </row>
    <row r="4720" spans="3:4" x14ac:dyDescent="0.35">
      <c r="C4720" s="51"/>
      <c r="D4720" s="51"/>
    </row>
    <row r="4721" spans="3:4" x14ac:dyDescent="0.35">
      <c r="C4721" s="51"/>
      <c r="D4721" s="51"/>
    </row>
    <row r="4722" spans="3:4" x14ac:dyDescent="0.35">
      <c r="C4722" s="51"/>
      <c r="D4722" s="51"/>
    </row>
    <row r="4723" spans="3:4" x14ac:dyDescent="0.35">
      <c r="C4723" s="51"/>
      <c r="D4723" s="51"/>
    </row>
    <row r="4724" spans="3:4" x14ac:dyDescent="0.35">
      <c r="C4724" s="51"/>
      <c r="D4724" s="51"/>
    </row>
    <row r="4725" spans="3:4" x14ac:dyDescent="0.35">
      <c r="C4725" s="51"/>
      <c r="D4725" s="51"/>
    </row>
    <row r="4726" spans="3:4" x14ac:dyDescent="0.35">
      <c r="C4726" s="51"/>
      <c r="D4726" s="51"/>
    </row>
    <row r="4727" spans="3:4" x14ac:dyDescent="0.35">
      <c r="C4727" s="51"/>
      <c r="D4727" s="51"/>
    </row>
    <row r="4728" spans="3:4" x14ac:dyDescent="0.35">
      <c r="C4728" s="51"/>
      <c r="D4728" s="51"/>
    </row>
    <row r="4729" spans="3:4" x14ac:dyDescent="0.35">
      <c r="C4729" s="51"/>
      <c r="D4729" s="51"/>
    </row>
    <row r="4730" spans="3:4" x14ac:dyDescent="0.35">
      <c r="C4730" s="51"/>
      <c r="D4730" s="51"/>
    </row>
    <row r="4731" spans="3:4" x14ac:dyDescent="0.35">
      <c r="C4731" s="51"/>
      <c r="D4731" s="51"/>
    </row>
    <row r="4732" spans="3:4" x14ac:dyDescent="0.35">
      <c r="C4732" s="51"/>
      <c r="D4732" s="51"/>
    </row>
    <row r="4733" spans="3:4" x14ac:dyDescent="0.35">
      <c r="C4733" s="51"/>
      <c r="D4733" s="51"/>
    </row>
    <row r="4734" spans="3:4" x14ac:dyDescent="0.35">
      <c r="C4734" s="51"/>
      <c r="D4734" s="51"/>
    </row>
    <row r="4735" spans="3:4" x14ac:dyDescent="0.35">
      <c r="C4735" s="51"/>
      <c r="D4735" s="51"/>
    </row>
    <row r="4736" spans="3:4" x14ac:dyDescent="0.35">
      <c r="C4736" s="51"/>
      <c r="D4736" s="51"/>
    </row>
    <row r="4737" spans="3:4" x14ac:dyDescent="0.35">
      <c r="C4737" s="51"/>
      <c r="D4737" s="51"/>
    </row>
    <row r="4738" spans="3:4" x14ac:dyDescent="0.35">
      <c r="C4738" s="51"/>
      <c r="D4738" s="51"/>
    </row>
    <row r="4739" spans="3:4" x14ac:dyDescent="0.35">
      <c r="C4739" s="51"/>
      <c r="D4739" s="51"/>
    </row>
    <row r="4740" spans="3:4" x14ac:dyDescent="0.35">
      <c r="C4740" s="51"/>
      <c r="D4740" s="51"/>
    </row>
    <row r="4741" spans="3:4" x14ac:dyDescent="0.35">
      <c r="C4741" s="51"/>
      <c r="D4741" s="51"/>
    </row>
    <row r="4742" spans="3:4" x14ac:dyDescent="0.35">
      <c r="C4742" s="51"/>
      <c r="D4742" s="51"/>
    </row>
    <row r="4743" spans="3:4" x14ac:dyDescent="0.35">
      <c r="C4743" s="51"/>
      <c r="D4743" s="51"/>
    </row>
    <row r="4744" spans="3:4" x14ac:dyDescent="0.35">
      <c r="C4744" s="51"/>
      <c r="D4744" s="51"/>
    </row>
    <row r="4745" spans="3:4" x14ac:dyDescent="0.35">
      <c r="C4745" s="51"/>
      <c r="D4745" s="51"/>
    </row>
    <row r="4746" spans="3:4" x14ac:dyDescent="0.35">
      <c r="C4746" s="51"/>
      <c r="D4746" s="51"/>
    </row>
    <row r="4747" spans="3:4" x14ac:dyDescent="0.35">
      <c r="C4747" s="51"/>
      <c r="D4747" s="51"/>
    </row>
    <row r="4748" spans="3:4" x14ac:dyDescent="0.35">
      <c r="C4748" s="51"/>
      <c r="D4748" s="51"/>
    </row>
    <row r="4749" spans="3:4" x14ac:dyDescent="0.35">
      <c r="C4749" s="51"/>
      <c r="D4749" s="51"/>
    </row>
    <row r="4750" spans="3:4" x14ac:dyDescent="0.35">
      <c r="C4750" s="51"/>
      <c r="D4750" s="51"/>
    </row>
    <row r="4751" spans="3:4" x14ac:dyDescent="0.35">
      <c r="C4751" s="51"/>
      <c r="D4751" s="51"/>
    </row>
    <row r="4752" spans="3:4" x14ac:dyDescent="0.35">
      <c r="C4752" s="51"/>
      <c r="D4752" s="51"/>
    </row>
    <row r="4753" spans="3:4" x14ac:dyDescent="0.35">
      <c r="C4753" s="51"/>
      <c r="D4753" s="51"/>
    </row>
    <row r="4754" spans="3:4" x14ac:dyDescent="0.35">
      <c r="C4754" s="51"/>
      <c r="D4754" s="51"/>
    </row>
    <row r="4755" spans="3:4" x14ac:dyDescent="0.35">
      <c r="C4755" s="51"/>
      <c r="D4755" s="51"/>
    </row>
    <row r="4756" spans="3:4" x14ac:dyDescent="0.35">
      <c r="C4756" s="51"/>
      <c r="D4756" s="51"/>
    </row>
    <row r="4757" spans="3:4" x14ac:dyDescent="0.35">
      <c r="C4757" s="51"/>
      <c r="D4757" s="51"/>
    </row>
    <row r="4758" spans="3:4" x14ac:dyDescent="0.35">
      <c r="C4758" s="51"/>
      <c r="D4758" s="51"/>
    </row>
    <row r="4759" spans="3:4" x14ac:dyDescent="0.35">
      <c r="C4759" s="51"/>
      <c r="D4759" s="51"/>
    </row>
    <row r="4760" spans="3:4" x14ac:dyDescent="0.35">
      <c r="C4760" s="51"/>
      <c r="D4760" s="51"/>
    </row>
    <row r="4761" spans="3:4" x14ac:dyDescent="0.35">
      <c r="C4761" s="51"/>
      <c r="D4761" s="51"/>
    </row>
    <row r="4762" spans="3:4" x14ac:dyDescent="0.35">
      <c r="C4762" s="51"/>
      <c r="D4762" s="51"/>
    </row>
    <row r="4763" spans="3:4" x14ac:dyDescent="0.35">
      <c r="C4763" s="51"/>
      <c r="D4763" s="51"/>
    </row>
    <row r="4764" spans="3:4" x14ac:dyDescent="0.35">
      <c r="C4764" s="51"/>
      <c r="D4764" s="51"/>
    </row>
    <row r="4765" spans="3:4" x14ac:dyDescent="0.35">
      <c r="C4765" s="51"/>
      <c r="D4765" s="51"/>
    </row>
    <row r="4766" spans="3:4" x14ac:dyDescent="0.35">
      <c r="C4766" s="51"/>
      <c r="D4766" s="51"/>
    </row>
    <row r="4767" spans="3:4" x14ac:dyDescent="0.35">
      <c r="C4767" s="51"/>
      <c r="D4767" s="51"/>
    </row>
    <row r="4768" spans="3:4" x14ac:dyDescent="0.35">
      <c r="C4768" s="51"/>
      <c r="D4768" s="51"/>
    </row>
    <row r="4769" spans="3:4" x14ac:dyDescent="0.35">
      <c r="C4769" s="51"/>
      <c r="D4769" s="51"/>
    </row>
    <row r="4770" spans="3:4" x14ac:dyDescent="0.35">
      <c r="C4770" s="51"/>
      <c r="D4770" s="51"/>
    </row>
    <row r="4771" spans="3:4" x14ac:dyDescent="0.35">
      <c r="C4771" s="51"/>
      <c r="D4771" s="51"/>
    </row>
    <row r="4772" spans="3:4" x14ac:dyDescent="0.35">
      <c r="C4772" s="51"/>
      <c r="D4772" s="51"/>
    </row>
    <row r="4773" spans="3:4" x14ac:dyDescent="0.35">
      <c r="C4773" s="51"/>
      <c r="D4773" s="51"/>
    </row>
    <row r="4774" spans="3:4" x14ac:dyDescent="0.35">
      <c r="C4774" s="51"/>
      <c r="D4774" s="51"/>
    </row>
    <row r="4775" spans="3:4" x14ac:dyDescent="0.35">
      <c r="C4775" s="51"/>
      <c r="D4775" s="51"/>
    </row>
    <row r="4776" spans="3:4" x14ac:dyDescent="0.35">
      <c r="C4776" s="51"/>
      <c r="D4776" s="51"/>
    </row>
    <row r="4777" spans="3:4" x14ac:dyDescent="0.35">
      <c r="C4777" s="51"/>
      <c r="D4777" s="51"/>
    </row>
    <row r="4778" spans="3:4" x14ac:dyDescent="0.35">
      <c r="C4778" s="51"/>
      <c r="D4778" s="51"/>
    </row>
    <row r="4779" spans="3:4" x14ac:dyDescent="0.35">
      <c r="C4779" s="51"/>
      <c r="D4779" s="51"/>
    </row>
    <row r="4780" spans="3:4" x14ac:dyDescent="0.35">
      <c r="C4780" s="51"/>
      <c r="D4780" s="51"/>
    </row>
    <row r="4781" spans="3:4" x14ac:dyDescent="0.35">
      <c r="C4781" s="51"/>
      <c r="D4781" s="51"/>
    </row>
    <row r="4782" spans="3:4" x14ac:dyDescent="0.35">
      <c r="C4782" s="51"/>
      <c r="D4782" s="51"/>
    </row>
    <row r="4783" spans="3:4" x14ac:dyDescent="0.35">
      <c r="C4783" s="51"/>
      <c r="D4783" s="51"/>
    </row>
    <row r="4784" spans="3:4" x14ac:dyDescent="0.35">
      <c r="C4784" s="51"/>
      <c r="D4784" s="51"/>
    </row>
    <row r="4785" spans="3:4" x14ac:dyDescent="0.35">
      <c r="C4785" s="51"/>
      <c r="D4785" s="51"/>
    </row>
    <row r="4786" spans="3:4" x14ac:dyDescent="0.35">
      <c r="C4786" s="51"/>
      <c r="D4786" s="51"/>
    </row>
    <row r="4787" spans="3:4" x14ac:dyDescent="0.35">
      <c r="C4787" s="51"/>
      <c r="D4787" s="51"/>
    </row>
    <row r="4788" spans="3:4" x14ac:dyDescent="0.35">
      <c r="C4788" s="51"/>
      <c r="D4788" s="51"/>
    </row>
    <row r="4789" spans="3:4" x14ac:dyDescent="0.35">
      <c r="C4789" s="51"/>
      <c r="D4789" s="51"/>
    </row>
    <row r="4790" spans="3:4" x14ac:dyDescent="0.35">
      <c r="C4790" s="51"/>
      <c r="D4790" s="51"/>
    </row>
    <row r="4791" spans="3:4" x14ac:dyDescent="0.35">
      <c r="C4791" s="51"/>
      <c r="D4791" s="51"/>
    </row>
    <row r="4792" spans="3:4" x14ac:dyDescent="0.35">
      <c r="C4792" s="51"/>
      <c r="D4792" s="51"/>
    </row>
    <row r="4793" spans="3:4" x14ac:dyDescent="0.35">
      <c r="C4793" s="51"/>
      <c r="D4793" s="51"/>
    </row>
    <row r="4794" spans="3:4" x14ac:dyDescent="0.35">
      <c r="C4794" s="51"/>
      <c r="D4794" s="51"/>
    </row>
    <row r="4795" spans="3:4" x14ac:dyDescent="0.35">
      <c r="C4795" s="51"/>
      <c r="D4795" s="51"/>
    </row>
    <row r="4796" spans="3:4" x14ac:dyDescent="0.35">
      <c r="C4796" s="51"/>
      <c r="D4796" s="51"/>
    </row>
    <row r="4797" spans="3:4" x14ac:dyDescent="0.35">
      <c r="C4797" s="51"/>
      <c r="D4797" s="51"/>
    </row>
    <row r="4798" spans="3:4" x14ac:dyDescent="0.35">
      <c r="C4798" s="51"/>
      <c r="D4798" s="51"/>
    </row>
    <row r="4799" spans="3:4" x14ac:dyDescent="0.35">
      <c r="C4799" s="51"/>
      <c r="D4799" s="51"/>
    </row>
    <row r="4800" spans="3:4" x14ac:dyDescent="0.35">
      <c r="C4800" s="51"/>
      <c r="D4800" s="51"/>
    </row>
    <row r="4801" spans="3:4" x14ac:dyDescent="0.35">
      <c r="C4801" s="51"/>
      <c r="D4801" s="51"/>
    </row>
    <row r="4802" spans="3:4" x14ac:dyDescent="0.35">
      <c r="C4802" s="51"/>
      <c r="D4802" s="51"/>
    </row>
    <row r="4803" spans="3:4" x14ac:dyDescent="0.35">
      <c r="C4803" s="51"/>
      <c r="D4803" s="51"/>
    </row>
    <row r="4804" spans="3:4" x14ac:dyDescent="0.35">
      <c r="C4804" s="51"/>
      <c r="D4804" s="51"/>
    </row>
    <row r="4805" spans="3:4" x14ac:dyDescent="0.35">
      <c r="C4805" s="51"/>
      <c r="D4805" s="51"/>
    </row>
    <row r="4806" spans="3:4" x14ac:dyDescent="0.35">
      <c r="C4806" s="51"/>
      <c r="D4806" s="51"/>
    </row>
    <row r="4807" spans="3:4" x14ac:dyDescent="0.35">
      <c r="C4807" s="51"/>
      <c r="D4807" s="51"/>
    </row>
    <row r="4808" spans="3:4" x14ac:dyDescent="0.35">
      <c r="C4808" s="51"/>
      <c r="D4808" s="51"/>
    </row>
    <row r="4809" spans="3:4" x14ac:dyDescent="0.35">
      <c r="C4809" s="51"/>
      <c r="D4809" s="51"/>
    </row>
    <row r="4810" spans="3:4" x14ac:dyDescent="0.35">
      <c r="C4810" s="51"/>
      <c r="D4810" s="51"/>
    </row>
    <row r="4811" spans="3:4" x14ac:dyDescent="0.35">
      <c r="C4811" s="51"/>
      <c r="D4811" s="51"/>
    </row>
    <row r="4812" spans="3:4" x14ac:dyDescent="0.35">
      <c r="C4812" s="51"/>
      <c r="D4812" s="51"/>
    </row>
    <row r="4813" spans="3:4" x14ac:dyDescent="0.35">
      <c r="C4813" s="51"/>
      <c r="D4813" s="51"/>
    </row>
    <row r="4814" spans="3:4" x14ac:dyDescent="0.35">
      <c r="C4814" s="51"/>
      <c r="D4814" s="51"/>
    </row>
    <row r="4815" spans="3:4" x14ac:dyDescent="0.35">
      <c r="C4815" s="51"/>
      <c r="D4815" s="51"/>
    </row>
    <row r="4816" spans="3:4" x14ac:dyDescent="0.35">
      <c r="C4816" s="51"/>
      <c r="D4816" s="51"/>
    </row>
    <row r="4817" spans="3:4" x14ac:dyDescent="0.35">
      <c r="C4817" s="51"/>
      <c r="D4817" s="51"/>
    </row>
    <row r="4818" spans="3:4" x14ac:dyDescent="0.35">
      <c r="C4818" s="51"/>
      <c r="D4818" s="51"/>
    </row>
    <row r="4819" spans="3:4" x14ac:dyDescent="0.35">
      <c r="C4819" s="51"/>
      <c r="D4819" s="51"/>
    </row>
    <row r="4820" spans="3:4" x14ac:dyDescent="0.35">
      <c r="C4820" s="51"/>
      <c r="D4820" s="51"/>
    </row>
    <row r="4821" spans="3:4" x14ac:dyDescent="0.35">
      <c r="C4821" s="51"/>
      <c r="D4821" s="51"/>
    </row>
    <row r="4822" spans="3:4" x14ac:dyDescent="0.35">
      <c r="C4822" s="51"/>
      <c r="D4822" s="51"/>
    </row>
    <row r="4823" spans="3:4" x14ac:dyDescent="0.35">
      <c r="C4823" s="51"/>
      <c r="D4823" s="51"/>
    </row>
    <row r="4824" spans="3:4" x14ac:dyDescent="0.35">
      <c r="C4824" s="51"/>
      <c r="D4824" s="51"/>
    </row>
    <row r="4825" spans="3:4" x14ac:dyDescent="0.35">
      <c r="C4825" s="51"/>
      <c r="D4825" s="51"/>
    </row>
    <row r="4826" spans="3:4" x14ac:dyDescent="0.35">
      <c r="C4826" s="51"/>
      <c r="D4826" s="51"/>
    </row>
    <row r="4827" spans="3:4" x14ac:dyDescent="0.35">
      <c r="C4827" s="51"/>
      <c r="D4827" s="51"/>
    </row>
    <row r="4828" spans="3:4" x14ac:dyDescent="0.35">
      <c r="C4828" s="51"/>
      <c r="D4828" s="51"/>
    </row>
    <row r="4829" spans="3:4" x14ac:dyDescent="0.35">
      <c r="C4829" s="51"/>
      <c r="D4829" s="51"/>
    </row>
    <row r="4830" spans="3:4" x14ac:dyDescent="0.35">
      <c r="C4830" s="51"/>
      <c r="D4830" s="51"/>
    </row>
    <row r="4831" spans="3:4" x14ac:dyDescent="0.35">
      <c r="C4831" s="51"/>
      <c r="D4831" s="51"/>
    </row>
    <row r="4832" spans="3:4" x14ac:dyDescent="0.35">
      <c r="C4832" s="51"/>
      <c r="D4832" s="51"/>
    </row>
    <row r="4833" spans="3:4" x14ac:dyDescent="0.35">
      <c r="C4833" s="51"/>
      <c r="D4833" s="51"/>
    </row>
    <row r="4834" spans="3:4" x14ac:dyDescent="0.35">
      <c r="C4834" s="51"/>
      <c r="D4834" s="51"/>
    </row>
    <row r="4835" spans="3:4" x14ac:dyDescent="0.35">
      <c r="C4835" s="51"/>
      <c r="D4835" s="51"/>
    </row>
    <row r="4836" spans="3:4" x14ac:dyDescent="0.35">
      <c r="C4836" s="51"/>
      <c r="D4836" s="51"/>
    </row>
    <row r="4837" spans="3:4" x14ac:dyDescent="0.35">
      <c r="C4837" s="51"/>
      <c r="D4837" s="51"/>
    </row>
    <row r="4838" spans="3:4" x14ac:dyDescent="0.35">
      <c r="C4838" s="51"/>
      <c r="D4838" s="51"/>
    </row>
    <row r="4839" spans="3:4" x14ac:dyDescent="0.35">
      <c r="C4839" s="51"/>
      <c r="D4839" s="51"/>
    </row>
    <row r="4840" spans="3:4" x14ac:dyDescent="0.35">
      <c r="C4840" s="51"/>
      <c r="D4840" s="51"/>
    </row>
    <row r="4841" spans="3:4" x14ac:dyDescent="0.35">
      <c r="C4841" s="51"/>
      <c r="D4841" s="51"/>
    </row>
    <row r="4842" spans="3:4" x14ac:dyDescent="0.35">
      <c r="C4842" s="51"/>
      <c r="D4842" s="51"/>
    </row>
    <row r="4843" spans="3:4" x14ac:dyDescent="0.35">
      <c r="C4843" s="51"/>
      <c r="D4843" s="51"/>
    </row>
    <row r="4844" spans="3:4" x14ac:dyDescent="0.35">
      <c r="C4844" s="51"/>
      <c r="D4844" s="51"/>
    </row>
    <row r="4845" spans="3:4" x14ac:dyDescent="0.35">
      <c r="C4845" s="51"/>
      <c r="D4845" s="51"/>
    </row>
    <row r="4846" spans="3:4" x14ac:dyDescent="0.35">
      <c r="C4846" s="51"/>
      <c r="D4846" s="51"/>
    </row>
    <row r="4847" spans="3:4" x14ac:dyDescent="0.35">
      <c r="C4847" s="51"/>
      <c r="D4847" s="51"/>
    </row>
    <row r="4848" spans="3:4" x14ac:dyDescent="0.35">
      <c r="C4848" s="51"/>
      <c r="D4848" s="51"/>
    </row>
    <row r="4849" spans="3:4" x14ac:dyDescent="0.35">
      <c r="C4849" s="51"/>
      <c r="D4849" s="51"/>
    </row>
    <row r="4850" spans="3:4" x14ac:dyDescent="0.35">
      <c r="C4850" s="51"/>
      <c r="D4850" s="51"/>
    </row>
    <row r="4851" spans="3:4" x14ac:dyDescent="0.35">
      <c r="C4851" s="51"/>
      <c r="D4851" s="51"/>
    </row>
    <row r="4852" spans="3:4" x14ac:dyDescent="0.35">
      <c r="C4852" s="51"/>
      <c r="D4852" s="51"/>
    </row>
    <row r="4853" spans="3:4" x14ac:dyDescent="0.35">
      <c r="C4853" s="51"/>
      <c r="D4853" s="51"/>
    </row>
    <row r="4854" spans="3:4" x14ac:dyDescent="0.35">
      <c r="C4854" s="51"/>
      <c r="D4854" s="51"/>
    </row>
    <row r="4855" spans="3:4" x14ac:dyDescent="0.35">
      <c r="C4855" s="51"/>
      <c r="D4855" s="51"/>
    </row>
    <row r="4856" spans="3:4" x14ac:dyDescent="0.35">
      <c r="C4856" s="51"/>
      <c r="D4856" s="51"/>
    </row>
    <row r="4857" spans="3:4" x14ac:dyDescent="0.35">
      <c r="C4857" s="51"/>
      <c r="D4857" s="51"/>
    </row>
    <row r="4858" spans="3:4" x14ac:dyDescent="0.35">
      <c r="C4858" s="51"/>
      <c r="D4858" s="51"/>
    </row>
    <row r="4859" spans="3:4" x14ac:dyDescent="0.35">
      <c r="C4859" s="51"/>
      <c r="D4859" s="51"/>
    </row>
    <row r="4860" spans="3:4" x14ac:dyDescent="0.35">
      <c r="C4860" s="51"/>
      <c r="D4860" s="51"/>
    </row>
    <row r="4861" spans="3:4" x14ac:dyDescent="0.35">
      <c r="C4861" s="51"/>
      <c r="D4861" s="51"/>
    </row>
    <row r="4862" spans="3:4" x14ac:dyDescent="0.35">
      <c r="C4862" s="51"/>
      <c r="D4862" s="51"/>
    </row>
    <row r="4863" spans="3:4" x14ac:dyDescent="0.35">
      <c r="C4863" s="51"/>
      <c r="D4863" s="51"/>
    </row>
    <row r="4864" spans="3:4" x14ac:dyDescent="0.35">
      <c r="C4864" s="51"/>
      <c r="D4864" s="51"/>
    </row>
    <row r="4865" spans="3:4" x14ac:dyDescent="0.35">
      <c r="C4865" s="51"/>
      <c r="D4865" s="51"/>
    </row>
    <row r="4866" spans="3:4" x14ac:dyDescent="0.35">
      <c r="C4866" s="51"/>
      <c r="D4866" s="51"/>
    </row>
    <row r="4867" spans="3:4" x14ac:dyDescent="0.35">
      <c r="C4867" s="51"/>
      <c r="D4867" s="51"/>
    </row>
    <row r="4868" spans="3:4" x14ac:dyDescent="0.35">
      <c r="C4868" s="51"/>
      <c r="D4868" s="51"/>
    </row>
    <row r="4869" spans="3:4" x14ac:dyDescent="0.35">
      <c r="C4869" s="51"/>
      <c r="D4869" s="51"/>
    </row>
    <row r="4870" spans="3:4" x14ac:dyDescent="0.35">
      <c r="C4870" s="51"/>
      <c r="D4870" s="51"/>
    </row>
    <row r="4871" spans="3:4" x14ac:dyDescent="0.35">
      <c r="C4871" s="51"/>
      <c r="D4871" s="51"/>
    </row>
    <row r="4872" spans="3:4" x14ac:dyDescent="0.35">
      <c r="C4872" s="51"/>
      <c r="D4872" s="51"/>
    </row>
    <row r="4873" spans="3:4" x14ac:dyDescent="0.35">
      <c r="C4873" s="51"/>
      <c r="D4873" s="51"/>
    </row>
    <row r="4874" spans="3:4" x14ac:dyDescent="0.35">
      <c r="C4874" s="51"/>
      <c r="D4874" s="51"/>
    </row>
    <row r="4875" spans="3:4" x14ac:dyDescent="0.35">
      <c r="C4875" s="51"/>
      <c r="D4875" s="51"/>
    </row>
    <row r="4876" spans="3:4" x14ac:dyDescent="0.35">
      <c r="C4876" s="51"/>
      <c r="D4876" s="51"/>
    </row>
    <row r="4877" spans="3:4" x14ac:dyDescent="0.35">
      <c r="C4877" s="51"/>
      <c r="D4877" s="51"/>
    </row>
    <row r="4878" spans="3:4" x14ac:dyDescent="0.35">
      <c r="C4878" s="51"/>
      <c r="D4878" s="51"/>
    </row>
    <row r="4879" spans="3:4" x14ac:dyDescent="0.35">
      <c r="C4879" s="51"/>
      <c r="D4879" s="51"/>
    </row>
    <row r="4880" spans="3:4" x14ac:dyDescent="0.35">
      <c r="C4880" s="51"/>
      <c r="D4880" s="51"/>
    </row>
    <row r="4881" spans="3:4" x14ac:dyDescent="0.35">
      <c r="C4881" s="51"/>
      <c r="D4881" s="51"/>
    </row>
    <row r="4882" spans="3:4" x14ac:dyDescent="0.35">
      <c r="C4882" s="51"/>
      <c r="D4882" s="51"/>
    </row>
    <row r="4883" spans="3:4" x14ac:dyDescent="0.35">
      <c r="C4883" s="51"/>
      <c r="D4883" s="51"/>
    </row>
    <row r="4884" spans="3:4" x14ac:dyDescent="0.35">
      <c r="C4884" s="51"/>
      <c r="D4884" s="51"/>
    </row>
    <row r="4885" spans="3:4" x14ac:dyDescent="0.35">
      <c r="C4885" s="51"/>
      <c r="D4885" s="51"/>
    </row>
    <row r="4886" spans="3:4" x14ac:dyDescent="0.35">
      <c r="C4886" s="51"/>
      <c r="D4886" s="51"/>
    </row>
    <row r="4887" spans="3:4" x14ac:dyDescent="0.35">
      <c r="C4887" s="51"/>
      <c r="D4887" s="51"/>
    </row>
    <row r="4888" spans="3:4" x14ac:dyDescent="0.35">
      <c r="C4888" s="51"/>
      <c r="D4888" s="51"/>
    </row>
    <row r="4889" spans="3:4" x14ac:dyDescent="0.35">
      <c r="C4889" s="51"/>
      <c r="D4889" s="51"/>
    </row>
    <row r="4890" spans="3:4" x14ac:dyDescent="0.35">
      <c r="C4890" s="51"/>
      <c r="D4890" s="51"/>
    </row>
    <row r="4891" spans="3:4" x14ac:dyDescent="0.35">
      <c r="C4891" s="51"/>
      <c r="D4891" s="51"/>
    </row>
    <row r="4892" spans="3:4" x14ac:dyDescent="0.35">
      <c r="C4892" s="51"/>
      <c r="D4892" s="51"/>
    </row>
    <row r="4893" spans="3:4" x14ac:dyDescent="0.35">
      <c r="C4893" s="51"/>
      <c r="D4893" s="51"/>
    </row>
    <row r="4894" spans="3:4" x14ac:dyDescent="0.35">
      <c r="C4894" s="51"/>
      <c r="D4894" s="51"/>
    </row>
    <row r="4895" spans="3:4" x14ac:dyDescent="0.35">
      <c r="C4895" s="51"/>
      <c r="D4895" s="51"/>
    </row>
    <row r="4896" spans="3:4" x14ac:dyDescent="0.35">
      <c r="C4896" s="51"/>
      <c r="D4896" s="51"/>
    </row>
    <row r="4897" spans="3:4" x14ac:dyDescent="0.35">
      <c r="C4897" s="51"/>
      <c r="D4897" s="51"/>
    </row>
    <row r="4898" spans="3:4" x14ac:dyDescent="0.35">
      <c r="C4898" s="51"/>
      <c r="D4898" s="51"/>
    </row>
    <row r="4899" spans="3:4" x14ac:dyDescent="0.35">
      <c r="C4899" s="51"/>
      <c r="D4899" s="51"/>
    </row>
    <row r="4900" spans="3:4" x14ac:dyDescent="0.35">
      <c r="C4900" s="51"/>
      <c r="D4900" s="51"/>
    </row>
    <row r="4901" spans="3:4" x14ac:dyDescent="0.35">
      <c r="C4901" s="51"/>
      <c r="D4901" s="51"/>
    </row>
    <row r="4902" spans="3:4" x14ac:dyDescent="0.35">
      <c r="C4902" s="51"/>
      <c r="D4902" s="51"/>
    </row>
    <row r="4903" spans="3:4" x14ac:dyDescent="0.35">
      <c r="C4903" s="51"/>
      <c r="D4903" s="51"/>
    </row>
    <row r="4904" spans="3:4" x14ac:dyDescent="0.35">
      <c r="C4904" s="51"/>
      <c r="D4904" s="51"/>
    </row>
    <row r="4905" spans="3:4" x14ac:dyDescent="0.35">
      <c r="C4905" s="51"/>
      <c r="D4905" s="51"/>
    </row>
    <row r="4906" spans="3:4" x14ac:dyDescent="0.35">
      <c r="C4906" s="51"/>
      <c r="D4906" s="51"/>
    </row>
    <row r="4907" spans="3:4" x14ac:dyDescent="0.35">
      <c r="C4907" s="51"/>
      <c r="D4907" s="51"/>
    </row>
    <row r="4908" spans="3:4" x14ac:dyDescent="0.35">
      <c r="C4908" s="51"/>
      <c r="D4908" s="51"/>
    </row>
    <row r="4909" spans="3:4" x14ac:dyDescent="0.35">
      <c r="C4909" s="51"/>
      <c r="D4909" s="51"/>
    </row>
    <row r="4910" spans="3:4" x14ac:dyDescent="0.35">
      <c r="C4910" s="51"/>
      <c r="D4910" s="51"/>
    </row>
    <row r="4911" spans="3:4" x14ac:dyDescent="0.35">
      <c r="C4911" s="51"/>
      <c r="D4911" s="51"/>
    </row>
    <row r="4912" spans="3:4" x14ac:dyDescent="0.35">
      <c r="C4912" s="51"/>
      <c r="D4912" s="51"/>
    </row>
    <row r="4913" spans="3:4" x14ac:dyDescent="0.35">
      <c r="C4913" s="51"/>
      <c r="D4913" s="51"/>
    </row>
    <row r="4914" spans="3:4" x14ac:dyDescent="0.35">
      <c r="C4914" s="51"/>
      <c r="D4914" s="51"/>
    </row>
    <row r="4915" spans="3:4" x14ac:dyDescent="0.35">
      <c r="C4915" s="51"/>
      <c r="D4915" s="51"/>
    </row>
    <row r="4916" spans="3:4" x14ac:dyDescent="0.35">
      <c r="C4916" s="51"/>
      <c r="D4916" s="51"/>
    </row>
    <row r="4917" spans="3:4" x14ac:dyDescent="0.35">
      <c r="C4917" s="51"/>
      <c r="D4917" s="51"/>
    </row>
    <row r="4918" spans="3:4" x14ac:dyDescent="0.35">
      <c r="C4918" s="51"/>
      <c r="D4918" s="51"/>
    </row>
    <row r="4919" spans="3:4" x14ac:dyDescent="0.35">
      <c r="C4919" s="51"/>
      <c r="D4919" s="51"/>
    </row>
    <row r="4920" spans="3:4" x14ac:dyDescent="0.35">
      <c r="C4920" s="51"/>
      <c r="D4920" s="51"/>
    </row>
    <row r="4921" spans="3:4" x14ac:dyDescent="0.35">
      <c r="C4921" s="51"/>
      <c r="D4921" s="51"/>
    </row>
    <row r="4922" spans="3:4" x14ac:dyDescent="0.35">
      <c r="C4922" s="51"/>
      <c r="D4922" s="51"/>
    </row>
    <row r="4923" spans="3:4" x14ac:dyDescent="0.35">
      <c r="C4923" s="51"/>
      <c r="D4923" s="51"/>
    </row>
    <row r="4924" spans="3:4" x14ac:dyDescent="0.35">
      <c r="C4924" s="51"/>
      <c r="D4924" s="51"/>
    </row>
    <row r="4925" spans="3:4" x14ac:dyDescent="0.35">
      <c r="C4925" s="51"/>
      <c r="D4925" s="51"/>
    </row>
    <row r="4926" spans="3:4" x14ac:dyDescent="0.35">
      <c r="C4926" s="51"/>
      <c r="D4926" s="51"/>
    </row>
    <row r="4927" spans="3:4" x14ac:dyDescent="0.35">
      <c r="C4927" s="51"/>
      <c r="D4927" s="51"/>
    </row>
    <row r="4928" spans="3:4" x14ac:dyDescent="0.35">
      <c r="C4928" s="51"/>
      <c r="D4928" s="51"/>
    </row>
    <row r="4929" spans="3:4" x14ac:dyDescent="0.35">
      <c r="C4929" s="51"/>
      <c r="D4929" s="51"/>
    </row>
    <row r="4930" spans="3:4" x14ac:dyDescent="0.35">
      <c r="C4930" s="51"/>
      <c r="D4930" s="51"/>
    </row>
    <row r="4931" spans="3:4" x14ac:dyDescent="0.35">
      <c r="C4931" s="51"/>
      <c r="D4931" s="51"/>
    </row>
    <row r="4932" spans="3:4" x14ac:dyDescent="0.35">
      <c r="C4932" s="51"/>
      <c r="D4932" s="51"/>
    </row>
    <row r="4933" spans="3:4" x14ac:dyDescent="0.35">
      <c r="C4933" s="51"/>
      <c r="D4933" s="51"/>
    </row>
    <row r="4934" spans="3:4" x14ac:dyDescent="0.35">
      <c r="C4934" s="51"/>
      <c r="D4934" s="51"/>
    </row>
    <row r="4935" spans="3:4" x14ac:dyDescent="0.35">
      <c r="C4935" s="51"/>
      <c r="D4935" s="51"/>
    </row>
    <row r="4936" spans="3:4" x14ac:dyDescent="0.35">
      <c r="C4936" s="51"/>
      <c r="D4936" s="51"/>
    </row>
    <row r="4937" spans="3:4" x14ac:dyDescent="0.35">
      <c r="C4937" s="51"/>
      <c r="D4937" s="51"/>
    </row>
    <row r="4938" spans="3:4" x14ac:dyDescent="0.35">
      <c r="C4938" s="51"/>
      <c r="D4938" s="51"/>
    </row>
    <row r="4939" spans="3:4" x14ac:dyDescent="0.35">
      <c r="C4939" s="51"/>
      <c r="D4939" s="51"/>
    </row>
    <row r="4940" spans="3:4" x14ac:dyDescent="0.35">
      <c r="C4940" s="51"/>
      <c r="D4940" s="51"/>
    </row>
    <row r="4941" spans="3:4" x14ac:dyDescent="0.35">
      <c r="C4941" s="51"/>
      <c r="D4941" s="51"/>
    </row>
    <row r="4942" spans="3:4" x14ac:dyDescent="0.35">
      <c r="C4942" s="51"/>
      <c r="D4942" s="51"/>
    </row>
    <row r="4943" spans="3:4" x14ac:dyDescent="0.35">
      <c r="C4943" s="51"/>
      <c r="D4943" s="51"/>
    </row>
    <row r="4944" spans="3:4" x14ac:dyDescent="0.35">
      <c r="C4944" s="51"/>
      <c r="D4944" s="51"/>
    </row>
    <row r="4945" spans="3:4" x14ac:dyDescent="0.35">
      <c r="C4945" s="51"/>
      <c r="D4945" s="51"/>
    </row>
    <row r="4946" spans="3:4" x14ac:dyDescent="0.35">
      <c r="C4946" s="51"/>
      <c r="D4946" s="51"/>
    </row>
    <row r="4947" spans="3:4" x14ac:dyDescent="0.35">
      <c r="C4947" s="51"/>
      <c r="D4947" s="51"/>
    </row>
    <row r="4948" spans="3:4" x14ac:dyDescent="0.35">
      <c r="C4948" s="51"/>
      <c r="D4948" s="51"/>
    </row>
    <row r="4949" spans="3:4" x14ac:dyDescent="0.35">
      <c r="C4949" s="51"/>
      <c r="D4949" s="51"/>
    </row>
    <row r="4950" spans="3:4" x14ac:dyDescent="0.35">
      <c r="C4950" s="51"/>
      <c r="D4950" s="51"/>
    </row>
    <row r="4951" spans="3:4" x14ac:dyDescent="0.35">
      <c r="C4951" s="51"/>
      <c r="D4951" s="51"/>
    </row>
    <row r="4952" spans="3:4" x14ac:dyDescent="0.35">
      <c r="C4952" s="51"/>
      <c r="D4952" s="51"/>
    </row>
    <row r="4953" spans="3:4" x14ac:dyDescent="0.35">
      <c r="C4953" s="51"/>
      <c r="D4953" s="51"/>
    </row>
    <row r="4954" spans="3:4" x14ac:dyDescent="0.35">
      <c r="C4954" s="51"/>
      <c r="D4954" s="51"/>
    </row>
    <row r="4955" spans="3:4" x14ac:dyDescent="0.35">
      <c r="C4955" s="51"/>
      <c r="D4955" s="51"/>
    </row>
    <row r="4956" spans="3:4" x14ac:dyDescent="0.35">
      <c r="C4956" s="51"/>
      <c r="D4956" s="51"/>
    </row>
    <row r="4957" spans="3:4" x14ac:dyDescent="0.35">
      <c r="C4957" s="51"/>
      <c r="D4957" s="51"/>
    </row>
    <row r="4958" spans="3:4" x14ac:dyDescent="0.35">
      <c r="C4958" s="51"/>
      <c r="D4958" s="51"/>
    </row>
    <row r="4959" spans="3:4" x14ac:dyDescent="0.35">
      <c r="C4959" s="51"/>
      <c r="D4959" s="51"/>
    </row>
    <row r="4960" spans="3:4" x14ac:dyDescent="0.35">
      <c r="C4960" s="51"/>
      <c r="D4960" s="51"/>
    </row>
    <row r="4961" spans="3:4" x14ac:dyDescent="0.35">
      <c r="C4961" s="51"/>
      <c r="D4961" s="51"/>
    </row>
    <row r="4962" spans="3:4" x14ac:dyDescent="0.35">
      <c r="C4962" s="51"/>
      <c r="D4962" s="51"/>
    </row>
    <row r="4963" spans="3:4" x14ac:dyDescent="0.35">
      <c r="C4963" s="51"/>
      <c r="D4963" s="51"/>
    </row>
    <row r="4964" spans="3:4" x14ac:dyDescent="0.35">
      <c r="C4964" s="51"/>
      <c r="D4964" s="51"/>
    </row>
    <row r="4965" spans="3:4" x14ac:dyDescent="0.35">
      <c r="C4965" s="51"/>
      <c r="D4965" s="51"/>
    </row>
    <row r="4966" spans="3:4" x14ac:dyDescent="0.35">
      <c r="C4966" s="51"/>
      <c r="D4966" s="51"/>
    </row>
    <row r="4967" spans="3:4" x14ac:dyDescent="0.35">
      <c r="C4967" s="51"/>
      <c r="D4967" s="51"/>
    </row>
    <row r="4968" spans="3:4" x14ac:dyDescent="0.35">
      <c r="C4968" s="51"/>
      <c r="D4968" s="51"/>
    </row>
    <row r="4969" spans="3:4" x14ac:dyDescent="0.35">
      <c r="C4969" s="51"/>
      <c r="D4969" s="51"/>
    </row>
    <row r="4970" spans="3:4" x14ac:dyDescent="0.35">
      <c r="C4970" s="51"/>
      <c r="D4970" s="51"/>
    </row>
    <row r="4971" spans="3:4" x14ac:dyDescent="0.35">
      <c r="C4971" s="51"/>
      <c r="D4971" s="51"/>
    </row>
    <row r="4972" spans="3:4" x14ac:dyDescent="0.35">
      <c r="C4972" s="51"/>
      <c r="D4972" s="51"/>
    </row>
    <row r="4973" spans="3:4" x14ac:dyDescent="0.35">
      <c r="C4973" s="51"/>
      <c r="D4973" s="51"/>
    </row>
    <row r="4974" spans="3:4" x14ac:dyDescent="0.35">
      <c r="C4974" s="51"/>
      <c r="D4974" s="51"/>
    </row>
    <row r="4975" spans="3:4" x14ac:dyDescent="0.35">
      <c r="C4975" s="51"/>
      <c r="D4975" s="51"/>
    </row>
    <row r="4976" spans="3:4" x14ac:dyDescent="0.35">
      <c r="C4976" s="51"/>
      <c r="D4976" s="51"/>
    </row>
    <row r="4977" spans="3:4" x14ac:dyDescent="0.35">
      <c r="C4977" s="51"/>
      <c r="D4977" s="51"/>
    </row>
    <row r="4978" spans="3:4" x14ac:dyDescent="0.35">
      <c r="C4978" s="51"/>
      <c r="D4978" s="51"/>
    </row>
    <row r="4979" spans="3:4" x14ac:dyDescent="0.35">
      <c r="C4979" s="51"/>
      <c r="D4979" s="51"/>
    </row>
    <row r="4980" spans="3:4" x14ac:dyDescent="0.35">
      <c r="C4980" s="51"/>
      <c r="D4980" s="51"/>
    </row>
    <row r="4981" spans="3:4" x14ac:dyDescent="0.35">
      <c r="C4981" s="51"/>
      <c r="D4981" s="51"/>
    </row>
    <row r="4982" spans="3:4" x14ac:dyDescent="0.35">
      <c r="C4982" s="51"/>
      <c r="D4982" s="51"/>
    </row>
    <row r="4983" spans="3:4" x14ac:dyDescent="0.35">
      <c r="C4983" s="51"/>
      <c r="D4983" s="51"/>
    </row>
    <row r="4984" spans="3:4" x14ac:dyDescent="0.35">
      <c r="C4984" s="51"/>
      <c r="D4984" s="51"/>
    </row>
    <row r="4985" spans="3:4" x14ac:dyDescent="0.35">
      <c r="C4985" s="51"/>
      <c r="D4985" s="51"/>
    </row>
    <row r="4986" spans="3:4" x14ac:dyDescent="0.35">
      <c r="C4986" s="51"/>
      <c r="D4986" s="51"/>
    </row>
    <row r="4987" spans="3:4" x14ac:dyDescent="0.35">
      <c r="C4987" s="51"/>
      <c r="D4987" s="51"/>
    </row>
    <row r="4988" spans="3:4" x14ac:dyDescent="0.35">
      <c r="C4988" s="51"/>
      <c r="D4988" s="51"/>
    </row>
    <row r="4989" spans="3:4" x14ac:dyDescent="0.35">
      <c r="C4989" s="51"/>
      <c r="D4989" s="51"/>
    </row>
    <row r="4990" spans="3:4" x14ac:dyDescent="0.35">
      <c r="C4990" s="51"/>
      <c r="D4990" s="51"/>
    </row>
    <row r="4991" spans="3:4" x14ac:dyDescent="0.35">
      <c r="C4991" s="51"/>
      <c r="D4991" s="51"/>
    </row>
    <row r="4992" spans="3:4" x14ac:dyDescent="0.35">
      <c r="C4992" s="51"/>
      <c r="D4992" s="51"/>
    </row>
    <row r="4993" spans="3:4" x14ac:dyDescent="0.35">
      <c r="C4993" s="51"/>
      <c r="D4993" s="51"/>
    </row>
    <row r="4994" spans="3:4" x14ac:dyDescent="0.35">
      <c r="C4994" s="51"/>
      <c r="D4994" s="51"/>
    </row>
    <row r="4995" spans="3:4" x14ac:dyDescent="0.35">
      <c r="C4995" s="51"/>
      <c r="D4995" s="51"/>
    </row>
    <row r="4996" spans="3:4" x14ac:dyDescent="0.35">
      <c r="C4996" s="51"/>
      <c r="D4996" s="51"/>
    </row>
    <row r="4997" spans="3:4" x14ac:dyDescent="0.35">
      <c r="C4997" s="51"/>
      <c r="D4997" s="51"/>
    </row>
    <row r="4998" spans="3:4" x14ac:dyDescent="0.35">
      <c r="C4998" s="51"/>
      <c r="D4998" s="51"/>
    </row>
    <row r="4999" spans="3:4" x14ac:dyDescent="0.35">
      <c r="C4999" s="51"/>
      <c r="D4999" s="51"/>
    </row>
    <row r="5000" spans="3:4" x14ac:dyDescent="0.35">
      <c r="C5000" s="51"/>
      <c r="D5000" s="51"/>
    </row>
    <row r="5001" spans="3:4" x14ac:dyDescent="0.35">
      <c r="C5001" s="51"/>
      <c r="D5001" s="51"/>
    </row>
    <row r="5002" spans="3:4" x14ac:dyDescent="0.35">
      <c r="C5002" s="51"/>
      <c r="D5002" s="51"/>
    </row>
    <row r="5003" spans="3:4" x14ac:dyDescent="0.35">
      <c r="C5003" s="51"/>
      <c r="D5003" s="51"/>
    </row>
    <row r="5004" spans="3:4" x14ac:dyDescent="0.35">
      <c r="C5004" s="51"/>
      <c r="D5004" s="51"/>
    </row>
    <row r="5005" spans="3:4" x14ac:dyDescent="0.35">
      <c r="C5005" s="51"/>
      <c r="D5005" s="51"/>
    </row>
    <row r="5006" spans="3:4" x14ac:dyDescent="0.35">
      <c r="C5006" s="51"/>
      <c r="D5006" s="51"/>
    </row>
    <row r="5007" spans="3:4" x14ac:dyDescent="0.35">
      <c r="C5007" s="51"/>
      <c r="D5007" s="51"/>
    </row>
    <row r="5008" spans="3:4" x14ac:dyDescent="0.35">
      <c r="C5008" s="51"/>
      <c r="D5008" s="51"/>
    </row>
    <row r="5009" spans="3:4" x14ac:dyDescent="0.35">
      <c r="C5009" s="51"/>
      <c r="D5009" s="51"/>
    </row>
    <row r="5010" spans="3:4" x14ac:dyDescent="0.35">
      <c r="C5010" s="51"/>
      <c r="D5010" s="51"/>
    </row>
    <row r="5011" spans="3:4" x14ac:dyDescent="0.35">
      <c r="C5011" s="51"/>
      <c r="D5011" s="51"/>
    </row>
    <row r="5012" spans="3:4" x14ac:dyDescent="0.35">
      <c r="C5012" s="51"/>
      <c r="D5012" s="51"/>
    </row>
    <row r="5013" spans="3:4" x14ac:dyDescent="0.35">
      <c r="C5013" s="51"/>
      <c r="D5013" s="51"/>
    </row>
    <row r="5014" spans="3:4" x14ac:dyDescent="0.35">
      <c r="C5014" s="51"/>
      <c r="D5014" s="51"/>
    </row>
    <row r="5015" spans="3:4" x14ac:dyDescent="0.35">
      <c r="C5015" s="51"/>
      <c r="D5015" s="51"/>
    </row>
    <row r="5016" spans="3:4" x14ac:dyDescent="0.35">
      <c r="C5016" s="51"/>
      <c r="D5016" s="51"/>
    </row>
    <row r="5017" spans="3:4" x14ac:dyDescent="0.35">
      <c r="C5017" s="51"/>
      <c r="D5017" s="51"/>
    </row>
    <row r="5018" spans="3:4" x14ac:dyDescent="0.35">
      <c r="C5018" s="51"/>
      <c r="D5018" s="51"/>
    </row>
    <row r="5019" spans="3:4" x14ac:dyDescent="0.35">
      <c r="C5019" s="51"/>
      <c r="D5019" s="51"/>
    </row>
    <row r="5020" spans="3:4" x14ac:dyDescent="0.35">
      <c r="C5020" s="51"/>
      <c r="D5020" s="51"/>
    </row>
    <row r="5021" spans="3:4" x14ac:dyDescent="0.35">
      <c r="C5021" s="51"/>
      <c r="D5021" s="51"/>
    </row>
    <row r="5022" spans="3:4" x14ac:dyDescent="0.35">
      <c r="C5022" s="51"/>
      <c r="D5022" s="51"/>
    </row>
    <row r="5023" spans="3:4" x14ac:dyDescent="0.35">
      <c r="C5023" s="51"/>
      <c r="D5023" s="51"/>
    </row>
    <row r="5024" spans="3:4" x14ac:dyDescent="0.35">
      <c r="C5024" s="51"/>
      <c r="D5024" s="51"/>
    </row>
    <row r="5025" spans="3:4" x14ac:dyDescent="0.35">
      <c r="C5025" s="51"/>
      <c r="D5025" s="51"/>
    </row>
    <row r="5026" spans="3:4" x14ac:dyDescent="0.35">
      <c r="C5026" s="51"/>
      <c r="D5026" s="51"/>
    </row>
    <row r="5027" spans="3:4" x14ac:dyDescent="0.35">
      <c r="C5027" s="51"/>
      <c r="D5027" s="51"/>
    </row>
    <row r="5028" spans="3:4" x14ac:dyDescent="0.35">
      <c r="C5028" s="51"/>
      <c r="D5028" s="51"/>
    </row>
    <row r="5029" spans="3:4" x14ac:dyDescent="0.35">
      <c r="C5029" s="51"/>
      <c r="D5029" s="51"/>
    </row>
    <row r="5030" spans="3:4" x14ac:dyDescent="0.35">
      <c r="C5030" s="51"/>
      <c r="D5030" s="51"/>
    </row>
    <row r="5031" spans="3:4" x14ac:dyDescent="0.35">
      <c r="C5031" s="51"/>
      <c r="D5031" s="51"/>
    </row>
    <row r="5032" spans="3:4" x14ac:dyDescent="0.35">
      <c r="C5032" s="51"/>
      <c r="D5032" s="51"/>
    </row>
    <row r="5033" spans="3:4" x14ac:dyDescent="0.35">
      <c r="C5033" s="51"/>
      <c r="D5033" s="51"/>
    </row>
    <row r="5034" spans="3:4" x14ac:dyDescent="0.35">
      <c r="C5034" s="51"/>
      <c r="D5034" s="51"/>
    </row>
    <row r="5035" spans="3:4" x14ac:dyDescent="0.35">
      <c r="C5035" s="51"/>
      <c r="D5035" s="51"/>
    </row>
    <row r="5036" spans="3:4" x14ac:dyDescent="0.35">
      <c r="C5036" s="51"/>
      <c r="D5036" s="51"/>
    </row>
    <row r="5037" spans="3:4" x14ac:dyDescent="0.35">
      <c r="C5037" s="51"/>
      <c r="D5037" s="51"/>
    </row>
    <row r="5038" spans="3:4" x14ac:dyDescent="0.35">
      <c r="C5038" s="51"/>
      <c r="D5038" s="51"/>
    </row>
    <row r="5039" spans="3:4" x14ac:dyDescent="0.35">
      <c r="C5039" s="51"/>
      <c r="D5039" s="51"/>
    </row>
    <row r="5040" spans="3:4" x14ac:dyDescent="0.35">
      <c r="C5040" s="51"/>
      <c r="D5040" s="51"/>
    </row>
    <row r="5041" spans="3:4" x14ac:dyDescent="0.35">
      <c r="C5041" s="51"/>
      <c r="D5041" s="51"/>
    </row>
    <row r="5042" spans="3:4" x14ac:dyDescent="0.35">
      <c r="C5042" s="51"/>
      <c r="D5042" s="51"/>
    </row>
    <row r="5043" spans="3:4" x14ac:dyDescent="0.35">
      <c r="C5043" s="51"/>
      <c r="D5043" s="51"/>
    </row>
    <row r="5044" spans="3:4" x14ac:dyDescent="0.35">
      <c r="C5044" s="51"/>
      <c r="D5044" s="51"/>
    </row>
    <row r="5045" spans="3:4" x14ac:dyDescent="0.35">
      <c r="C5045" s="51"/>
      <c r="D5045" s="51"/>
    </row>
    <row r="5046" spans="3:4" x14ac:dyDescent="0.35">
      <c r="C5046" s="51"/>
      <c r="D5046" s="51"/>
    </row>
    <row r="5047" spans="3:4" x14ac:dyDescent="0.35">
      <c r="C5047" s="51"/>
      <c r="D5047" s="51"/>
    </row>
    <row r="5048" spans="3:4" x14ac:dyDescent="0.35">
      <c r="C5048" s="51"/>
      <c r="D5048" s="51"/>
    </row>
    <row r="5049" spans="3:4" x14ac:dyDescent="0.35">
      <c r="C5049" s="51"/>
      <c r="D5049" s="51"/>
    </row>
    <row r="5050" spans="3:4" x14ac:dyDescent="0.35">
      <c r="C5050" s="51"/>
      <c r="D5050" s="51"/>
    </row>
    <row r="5051" spans="3:4" x14ac:dyDescent="0.35">
      <c r="C5051" s="51"/>
      <c r="D5051" s="51"/>
    </row>
    <row r="5052" spans="3:4" x14ac:dyDescent="0.35">
      <c r="C5052" s="51"/>
      <c r="D5052" s="51"/>
    </row>
    <row r="5053" spans="3:4" x14ac:dyDescent="0.35">
      <c r="C5053" s="51"/>
      <c r="D5053" s="51"/>
    </row>
    <row r="5054" spans="3:4" x14ac:dyDescent="0.35">
      <c r="C5054" s="51"/>
      <c r="D5054" s="51"/>
    </row>
    <row r="5055" spans="3:4" x14ac:dyDescent="0.35">
      <c r="C5055" s="51"/>
      <c r="D5055" s="51"/>
    </row>
    <row r="5056" spans="3:4" x14ac:dyDescent="0.35">
      <c r="C5056" s="51"/>
      <c r="D5056" s="51"/>
    </row>
    <row r="5057" spans="3:4" x14ac:dyDescent="0.35">
      <c r="C5057" s="51"/>
      <c r="D5057" s="51"/>
    </row>
    <row r="5058" spans="3:4" x14ac:dyDescent="0.35">
      <c r="C5058" s="51"/>
      <c r="D5058" s="51"/>
    </row>
    <row r="5059" spans="3:4" x14ac:dyDescent="0.35">
      <c r="C5059" s="51"/>
      <c r="D5059" s="51"/>
    </row>
    <row r="5060" spans="3:4" x14ac:dyDescent="0.35">
      <c r="C5060" s="51"/>
      <c r="D5060" s="51"/>
    </row>
    <row r="5061" spans="3:4" x14ac:dyDescent="0.35">
      <c r="C5061" s="51"/>
      <c r="D5061" s="51"/>
    </row>
    <row r="5062" spans="3:4" x14ac:dyDescent="0.35">
      <c r="C5062" s="51"/>
      <c r="D5062" s="51"/>
    </row>
    <row r="5063" spans="3:4" x14ac:dyDescent="0.35">
      <c r="C5063" s="51"/>
      <c r="D5063" s="51"/>
    </row>
    <row r="5064" spans="3:4" x14ac:dyDescent="0.35">
      <c r="C5064" s="51"/>
      <c r="D5064" s="51"/>
    </row>
    <row r="5065" spans="3:4" x14ac:dyDescent="0.35">
      <c r="C5065" s="51"/>
      <c r="D5065" s="51"/>
    </row>
    <row r="5066" spans="3:4" x14ac:dyDescent="0.35">
      <c r="C5066" s="51"/>
      <c r="D5066" s="51"/>
    </row>
    <row r="5067" spans="3:4" x14ac:dyDescent="0.35">
      <c r="C5067" s="51"/>
      <c r="D5067" s="51"/>
    </row>
    <row r="5068" spans="3:4" x14ac:dyDescent="0.35">
      <c r="C5068" s="51"/>
      <c r="D5068" s="51"/>
    </row>
    <row r="5069" spans="3:4" x14ac:dyDescent="0.35">
      <c r="C5069" s="51"/>
      <c r="D5069" s="51"/>
    </row>
    <row r="5070" spans="3:4" x14ac:dyDescent="0.35">
      <c r="C5070" s="51"/>
      <c r="D5070" s="51"/>
    </row>
    <row r="5071" spans="3:4" x14ac:dyDescent="0.35">
      <c r="C5071" s="51"/>
      <c r="D5071" s="51"/>
    </row>
    <row r="5072" spans="3:4" x14ac:dyDescent="0.35">
      <c r="C5072" s="51"/>
      <c r="D5072" s="51"/>
    </row>
    <row r="5073" spans="3:4" x14ac:dyDescent="0.35">
      <c r="C5073" s="51"/>
      <c r="D5073" s="51"/>
    </row>
    <row r="5074" spans="3:4" x14ac:dyDescent="0.35">
      <c r="C5074" s="51"/>
      <c r="D5074" s="51"/>
    </row>
    <row r="5075" spans="3:4" x14ac:dyDescent="0.35">
      <c r="C5075" s="51"/>
      <c r="D5075" s="51"/>
    </row>
    <row r="5076" spans="3:4" x14ac:dyDescent="0.35">
      <c r="C5076" s="51"/>
      <c r="D5076" s="51"/>
    </row>
    <row r="5077" spans="3:4" x14ac:dyDescent="0.35">
      <c r="C5077" s="51"/>
      <c r="D5077" s="51"/>
    </row>
    <row r="5078" spans="3:4" x14ac:dyDescent="0.35">
      <c r="C5078" s="51"/>
      <c r="D5078" s="51"/>
    </row>
    <row r="5079" spans="3:4" x14ac:dyDescent="0.35">
      <c r="C5079" s="51"/>
      <c r="D5079" s="51"/>
    </row>
    <row r="5080" spans="3:4" x14ac:dyDescent="0.35">
      <c r="C5080" s="51"/>
      <c r="D5080" s="51"/>
    </row>
    <row r="5081" spans="3:4" x14ac:dyDescent="0.35">
      <c r="C5081" s="51"/>
      <c r="D5081" s="51"/>
    </row>
    <row r="5082" spans="3:4" x14ac:dyDescent="0.35">
      <c r="C5082" s="51"/>
      <c r="D5082" s="51"/>
    </row>
    <row r="5083" spans="3:4" x14ac:dyDescent="0.35">
      <c r="C5083" s="51"/>
      <c r="D5083" s="51"/>
    </row>
    <row r="5084" spans="3:4" x14ac:dyDescent="0.35">
      <c r="C5084" s="51"/>
      <c r="D5084" s="51"/>
    </row>
    <row r="5085" spans="3:4" x14ac:dyDescent="0.35">
      <c r="C5085" s="51"/>
      <c r="D5085" s="51"/>
    </row>
    <row r="5086" spans="3:4" x14ac:dyDescent="0.35">
      <c r="C5086" s="51"/>
      <c r="D5086" s="51"/>
    </row>
    <row r="5087" spans="3:4" x14ac:dyDescent="0.35">
      <c r="C5087" s="51"/>
      <c r="D5087" s="51"/>
    </row>
    <row r="5088" spans="3:4" x14ac:dyDescent="0.35">
      <c r="C5088" s="51"/>
      <c r="D5088" s="51"/>
    </row>
    <row r="5089" spans="3:4" x14ac:dyDescent="0.35">
      <c r="C5089" s="51"/>
      <c r="D5089" s="51"/>
    </row>
    <row r="5090" spans="3:4" x14ac:dyDescent="0.35">
      <c r="C5090" s="51"/>
      <c r="D5090" s="51"/>
    </row>
    <row r="5091" spans="3:4" x14ac:dyDescent="0.35">
      <c r="C5091" s="51"/>
      <c r="D5091" s="51"/>
    </row>
    <row r="5092" spans="3:4" x14ac:dyDescent="0.35">
      <c r="C5092" s="51"/>
      <c r="D5092" s="51"/>
    </row>
    <row r="5093" spans="3:4" x14ac:dyDescent="0.35">
      <c r="C5093" s="51"/>
      <c r="D5093" s="51"/>
    </row>
    <row r="5094" spans="3:4" x14ac:dyDescent="0.35">
      <c r="C5094" s="51"/>
      <c r="D5094" s="51"/>
    </row>
    <row r="5095" spans="3:4" x14ac:dyDescent="0.35">
      <c r="C5095" s="51"/>
      <c r="D5095" s="51"/>
    </row>
    <row r="5096" spans="3:4" x14ac:dyDescent="0.35">
      <c r="C5096" s="51"/>
      <c r="D5096" s="51"/>
    </row>
    <row r="5097" spans="3:4" x14ac:dyDescent="0.35">
      <c r="C5097" s="51"/>
      <c r="D5097" s="51"/>
    </row>
    <row r="5098" spans="3:4" x14ac:dyDescent="0.35">
      <c r="C5098" s="51"/>
      <c r="D5098" s="51"/>
    </row>
    <row r="5099" spans="3:4" x14ac:dyDescent="0.35">
      <c r="C5099" s="51"/>
      <c r="D5099" s="51"/>
    </row>
    <row r="5100" spans="3:4" x14ac:dyDescent="0.35">
      <c r="C5100" s="51"/>
      <c r="D5100" s="51"/>
    </row>
    <row r="5101" spans="3:4" x14ac:dyDescent="0.35">
      <c r="C5101" s="51"/>
      <c r="D5101" s="51"/>
    </row>
    <row r="5102" spans="3:4" x14ac:dyDescent="0.35">
      <c r="C5102" s="51"/>
      <c r="D5102" s="51"/>
    </row>
    <row r="5103" spans="3:4" x14ac:dyDescent="0.35">
      <c r="C5103" s="51"/>
      <c r="D5103" s="51"/>
    </row>
    <row r="5104" spans="3:4" x14ac:dyDescent="0.35">
      <c r="C5104" s="51"/>
      <c r="D5104" s="51"/>
    </row>
    <row r="5105" spans="3:4" x14ac:dyDescent="0.35">
      <c r="C5105" s="51"/>
      <c r="D5105" s="51"/>
    </row>
    <row r="5106" spans="3:4" x14ac:dyDescent="0.35">
      <c r="C5106" s="51"/>
      <c r="D5106" s="51"/>
    </row>
    <row r="5107" spans="3:4" x14ac:dyDescent="0.35">
      <c r="C5107" s="51"/>
      <c r="D5107" s="51"/>
    </row>
    <row r="5108" spans="3:4" x14ac:dyDescent="0.35">
      <c r="C5108" s="51"/>
      <c r="D5108" s="51"/>
    </row>
    <row r="5109" spans="3:4" x14ac:dyDescent="0.35">
      <c r="C5109" s="51"/>
      <c r="D5109" s="51"/>
    </row>
    <row r="5110" spans="3:4" x14ac:dyDescent="0.35">
      <c r="C5110" s="51"/>
      <c r="D5110" s="51"/>
    </row>
    <row r="5111" spans="3:4" x14ac:dyDescent="0.35">
      <c r="C5111" s="51"/>
      <c r="D5111" s="51"/>
    </row>
    <row r="5112" spans="3:4" x14ac:dyDescent="0.35">
      <c r="C5112" s="51"/>
      <c r="D5112" s="51"/>
    </row>
    <row r="5113" spans="3:4" x14ac:dyDescent="0.35">
      <c r="C5113" s="51"/>
      <c r="D5113" s="51"/>
    </row>
    <row r="5114" spans="3:4" x14ac:dyDescent="0.35">
      <c r="C5114" s="51"/>
      <c r="D5114" s="51"/>
    </row>
    <row r="5115" spans="3:4" x14ac:dyDescent="0.35">
      <c r="C5115" s="51"/>
      <c r="D5115" s="51"/>
    </row>
    <row r="5116" spans="3:4" x14ac:dyDescent="0.35">
      <c r="C5116" s="51"/>
      <c r="D5116" s="51"/>
    </row>
    <row r="5117" spans="3:4" x14ac:dyDescent="0.35">
      <c r="C5117" s="51"/>
      <c r="D5117" s="51"/>
    </row>
    <row r="5118" spans="3:4" x14ac:dyDescent="0.35">
      <c r="C5118" s="51"/>
      <c r="D5118" s="51"/>
    </row>
    <row r="5119" spans="3:4" x14ac:dyDescent="0.35">
      <c r="C5119" s="51"/>
      <c r="D5119" s="51"/>
    </row>
    <row r="5120" spans="3:4" x14ac:dyDescent="0.35">
      <c r="C5120" s="51"/>
      <c r="D5120" s="51"/>
    </row>
    <row r="5121" spans="3:4" x14ac:dyDescent="0.35">
      <c r="C5121" s="51"/>
      <c r="D5121" s="51"/>
    </row>
    <row r="5122" spans="3:4" x14ac:dyDescent="0.35">
      <c r="C5122" s="51"/>
      <c r="D5122" s="51"/>
    </row>
    <row r="5123" spans="3:4" x14ac:dyDescent="0.35">
      <c r="C5123" s="51"/>
      <c r="D5123" s="51"/>
    </row>
    <row r="5124" spans="3:4" x14ac:dyDescent="0.35">
      <c r="C5124" s="51"/>
      <c r="D5124" s="51"/>
    </row>
    <row r="5125" spans="3:4" x14ac:dyDescent="0.35">
      <c r="C5125" s="51"/>
      <c r="D5125" s="51"/>
    </row>
    <row r="5126" spans="3:4" x14ac:dyDescent="0.35">
      <c r="C5126" s="51"/>
      <c r="D5126" s="51"/>
    </row>
    <row r="5127" spans="3:4" x14ac:dyDescent="0.35">
      <c r="C5127" s="51"/>
      <c r="D5127" s="51"/>
    </row>
    <row r="5128" spans="3:4" x14ac:dyDescent="0.35">
      <c r="C5128" s="51"/>
      <c r="D5128" s="51"/>
    </row>
    <row r="5129" spans="3:4" x14ac:dyDescent="0.35">
      <c r="C5129" s="51"/>
      <c r="D5129" s="51"/>
    </row>
    <row r="5130" spans="3:4" x14ac:dyDescent="0.35">
      <c r="C5130" s="51"/>
      <c r="D5130" s="51"/>
    </row>
    <row r="5131" spans="3:4" x14ac:dyDescent="0.35">
      <c r="C5131" s="51"/>
      <c r="D5131" s="51"/>
    </row>
    <row r="5132" spans="3:4" x14ac:dyDescent="0.35">
      <c r="C5132" s="51"/>
      <c r="D5132" s="51"/>
    </row>
    <row r="5133" spans="3:4" x14ac:dyDescent="0.35">
      <c r="C5133" s="51"/>
      <c r="D5133" s="51"/>
    </row>
    <row r="5134" spans="3:4" x14ac:dyDescent="0.35">
      <c r="C5134" s="51"/>
      <c r="D5134" s="51"/>
    </row>
    <row r="5135" spans="3:4" x14ac:dyDescent="0.35">
      <c r="C5135" s="51"/>
      <c r="D5135" s="51"/>
    </row>
    <row r="5136" spans="3:4" x14ac:dyDescent="0.35">
      <c r="C5136" s="51"/>
      <c r="D5136" s="51"/>
    </row>
    <row r="5137" spans="3:4" x14ac:dyDescent="0.35">
      <c r="C5137" s="51"/>
      <c r="D5137" s="51"/>
    </row>
    <row r="5138" spans="3:4" x14ac:dyDescent="0.35">
      <c r="C5138" s="51"/>
      <c r="D5138" s="51"/>
    </row>
    <row r="5139" spans="3:4" x14ac:dyDescent="0.35">
      <c r="C5139" s="51"/>
      <c r="D5139" s="51"/>
    </row>
    <row r="5140" spans="3:4" x14ac:dyDescent="0.35">
      <c r="C5140" s="51"/>
      <c r="D5140" s="51"/>
    </row>
    <row r="5141" spans="3:4" x14ac:dyDescent="0.35">
      <c r="C5141" s="51"/>
      <c r="D5141" s="51"/>
    </row>
    <row r="5142" spans="3:4" x14ac:dyDescent="0.35">
      <c r="C5142" s="51"/>
      <c r="D5142" s="51"/>
    </row>
    <row r="5143" spans="3:4" x14ac:dyDescent="0.35">
      <c r="C5143" s="51"/>
      <c r="D5143" s="51"/>
    </row>
    <row r="5144" spans="3:4" x14ac:dyDescent="0.35">
      <c r="C5144" s="51"/>
      <c r="D5144" s="51"/>
    </row>
    <row r="5145" spans="3:4" x14ac:dyDescent="0.35">
      <c r="C5145" s="51"/>
      <c r="D5145" s="51"/>
    </row>
    <row r="5146" spans="3:4" x14ac:dyDescent="0.35">
      <c r="C5146" s="51"/>
      <c r="D5146" s="51"/>
    </row>
    <row r="5147" spans="3:4" x14ac:dyDescent="0.35">
      <c r="C5147" s="51"/>
      <c r="D5147" s="51"/>
    </row>
    <row r="5148" spans="3:4" x14ac:dyDescent="0.35">
      <c r="C5148" s="51"/>
      <c r="D5148" s="51"/>
    </row>
    <row r="5149" spans="3:4" x14ac:dyDescent="0.35">
      <c r="C5149" s="51"/>
      <c r="D5149" s="51"/>
    </row>
    <row r="5150" spans="3:4" x14ac:dyDescent="0.35">
      <c r="C5150" s="51"/>
      <c r="D5150" s="51"/>
    </row>
    <row r="5151" spans="3:4" x14ac:dyDescent="0.35">
      <c r="C5151" s="51"/>
      <c r="D5151" s="51"/>
    </row>
    <row r="5152" spans="3:4" x14ac:dyDescent="0.35">
      <c r="C5152" s="51"/>
      <c r="D5152" s="51"/>
    </row>
    <row r="5153" spans="3:4" x14ac:dyDescent="0.35">
      <c r="C5153" s="51"/>
      <c r="D5153" s="51"/>
    </row>
    <row r="5154" spans="3:4" x14ac:dyDescent="0.35">
      <c r="C5154" s="51"/>
      <c r="D5154" s="51"/>
    </row>
    <row r="5155" spans="3:4" x14ac:dyDescent="0.35">
      <c r="C5155" s="51"/>
      <c r="D5155" s="51"/>
    </row>
    <row r="5156" spans="3:4" x14ac:dyDescent="0.35">
      <c r="C5156" s="51"/>
      <c r="D5156" s="51"/>
    </row>
    <row r="5157" spans="3:4" x14ac:dyDescent="0.35">
      <c r="C5157" s="51"/>
      <c r="D5157" s="51"/>
    </row>
    <row r="5158" spans="3:4" x14ac:dyDescent="0.35">
      <c r="C5158" s="51"/>
      <c r="D5158" s="51"/>
    </row>
    <row r="5159" spans="3:4" x14ac:dyDescent="0.35">
      <c r="C5159" s="51"/>
      <c r="D5159" s="51"/>
    </row>
    <row r="5160" spans="3:4" x14ac:dyDescent="0.35">
      <c r="C5160" s="51"/>
      <c r="D5160" s="51"/>
    </row>
    <row r="5161" spans="3:4" x14ac:dyDescent="0.35">
      <c r="C5161" s="51"/>
      <c r="D5161" s="51"/>
    </row>
    <row r="5162" spans="3:4" x14ac:dyDescent="0.35">
      <c r="C5162" s="51"/>
      <c r="D5162" s="51"/>
    </row>
    <row r="5163" spans="3:4" x14ac:dyDescent="0.35">
      <c r="C5163" s="51"/>
      <c r="D5163" s="51"/>
    </row>
    <row r="5164" spans="3:4" x14ac:dyDescent="0.35">
      <c r="C5164" s="51"/>
      <c r="D5164" s="51"/>
    </row>
    <row r="5165" spans="3:4" x14ac:dyDescent="0.35">
      <c r="C5165" s="51"/>
      <c r="D5165" s="51"/>
    </row>
    <row r="5166" spans="3:4" x14ac:dyDescent="0.35">
      <c r="C5166" s="51"/>
      <c r="D5166" s="51"/>
    </row>
    <row r="5167" spans="3:4" x14ac:dyDescent="0.35">
      <c r="C5167" s="51"/>
      <c r="D5167" s="51"/>
    </row>
    <row r="5168" spans="3:4" x14ac:dyDescent="0.35">
      <c r="C5168" s="51"/>
      <c r="D5168" s="51"/>
    </row>
    <row r="5169" spans="3:4" x14ac:dyDescent="0.35">
      <c r="C5169" s="51"/>
      <c r="D5169" s="51"/>
    </row>
    <row r="5170" spans="3:4" x14ac:dyDescent="0.35">
      <c r="C5170" s="51"/>
      <c r="D5170" s="51"/>
    </row>
    <row r="5171" spans="3:4" x14ac:dyDescent="0.35">
      <c r="C5171" s="51"/>
      <c r="D5171" s="51"/>
    </row>
    <row r="5172" spans="3:4" x14ac:dyDescent="0.35">
      <c r="C5172" s="51"/>
      <c r="D5172" s="51"/>
    </row>
    <row r="5173" spans="3:4" x14ac:dyDescent="0.35">
      <c r="C5173" s="51"/>
      <c r="D5173" s="51"/>
    </row>
    <row r="5174" spans="3:4" x14ac:dyDescent="0.35">
      <c r="C5174" s="51"/>
      <c r="D5174" s="51"/>
    </row>
    <row r="5175" spans="3:4" x14ac:dyDescent="0.35">
      <c r="C5175" s="51"/>
      <c r="D5175" s="51"/>
    </row>
    <row r="5176" spans="3:4" x14ac:dyDescent="0.35">
      <c r="C5176" s="51"/>
      <c r="D5176" s="51"/>
    </row>
    <row r="5177" spans="3:4" x14ac:dyDescent="0.35">
      <c r="C5177" s="51"/>
      <c r="D5177" s="51"/>
    </row>
    <row r="5178" spans="3:4" x14ac:dyDescent="0.35">
      <c r="C5178" s="51"/>
      <c r="D5178" s="51"/>
    </row>
    <row r="5179" spans="3:4" x14ac:dyDescent="0.35">
      <c r="C5179" s="51"/>
      <c r="D5179" s="51"/>
    </row>
    <row r="5180" spans="3:4" x14ac:dyDescent="0.35">
      <c r="C5180" s="51"/>
      <c r="D5180" s="51"/>
    </row>
    <row r="5181" spans="3:4" x14ac:dyDescent="0.35">
      <c r="C5181" s="51"/>
      <c r="D5181" s="51"/>
    </row>
    <row r="5182" spans="3:4" x14ac:dyDescent="0.35">
      <c r="C5182" s="51"/>
      <c r="D5182" s="51"/>
    </row>
    <row r="5183" spans="3:4" x14ac:dyDescent="0.35">
      <c r="C5183" s="51"/>
      <c r="D5183" s="51"/>
    </row>
    <row r="5184" spans="3:4" x14ac:dyDescent="0.35">
      <c r="C5184" s="51"/>
      <c r="D5184" s="51"/>
    </row>
    <row r="5185" spans="3:4" x14ac:dyDescent="0.35">
      <c r="C5185" s="51"/>
      <c r="D5185" s="51"/>
    </row>
    <row r="5186" spans="3:4" x14ac:dyDescent="0.35">
      <c r="C5186" s="51"/>
      <c r="D5186" s="51"/>
    </row>
    <row r="5187" spans="3:4" x14ac:dyDescent="0.35">
      <c r="C5187" s="51"/>
      <c r="D5187" s="51"/>
    </row>
    <row r="5188" spans="3:4" x14ac:dyDescent="0.35">
      <c r="C5188" s="51"/>
      <c r="D5188" s="51"/>
    </row>
    <row r="5189" spans="3:4" x14ac:dyDescent="0.35">
      <c r="C5189" s="51"/>
      <c r="D5189" s="51"/>
    </row>
    <row r="5190" spans="3:4" x14ac:dyDescent="0.35">
      <c r="C5190" s="51"/>
      <c r="D5190" s="51"/>
    </row>
    <row r="5191" spans="3:4" x14ac:dyDescent="0.35">
      <c r="C5191" s="51"/>
      <c r="D5191" s="51"/>
    </row>
    <row r="5192" spans="3:4" x14ac:dyDescent="0.35">
      <c r="C5192" s="51"/>
      <c r="D5192" s="51"/>
    </row>
    <row r="5193" spans="3:4" x14ac:dyDescent="0.35">
      <c r="C5193" s="51"/>
      <c r="D5193" s="51"/>
    </row>
    <row r="5194" spans="3:4" x14ac:dyDescent="0.35">
      <c r="C5194" s="51"/>
      <c r="D5194" s="51"/>
    </row>
    <row r="5195" spans="3:4" x14ac:dyDescent="0.35">
      <c r="C5195" s="51"/>
      <c r="D5195" s="51"/>
    </row>
    <row r="5196" spans="3:4" x14ac:dyDescent="0.35">
      <c r="C5196" s="51"/>
      <c r="D5196" s="51"/>
    </row>
    <row r="5197" spans="3:4" x14ac:dyDescent="0.35">
      <c r="C5197" s="51"/>
      <c r="D5197" s="51"/>
    </row>
    <row r="5198" spans="3:4" x14ac:dyDescent="0.35">
      <c r="C5198" s="51"/>
      <c r="D5198" s="51"/>
    </row>
    <row r="5199" spans="3:4" x14ac:dyDescent="0.35">
      <c r="C5199" s="51"/>
      <c r="D5199" s="51"/>
    </row>
    <row r="5200" spans="3:4" x14ac:dyDescent="0.35">
      <c r="C5200" s="51"/>
      <c r="D5200" s="51"/>
    </row>
    <row r="5201" spans="3:4" x14ac:dyDescent="0.35">
      <c r="C5201" s="51"/>
      <c r="D5201" s="51"/>
    </row>
    <row r="5202" spans="3:4" x14ac:dyDescent="0.35">
      <c r="C5202" s="51"/>
      <c r="D5202" s="51"/>
    </row>
    <row r="5203" spans="3:4" x14ac:dyDescent="0.35">
      <c r="C5203" s="51"/>
      <c r="D5203" s="51"/>
    </row>
    <row r="5204" spans="3:4" x14ac:dyDescent="0.35">
      <c r="C5204" s="51"/>
      <c r="D5204" s="51"/>
    </row>
    <row r="5205" spans="3:4" x14ac:dyDescent="0.35">
      <c r="C5205" s="51"/>
      <c r="D5205" s="51"/>
    </row>
    <row r="5206" spans="3:4" x14ac:dyDescent="0.35">
      <c r="C5206" s="51"/>
      <c r="D5206" s="51"/>
    </row>
    <row r="5207" spans="3:4" x14ac:dyDescent="0.35">
      <c r="C5207" s="51"/>
      <c r="D5207" s="51"/>
    </row>
    <row r="5208" spans="3:4" x14ac:dyDescent="0.35">
      <c r="C5208" s="51"/>
      <c r="D5208" s="51"/>
    </row>
    <row r="5209" spans="3:4" x14ac:dyDescent="0.35">
      <c r="C5209" s="51"/>
      <c r="D5209" s="51"/>
    </row>
    <row r="5210" spans="3:4" x14ac:dyDescent="0.35">
      <c r="C5210" s="51"/>
      <c r="D5210" s="51"/>
    </row>
    <row r="5211" spans="3:4" x14ac:dyDescent="0.35">
      <c r="C5211" s="51"/>
      <c r="D5211" s="51"/>
    </row>
    <row r="5212" spans="3:4" x14ac:dyDescent="0.35">
      <c r="C5212" s="51"/>
      <c r="D5212" s="51"/>
    </row>
    <row r="5213" spans="3:4" x14ac:dyDescent="0.35">
      <c r="C5213" s="51"/>
      <c r="D5213" s="51"/>
    </row>
    <row r="5214" spans="3:4" x14ac:dyDescent="0.35">
      <c r="C5214" s="51"/>
      <c r="D5214" s="51"/>
    </row>
    <row r="5215" spans="3:4" x14ac:dyDescent="0.35">
      <c r="C5215" s="51"/>
      <c r="D5215" s="51"/>
    </row>
    <row r="5216" spans="3:4" x14ac:dyDescent="0.35">
      <c r="C5216" s="51"/>
      <c r="D5216" s="51"/>
    </row>
    <row r="5217" spans="3:4" x14ac:dyDescent="0.35">
      <c r="C5217" s="51"/>
      <c r="D5217" s="51"/>
    </row>
    <row r="5218" spans="3:4" x14ac:dyDescent="0.35">
      <c r="C5218" s="51"/>
      <c r="D5218" s="51"/>
    </row>
    <row r="5219" spans="3:4" x14ac:dyDescent="0.35">
      <c r="C5219" s="51"/>
      <c r="D5219" s="51"/>
    </row>
    <row r="5220" spans="3:4" x14ac:dyDescent="0.35">
      <c r="C5220" s="51"/>
      <c r="D5220" s="51"/>
    </row>
    <row r="5221" spans="3:4" x14ac:dyDescent="0.35">
      <c r="C5221" s="51"/>
      <c r="D5221" s="51"/>
    </row>
    <row r="5222" spans="3:4" x14ac:dyDescent="0.35">
      <c r="C5222" s="51"/>
      <c r="D5222" s="51"/>
    </row>
    <row r="5223" spans="3:4" x14ac:dyDescent="0.35">
      <c r="C5223" s="51"/>
      <c r="D5223" s="51"/>
    </row>
    <row r="5224" spans="3:4" x14ac:dyDescent="0.35">
      <c r="C5224" s="51"/>
      <c r="D5224" s="51"/>
    </row>
    <row r="5225" spans="3:4" x14ac:dyDescent="0.35">
      <c r="C5225" s="51"/>
      <c r="D5225" s="51"/>
    </row>
    <row r="5226" spans="3:4" x14ac:dyDescent="0.35">
      <c r="C5226" s="51"/>
      <c r="D5226" s="51"/>
    </row>
    <row r="5227" spans="3:4" x14ac:dyDescent="0.35">
      <c r="C5227" s="51"/>
      <c r="D5227" s="51"/>
    </row>
    <row r="5228" spans="3:4" x14ac:dyDescent="0.35">
      <c r="C5228" s="51"/>
      <c r="D5228" s="51"/>
    </row>
    <row r="5229" spans="3:4" x14ac:dyDescent="0.35">
      <c r="C5229" s="51"/>
      <c r="D5229" s="51"/>
    </row>
    <row r="5230" spans="3:4" x14ac:dyDescent="0.35">
      <c r="C5230" s="51"/>
      <c r="D5230" s="51"/>
    </row>
    <row r="5231" spans="3:4" x14ac:dyDescent="0.35">
      <c r="C5231" s="51"/>
      <c r="D5231" s="51"/>
    </row>
    <row r="5232" spans="3:4" x14ac:dyDescent="0.35">
      <c r="C5232" s="51"/>
      <c r="D5232" s="51"/>
    </row>
    <row r="5233" spans="3:4" x14ac:dyDescent="0.35">
      <c r="C5233" s="51"/>
      <c r="D5233" s="51"/>
    </row>
    <row r="5234" spans="3:4" x14ac:dyDescent="0.35">
      <c r="C5234" s="51"/>
      <c r="D5234" s="51"/>
    </row>
    <row r="5235" spans="3:4" x14ac:dyDescent="0.35">
      <c r="C5235" s="51"/>
      <c r="D5235" s="51"/>
    </row>
    <row r="5236" spans="3:4" x14ac:dyDescent="0.35">
      <c r="C5236" s="51"/>
      <c r="D5236" s="51"/>
    </row>
    <row r="5237" spans="3:4" x14ac:dyDescent="0.35">
      <c r="C5237" s="51"/>
      <c r="D5237" s="51"/>
    </row>
    <row r="5238" spans="3:4" x14ac:dyDescent="0.35">
      <c r="C5238" s="51"/>
      <c r="D5238" s="51"/>
    </row>
    <row r="5239" spans="3:4" x14ac:dyDescent="0.35">
      <c r="C5239" s="51"/>
      <c r="D5239" s="51"/>
    </row>
    <row r="5240" spans="3:4" x14ac:dyDescent="0.35">
      <c r="C5240" s="51"/>
      <c r="D5240" s="51"/>
    </row>
    <row r="5241" spans="3:4" x14ac:dyDescent="0.35">
      <c r="C5241" s="51"/>
      <c r="D5241" s="51"/>
    </row>
    <row r="5242" spans="3:4" x14ac:dyDescent="0.35">
      <c r="C5242" s="51"/>
      <c r="D5242" s="51"/>
    </row>
    <row r="5243" spans="3:4" x14ac:dyDescent="0.35">
      <c r="C5243" s="51"/>
      <c r="D5243" s="51"/>
    </row>
    <row r="5244" spans="3:4" x14ac:dyDescent="0.35">
      <c r="C5244" s="51"/>
      <c r="D5244" s="51"/>
    </row>
    <row r="5245" spans="3:4" x14ac:dyDescent="0.35">
      <c r="C5245" s="51"/>
      <c r="D5245" s="51"/>
    </row>
    <row r="5246" spans="3:4" x14ac:dyDescent="0.35">
      <c r="C5246" s="51"/>
      <c r="D5246" s="51"/>
    </row>
    <row r="5247" spans="3:4" x14ac:dyDescent="0.35">
      <c r="C5247" s="51"/>
      <c r="D5247" s="51"/>
    </row>
    <row r="5248" spans="3:4" x14ac:dyDescent="0.35">
      <c r="C5248" s="51"/>
      <c r="D5248" s="51"/>
    </row>
    <row r="5249" spans="3:4" x14ac:dyDescent="0.35">
      <c r="C5249" s="51"/>
      <c r="D5249" s="51"/>
    </row>
    <row r="5250" spans="3:4" x14ac:dyDescent="0.35">
      <c r="C5250" s="51"/>
      <c r="D5250" s="51"/>
    </row>
    <row r="5251" spans="3:4" x14ac:dyDescent="0.35">
      <c r="C5251" s="51"/>
      <c r="D5251" s="51"/>
    </row>
    <row r="5252" spans="3:4" x14ac:dyDescent="0.35">
      <c r="C5252" s="51"/>
      <c r="D5252" s="51"/>
    </row>
    <row r="5253" spans="3:4" x14ac:dyDescent="0.35">
      <c r="C5253" s="51"/>
      <c r="D5253" s="51"/>
    </row>
    <row r="5254" spans="3:4" x14ac:dyDescent="0.35">
      <c r="C5254" s="51"/>
      <c r="D5254" s="51"/>
    </row>
    <row r="5255" spans="3:4" x14ac:dyDescent="0.35">
      <c r="C5255" s="51"/>
      <c r="D5255" s="51"/>
    </row>
    <row r="5256" spans="3:4" x14ac:dyDescent="0.35">
      <c r="C5256" s="51"/>
      <c r="D5256" s="51"/>
    </row>
    <row r="5257" spans="3:4" x14ac:dyDescent="0.35">
      <c r="C5257" s="51"/>
      <c r="D5257" s="51"/>
    </row>
    <row r="5258" spans="3:4" x14ac:dyDescent="0.35">
      <c r="C5258" s="51"/>
      <c r="D5258" s="51"/>
    </row>
    <row r="5259" spans="3:4" x14ac:dyDescent="0.35">
      <c r="C5259" s="51"/>
      <c r="D5259" s="51"/>
    </row>
    <row r="5260" spans="3:4" x14ac:dyDescent="0.35">
      <c r="C5260" s="51"/>
      <c r="D5260" s="51"/>
    </row>
    <row r="5261" spans="3:4" x14ac:dyDescent="0.35">
      <c r="C5261" s="51"/>
      <c r="D5261" s="51"/>
    </row>
    <row r="5262" spans="3:4" x14ac:dyDescent="0.35">
      <c r="C5262" s="51"/>
      <c r="D5262" s="51"/>
    </row>
    <row r="5263" spans="3:4" x14ac:dyDescent="0.35">
      <c r="C5263" s="51"/>
      <c r="D5263" s="51"/>
    </row>
    <row r="5264" spans="3:4" x14ac:dyDescent="0.35">
      <c r="C5264" s="51"/>
      <c r="D5264" s="51"/>
    </row>
    <row r="5265" spans="3:4" x14ac:dyDescent="0.35">
      <c r="C5265" s="51"/>
      <c r="D5265" s="51"/>
    </row>
    <row r="5266" spans="3:4" x14ac:dyDescent="0.35">
      <c r="C5266" s="51"/>
      <c r="D5266" s="51"/>
    </row>
    <row r="5267" spans="3:4" x14ac:dyDescent="0.35">
      <c r="C5267" s="51"/>
      <c r="D5267" s="51"/>
    </row>
    <row r="5268" spans="3:4" x14ac:dyDescent="0.35">
      <c r="C5268" s="51"/>
      <c r="D5268" s="51"/>
    </row>
    <row r="5269" spans="3:4" x14ac:dyDescent="0.35">
      <c r="C5269" s="51"/>
      <c r="D5269" s="51"/>
    </row>
    <row r="5270" spans="3:4" x14ac:dyDescent="0.35">
      <c r="C5270" s="51"/>
      <c r="D5270" s="51"/>
    </row>
    <row r="5271" spans="3:4" x14ac:dyDescent="0.35">
      <c r="C5271" s="51"/>
      <c r="D5271" s="51"/>
    </row>
    <row r="5272" spans="3:4" x14ac:dyDescent="0.35">
      <c r="C5272" s="51"/>
      <c r="D5272" s="51"/>
    </row>
    <row r="5273" spans="3:4" x14ac:dyDescent="0.35">
      <c r="C5273" s="51"/>
      <c r="D5273" s="51"/>
    </row>
    <row r="5274" spans="3:4" x14ac:dyDescent="0.35">
      <c r="C5274" s="51"/>
      <c r="D5274" s="51"/>
    </row>
    <row r="5275" spans="3:4" x14ac:dyDescent="0.35">
      <c r="C5275" s="51"/>
      <c r="D5275" s="51"/>
    </row>
    <row r="5276" spans="3:4" x14ac:dyDescent="0.35">
      <c r="C5276" s="51"/>
      <c r="D5276" s="51"/>
    </row>
    <row r="5277" spans="3:4" x14ac:dyDescent="0.35">
      <c r="C5277" s="51"/>
      <c r="D5277" s="51"/>
    </row>
    <row r="5278" spans="3:4" x14ac:dyDescent="0.35">
      <c r="C5278" s="51"/>
      <c r="D5278" s="51"/>
    </row>
    <row r="5279" spans="3:4" x14ac:dyDescent="0.35">
      <c r="C5279" s="51"/>
      <c r="D5279" s="51"/>
    </row>
    <row r="5280" spans="3:4" x14ac:dyDescent="0.35">
      <c r="C5280" s="51"/>
      <c r="D5280" s="51"/>
    </row>
    <row r="5281" spans="3:4" x14ac:dyDescent="0.35">
      <c r="C5281" s="51"/>
      <c r="D5281" s="51"/>
    </row>
    <row r="5282" spans="3:4" x14ac:dyDescent="0.35">
      <c r="C5282" s="51"/>
      <c r="D5282" s="51"/>
    </row>
    <row r="5283" spans="3:4" x14ac:dyDescent="0.35">
      <c r="C5283" s="51"/>
      <c r="D5283" s="51"/>
    </row>
    <row r="5284" spans="3:4" x14ac:dyDescent="0.35">
      <c r="C5284" s="51"/>
      <c r="D5284" s="51"/>
    </row>
    <row r="5285" spans="3:4" x14ac:dyDescent="0.35">
      <c r="C5285" s="51"/>
      <c r="D5285" s="51"/>
    </row>
    <row r="5286" spans="3:4" x14ac:dyDescent="0.35">
      <c r="C5286" s="51"/>
      <c r="D5286" s="51"/>
    </row>
    <row r="5287" spans="3:4" x14ac:dyDescent="0.35">
      <c r="C5287" s="51"/>
      <c r="D5287" s="51"/>
    </row>
    <row r="5288" spans="3:4" x14ac:dyDescent="0.35">
      <c r="C5288" s="51"/>
      <c r="D5288" s="51"/>
    </row>
    <row r="5289" spans="3:4" x14ac:dyDescent="0.35">
      <c r="C5289" s="51"/>
      <c r="D5289" s="51"/>
    </row>
    <row r="5290" spans="3:4" x14ac:dyDescent="0.35">
      <c r="C5290" s="51"/>
      <c r="D5290" s="51"/>
    </row>
    <row r="5291" spans="3:4" x14ac:dyDescent="0.35">
      <c r="C5291" s="51"/>
      <c r="D5291" s="51"/>
    </row>
    <row r="5292" spans="3:4" x14ac:dyDescent="0.35">
      <c r="C5292" s="51"/>
      <c r="D5292" s="51"/>
    </row>
    <row r="5293" spans="3:4" x14ac:dyDescent="0.35">
      <c r="C5293" s="51"/>
      <c r="D5293" s="51"/>
    </row>
    <row r="5294" spans="3:4" x14ac:dyDescent="0.35">
      <c r="C5294" s="51"/>
      <c r="D5294" s="51"/>
    </row>
    <row r="5295" spans="3:4" x14ac:dyDescent="0.35">
      <c r="C5295" s="51"/>
      <c r="D5295" s="51"/>
    </row>
    <row r="5296" spans="3:4" x14ac:dyDescent="0.35">
      <c r="C5296" s="51"/>
      <c r="D5296" s="51"/>
    </row>
    <row r="5297" spans="3:4" x14ac:dyDescent="0.35">
      <c r="C5297" s="51"/>
      <c r="D5297" s="51"/>
    </row>
    <row r="5298" spans="3:4" x14ac:dyDescent="0.35">
      <c r="C5298" s="51"/>
      <c r="D5298" s="51"/>
    </row>
    <row r="5299" spans="3:4" x14ac:dyDescent="0.35">
      <c r="C5299" s="51"/>
      <c r="D5299" s="51"/>
    </row>
    <row r="5300" spans="3:4" x14ac:dyDescent="0.35">
      <c r="C5300" s="51"/>
      <c r="D5300" s="51"/>
    </row>
    <row r="5301" spans="3:4" x14ac:dyDescent="0.35">
      <c r="C5301" s="51"/>
      <c r="D5301" s="51"/>
    </row>
    <row r="5302" spans="3:4" x14ac:dyDescent="0.35">
      <c r="C5302" s="51"/>
      <c r="D5302" s="51"/>
    </row>
    <row r="5303" spans="3:4" x14ac:dyDescent="0.35">
      <c r="C5303" s="51"/>
      <c r="D5303" s="51"/>
    </row>
    <row r="5304" spans="3:4" x14ac:dyDescent="0.35">
      <c r="C5304" s="51"/>
      <c r="D5304" s="51"/>
    </row>
    <row r="5305" spans="3:4" x14ac:dyDescent="0.35">
      <c r="C5305" s="51"/>
      <c r="D5305" s="51"/>
    </row>
    <row r="5306" spans="3:4" x14ac:dyDescent="0.35">
      <c r="C5306" s="51"/>
      <c r="D5306" s="51"/>
    </row>
    <row r="5307" spans="3:4" x14ac:dyDescent="0.35">
      <c r="C5307" s="51"/>
      <c r="D5307" s="51"/>
    </row>
    <row r="5308" spans="3:4" x14ac:dyDescent="0.35">
      <c r="C5308" s="51"/>
      <c r="D5308" s="51"/>
    </row>
    <row r="5309" spans="3:4" x14ac:dyDescent="0.35">
      <c r="C5309" s="51"/>
      <c r="D5309" s="51"/>
    </row>
    <row r="5310" spans="3:4" x14ac:dyDescent="0.35">
      <c r="C5310" s="51"/>
      <c r="D5310" s="51"/>
    </row>
    <row r="5311" spans="3:4" x14ac:dyDescent="0.35">
      <c r="C5311" s="51"/>
      <c r="D5311" s="51"/>
    </row>
    <row r="5312" spans="3:4" x14ac:dyDescent="0.35">
      <c r="C5312" s="51"/>
      <c r="D5312" s="51"/>
    </row>
    <row r="5313" spans="3:4" x14ac:dyDescent="0.35">
      <c r="C5313" s="51"/>
      <c r="D5313" s="51"/>
    </row>
    <row r="5314" spans="3:4" x14ac:dyDescent="0.35">
      <c r="C5314" s="51"/>
      <c r="D5314" s="51"/>
    </row>
    <row r="5315" spans="3:4" x14ac:dyDescent="0.35">
      <c r="C5315" s="51"/>
      <c r="D5315" s="51"/>
    </row>
    <row r="5316" spans="3:4" x14ac:dyDescent="0.35">
      <c r="C5316" s="51"/>
      <c r="D5316" s="51"/>
    </row>
    <row r="5317" spans="3:4" x14ac:dyDescent="0.35">
      <c r="C5317" s="51"/>
      <c r="D5317" s="51"/>
    </row>
    <row r="5318" spans="3:4" x14ac:dyDescent="0.35">
      <c r="C5318" s="51"/>
      <c r="D5318" s="51"/>
    </row>
    <row r="5319" spans="3:4" x14ac:dyDescent="0.35">
      <c r="C5319" s="51"/>
      <c r="D5319" s="51"/>
    </row>
    <row r="5320" spans="3:4" x14ac:dyDescent="0.35">
      <c r="C5320" s="51"/>
      <c r="D5320" s="51"/>
    </row>
    <row r="5321" spans="3:4" x14ac:dyDescent="0.35">
      <c r="C5321" s="51"/>
      <c r="D5321" s="51"/>
    </row>
    <row r="5322" spans="3:4" x14ac:dyDescent="0.35">
      <c r="C5322" s="51"/>
      <c r="D5322" s="51"/>
    </row>
    <row r="5323" spans="3:4" x14ac:dyDescent="0.35">
      <c r="C5323" s="51"/>
      <c r="D5323" s="51"/>
    </row>
    <row r="5324" spans="3:4" x14ac:dyDescent="0.35">
      <c r="C5324" s="51"/>
      <c r="D5324" s="51"/>
    </row>
    <row r="5325" spans="3:4" x14ac:dyDescent="0.35">
      <c r="C5325" s="51"/>
      <c r="D5325" s="51"/>
    </row>
    <row r="5326" spans="3:4" x14ac:dyDescent="0.35">
      <c r="C5326" s="51"/>
      <c r="D5326" s="51"/>
    </row>
    <row r="5327" spans="3:4" x14ac:dyDescent="0.35">
      <c r="C5327" s="51"/>
      <c r="D5327" s="51"/>
    </row>
    <row r="5328" spans="3:4" x14ac:dyDescent="0.35">
      <c r="C5328" s="51"/>
      <c r="D5328" s="51"/>
    </row>
    <row r="5329" spans="3:4" x14ac:dyDescent="0.35">
      <c r="C5329" s="51"/>
      <c r="D5329" s="51"/>
    </row>
    <row r="5330" spans="3:4" x14ac:dyDescent="0.35">
      <c r="C5330" s="51"/>
      <c r="D5330" s="51"/>
    </row>
    <row r="5331" spans="3:4" x14ac:dyDescent="0.35">
      <c r="C5331" s="51"/>
      <c r="D5331" s="51"/>
    </row>
    <row r="5332" spans="3:4" x14ac:dyDescent="0.35">
      <c r="C5332" s="51"/>
      <c r="D5332" s="51"/>
    </row>
    <row r="5333" spans="3:4" x14ac:dyDescent="0.35">
      <c r="C5333" s="51"/>
      <c r="D5333" s="51"/>
    </row>
    <row r="5334" spans="3:4" x14ac:dyDescent="0.35">
      <c r="C5334" s="51"/>
      <c r="D5334" s="51"/>
    </row>
    <row r="5335" spans="3:4" x14ac:dyDescent="0.35">
      <c r="C5335" s="51"/>
      <c r="D5335" s="51"/>
    </row>
    <row r="5336" spans="3:4" x14ac:dyDescent="0.35">
      <c r="C5336" s="51"/>
      <c r="D5336" s="51"/>
    </row>
    <row r="5337" spans="3:4" x14ac:dyDescent="0.35">
      <c r="C5337" s="51"/>
      <c r="D5337" s="51"/>
    </row>
    <row r="5338" spans="3:4" x14ac:dyDescent="0.35">
      <c r="C5338" s="51"/>
      <c r="D5338" s="51"/>
    </row>
    <row r="5339" spans="3:4" x14ac:dyDescent="0.35">
      <c r="C5339" s="51"/>
      <c r="D5339" s="51"/>
    </row>
    <row r="5340" spans="3:4" x14ac:dyDescent="0.35">
      <c r="C5340" s="51"/>
      <c r="D5340" s="51"/>
    </row>
    <row r="5341" spans="3:4" x14ac:dyDescent="0.35">
      <c r="C5341" s="51"/>
      <c r="D5341" s="51"/>
    </row>
    <row r="5342" spans="3:4" x14ac:dyDescent="0.35">
      <c r="C5342" s="51"/>
      <c r="D5342" s="51"/>
    </row>
    <row r="5343" spans="3:4" x14ac:dyDescent="0.35">
      <c r="C5343" s="51"/>
      <c r="D5343" s="51"/>
    </row>
    <row r="5344" spans="3:4" x14ac:dyDescent="0.35">
      <c r="C5344" s="51"/>
      <c r="D5344" s="51"/>
    </row>
    <row r="5345" spans="3:4" x14ac:dyDescent="0.35">
      <c r="C5345" s="51"/>
      <c r="D5345" s="51"/>
    </row>
    <row r="5346" spans="3:4" x14ac:dyDescent="0.35">
      <c r="C5346" s="51"/>
      <c r="D5346" s="51"/>
    </row>
    <row r="5347" spans="3:4" x14ac:dyDescent="0.35">
      <c r="C5347" s="51"/>
      <c r="D5347" s="51"/>
    </row>
    <row r="5348" spans="3:4" x14ac:dyDescent="0.35">
      <c r="C5348" s="51"/>
      <c r="D5348" s="51"/>
    </row>
    <row r="5349" spans="3:4" x14ac:dyDescent="0.35">
      <c r="C5349" s="51"/>
      <c r="D5349" s="51"/>
    </row>
    <row r="5350" spans="3:4" x14ac:dyDescent="0.35">
      <c r="C5350" s="51"/>
      <c r="D5350" s="51"/>
    </row>
    <row r="5351" spans="3:4" x14ac:dyDescent="0.35">
      <c r="C5351" s="51"/>
      <c r="D5351" s="51"/>
    </row>
    <row r="5352" spans="3:4" x14ac:dyDescent="0.35">
      <c r="C5352" s="51"/>
      <c r="D5352" s="51"/>
    </row>
    <row r="5353" spans="3:4" x14ac:dyDescent="0.35">
      <c r="C5353" s="51"/>
      <c r="D5353" s="51"/>
    </row>
    <row r="5354" spans="3:4" x14ac:dyDescent="0.35">
      <c r="C5354" s="51"/>
      <c r="D5354" s="51"/>
    </row>
    <row r="5355" spans="3:4" x14ac:dyDescent="0.35">
      <c r="C5355" s="51"/>
      <c r="D5355" s="51"/>
    </row>
    <row r="5356" spans="3:4" x14ac:dyDescent="0.35">
      <c r="C5356" s="51"/>
      <c r="D5356" s="51"/>
    </row>
    <row r="5357" spans="3:4" x14ac:dyDescent="0.35">
      <c r="C5357" s="51"/>
      <c r="D5357" s="51"/>
    </row>
    <row r="5358" spans="3:4" x14ac:dyDescent="0.35">
      <c r="C5358" s="51"/>
      <c r="D5358" s="51"/>
    </row>
    <row r="5359" spans="3:4" x14ac:dyDescent="0.35">
      <c r="C5359" s="51"/>
      <c r="D5359" s="51"/>
    </row>
    <row r="5360" spans="3:4" x14ac:dyDescent="0.35">
      <c r="C5360" s="51"/>
      <c r="D5360" s="51"/>
    </row>
    <row r="5361" spans="3:4" x14ac:dyDescent="0.35">
      <c r="C5361" s="51"/>
      <c r="D5361" s="51"/>
    </row>
    <row r="5362" spans="3:4" x14ac:dyDescent="0.35">
      <c r="C5362" s="51"/>
      <c r="D5362" s="51"/>
    </row>
    <row r="5363" spans="3:4" x14ac:dyDescent="0.35">
      <c r="C5363" s="51"/>
      <c r="D5363" s="51"/>
    </row>
    <row r="5364" spans="3:4" x14ac:dyDescent="0.35">
      <c r="C5364" s="51"/>
      <c r="D5364" s="51"/>
    </row>
    <row r="5365" spans="3:4" x14ac:dyDescent="0.35">
      <c r="C5365" s="51"/>
      <c r="D5365" s="51"/>
    </row>
    <row r="5366" spans="3:4" x14ac:dyDescent="0.35">
      <c r="C5366" s="51"/>
      <c r="D5366" s="51"/>
    </row>
    <row r="5367" spans="3:4" x14ac:dyDescent="0.35">
      <c r="C5367" s="51"/>
      <c r="D5367" s="51"/>
    </row>
    <row r="5368" spans="3:4" x14ac:dyDescent="0.35">
      <c r="C5368" s="51"/>
      <c r="D5368" s="51"/>
    </row>
    <row r="5369" spans="3:4" x14ac:dyDescent="0.35">
      <c r="C5369" s="51"/>
      <c r="D5369" s="51"/>
    </row>
    <row r="5370" spans="3:4" x14ac:dyDescent="0.35">
      <c r="C5370" s="51"/>
      <c r="D5370" s="51"/>
    </row>
    <row r="5371" spans="3:4" x14ac:dyDescent="0.35">
      <c r="C5371" s="51"/>
      <c r="D5371" s="51"/>
    </row>
    <row r="5372" spans="3:4" x14ac:dyDescent="0.35">
      <c r="C5372" s="51"/>
      <c r="D5372" s="51"/>
    </row>
    <row r="5373" spans="3:4" x14ac:dyDescent="0.35">
      <c r="C5373" s="51"/>
      <c r="D5373" s="51"/>
    </row>
    <row r="5374" spans="3:4" x14ac:dyDescent="0.35">
      <c r="C5374" s="51"/>
      <c r="D5374" s="51"/>
    </row>
    <row r="5375" spans="3:4" x14ac:dyDescent="0.35">
      <c r="C5375" s="51"/>
      <c r="D5375" s="51"/>
    </row>
    <row r="5376" spans="3:4" x14ac:dyDescent="0.35">
      <c r="C5376" s="51"/>
      <c r="D5376" s="51"/>
    </row>
    <row r="5377" spans="3:4" x14ac:dyDescent="0.35">
      <c r="C5377" s="51"/>
      <c r="D5377" s="51"/>
    </row>
    <row r="5378" spans="3:4" x14ac:dyDescent="0.35">
      <c r="C5378" s="51"/>
      <c r="D5378" s="51"/>
    </row>
    <row r="5379" spans="3:4" x14ac:dyDescent="0.35">
      <c r="C5379" s="51"/>
      <c r="D5379" s="51"/>
    </row>
    <row r="5380" spans="3:4" x14ac:dyDescent="0.35">
      <c r="C5380" s="51"/>
      <c r="D5380" s="51"/>
    </row>
    <row r="5381" spans="3:4" x14ac:dyDescent="0.35">
      <c r="C5381" s="51"/>
      <c r="D5381" s="51"/>
    </row>
    <row r="5382" spans="3:4" x14ac:dyDescent="0.35">
      <c r="C5382" s="51"/>
      <c r="D5382" s="51"/>
    </row>
    <row r="5383" spans="3:4" x14ac:dyDescent="0.35">
      <c r="C5383" s="51"/>
      <c r="D5383" s="51"/>
    </row>
    <row r="5384" spans="3:4" x14ac:dyDescent="0.35">
      <c r="C5384" s="51"/>
      <c r="D5384" s="51"/>
    </row>
    <row r="5385" spans="3:4" x14ac:dyDescent="0.35">
      <c r="C5385" s="51"/>
      <c r="D5385" s="51"/>
    </row>
    <row r="5386" spans="3:4" x14ac:dyDescent="0.35">
      <c r="C5386" s="51"/>
      <c r="D5386" s="51"/>
    </row>
    <row r="5387" spans="3:4" x14ac:dyDescent="0.35">
      <c r="C5387" s="51"/>
      <c r="D5387" s="51"/>
    </row>
    <row r="5388" spans="3:4" x14ac:dyDescent="0.35">
      <c r="C5388" s="51"/>
      <c r="D5388" s="51"/>
    </row>
    <row r="5389" spans="3:4" x14ac:dyDescent="0.35">
      <c r="C5389" s="51"/>
      <c r="D5389" s="51"/>
    </row>
    <row r="5390" spans="3:4" x14ac:dyDescent="0.35">
      <c r="C5390" s="51"/>
      <c r="D5390" s="51"/>
    </row>
    <row r="5391" spans="3:4" x14ac:dyDescent="0.35">
      <c r="C5391" s="51"/>
      <c r="D5391" s="51"/>
    </row>
    <row r="5392" spans="3:4" x14ac:dyDescent="0.35">
      <c r="C5392" s="51"/>
      <c r="D5392" s="51"/>
    </row>
    <row r="5393" spans="3:4" x14ac:dyDescent="0.35">
      <c r="C5393" s="51"/>
      <c r="D5393" s="51"/>
    </row>
    <row r="5394" spans="3:4" x14ac:dyDescent="0.35">
      <c r="C5394" s="51"/>
      <c r="D5394" s="51"/>
    </row>
    <row r="5395" spans="3:4" x14ac:dyDescent="0.35">
      <c r="C5395" s="51"/>
      <c r="D5395" s="51"/>
    </row>
    <row r="5396" spans="3:4" x14ac:dyDescent="0.35">
      <c r="C5396" s="51"/>
      <c r="D5396" s="51"/>
    </row>
    <row r="5397" spans="3:4" x14ac:dyDescent="0.35">
      <c r="C5397" s="51"/>
      <c r="D5397" s="51"/>
    </row>
    <row r="5398" spans="3:4" x14ac:dyDescent="0.35">
      <c r="C5398" s="51"/>
      <c r="D5398" s="51"/>
    </row>
    <row r="5399" spans="3:4" x14ac:dyDescent="0.35">
      <c r="C5399" s="51"/>
      <c r="D5399" s="51"/>
    </row>
    <row r="5400" spans="3:4" x14ac:dyDescent="0.35">
      <c r="C5400" s="51"/>
      <c r="D5400" s="51"/>
    </row>
    <row r="5401" spans="3:4" x14ac:dyDescent="0.35">
      <c r="C5401" s="51"/>
      <c r="D5401" s="51"/>
    </row>
    <row r="5402" spans="3:4" x14ac:dyDescent="0.35">
      <c r="C5402" s="51"/>
      <c r="D5402" s="51"/>
    </row>
    <row r="5403" spans="3:4" x14ac:dyDescent="0.35">
      <c r="C5403" s="51"/>
      <c r="D5403" s="51"/>
    </row>
    <row r="5404" spans="3:4" x14ac:dyDescent="0.35">
      <c r="C5404" s="51"/>
      <c r="D5404" s="51"/>
    </row>
    <row r="5405" spans="3:4" x14ac:dyDescent="0.35">
      <c r="C5405" s="51"/>
      <c r="D5405" s="51"/>
    </row>
    <row r="5406" spans="3:4" x14ac:dyDescent="0.35">
      <c r="C5406" s="51"/>
      <c r="D5406" s="51"/>
    </row>
    <row r="5407" spans="3:4" x14ac:dyDescent="0.35">
      <c r="C5407" s="51"/>
      <c r="D5407" s="51"/>
    </row>
    <row r="5408" spans="3:4" x14ac:dyDescent="0.35">
      <c r="C5408" s="51"/>
      <c r="D5408" s="51"/>
    </row>
    <row r="5409" spans="3:4" x14ac:dyDescent="0.35">
      <c r="C5409" s="51"/>
      <c r="D5409" s="51"/>
    </row>
    <row r="5410" spans="3:4" x14ac:dyDescent="0.35">
      <c r="C5410" s="51"/>
      <c r="D5410" s="51"/>
    </row>
    <row r="5411" spans="3:4" x14ac:dyDescent="0.35">
      <c r="C5411" s="51"/>
      <c r="D5411" s="51"/>
    </row>
    <row r="5412" spans="3:4" x14ac:dyDescent="0.35">
      <c r="C5412" s="51"/>
      <c r="D5412" s="51"/>
    </row>
    <row r="5413" spans="3:4" x14ac:dyDescent="0.35">
      <c r="C5413" s="51"/>
      <c r="D5413" s="51"/>
    </row>
    <row r="5414" spans="3:4" x14ac:dyDescent="0.35">
      <c r="C5414" s="51"/>
      <c r="D5414" s="51"/>
    </row>
    <row r="5415" spans="3:4" x14ac:dyDescent="0.35">
      <c r="C5415" s="51"/>
      <c r="D5415" s="51"/>
    </row>
    <row r="5416" spans="3:4" x14ac:dyDescent="0.35">
      <c r="C5416" s="51"/>
      <c r="D5416" s="51"/>
    </row>
    <row r="5417" spans="3:4" x14ac:dyDescent="0.35">
      <c r="C5417" s="51"/>
      <c r="D5417" s="51"/>
    </row>
    <row r="5418" spans="3:4" x14ac:dyDescent="0.35">
      <c r="C5418" s="51"/>
      <c r="D5418" s="51"/>
    </row>
    <row r="5419" spans="3:4" x14ac:dyDescent="0.35">
      <c r="C5419" s="51"/>
      <c r="D5419" s="51"/>
    </row>
    <row r="5420" spans="3:4" x14ac:dyDescent="0.35">
      <c r="C5420" s="51"/>
      <c r="D5420" s="51"/>
    </row>
    <row r="5421" spans="3:4" x14ac:dyDescent="0.35">
      <c r="C5421" s="51"/>
      <c r="D5421" s="51"/>
    </row>
    <row r="5422" spans="3:4" x14ac:dyDescent="0.35">
      <c r="C5422" s="51"/>
      <c r="D5422" s="51"/>
    </row>
    <row r="5423" spans="3:4" x14ac:dyDescent="0.35">
      <c r="C5423" s="51"/>
      <c r="D5423" s="51"/>
    </row>
    <row r="5424" spans="3:4" x14ac:dyDescent="0.35">
      <c r="C5424" s="51"/>
      <c r="D5424" s="51"/>
    </row>
    <row r="5425" spans="3:4" x14ac:dyDescent="0.35">
      <c r="C5425" s="51"/>
      <c r="D5425" s="51"/>
    </row>
    <row r="5426" spans="3:4" x14ac:dyDescent="0.35">
      <c r="C5426" s="51"/>
      <c r="D5426" s="51"/>
    </row>
    <row r="5427" spans="3:4" x14ac:dyDescent="0.35">
      <c r="C5427" s="51"/>
      <c r="D5427" s="51"/>
    </row>
    <row r="5428" spans="3:4" x14ac:dyDescent="0.35">
      <c r="C5428" s="51"/>
      <c r="D5428" s="51"/>
    </row>
    <row r="5429" spans="3:4" x14ac:dyDescent="0.35">
      <c r="C5429" s="51"/>
      <c r="D5429" s="51"/>
    </row>
    <row r="5430" spans="3:4" x14ac:dyDescent="0.35">
      <c r="C5430" s="51"/>
      <c r="D5430" s="51"/>
    </row>
    <row r="5431" spans="3:4" x14ac:dyDescent="0.35">
      <c r="C5431" s="51"/>
      <c r="D5431" s="51"/>
    </row>
    <row r="5432" spans="3:4" x14ac:dyDescent="0.35">
      <c r="C5432" s="51"/>
      <c r="D5432" s="51"/>
    </row>
    <row r="5433" spans="3:4" x14ac:dyDescent="0.35">
      <c r="C5433" s="51"/>
      <c r="D5433" s="51"/>
    </row>
    <row r="5434" spans="3:4" x14ac:dyDescent="0.35">
      <c r="C5434" s="51"/>
      <c r="D5434" s="51"/>
    </row>
    <row r="5435" spans="3:4" x14ac:dyDescent="0.35">
      <c r="C5435" s="51"/>
      <c r="D5435" s="51"/>
    </row>
    <row r="5436" spans="3:4" x14ac:dyDescent="0.35">
      <c r="C5436" s="51"/>
      <c r="D5436" s="51"/>
    </row>
    <row r="5437" spans="3:4" x14ac:dyDescent="0.35">
      <c r="C5437" s="51"/>
      <c r="D5437" s="51"/>
    </row>
    <row r="5438" spans="3:4" x14ac:dyDescent="0.35">
      <c r="C5438" s="51"/>
      <c r="D5438" s="51"/>
    </row>
    <row r="5439" spans="3:4" x14ac:dyDescent="0.35">
      <c r="C5439" s="51"/>
      <c r="D5439" s="51"/>
    </row>
    <row r="5440" spans="3:4" x14ac:dyDescent="0.35">
      <c r="C5440" s="51"/>
      <c r="D5440" s="51"/>
    </row>
    <row r="5441" spans="3:4" x14ac:dyDescent="0.35">
      <c r="C5441" s="51"/>
      <c r="D5441" s="51"/>
    </row>
    <row r="5442" spans="3:4" x14ac:dyDescent="0.35">
      <c r="C5442" s="51"/>
      <c r="D5442" s="51"/>
    </row>
    <row r="5443" spans="3:4" x14ac:dyDescent="0.35">
      <c r="C5443" s="51"/>
      <c r="D5443" s="51"/>
    </row>
    <row r="5444" spans="3:4" x14ac:dyDescent="0.35">
      <c r="C5444" s="51"/>
      <c r="D5444" s="51"/>
    </row>
    <row r="5445" spans="3:4" x14ac:dyDescent="0.35">
      <c r="C5445" s="51"/>
      <c r="D5445" s="51"/>
    </row>
    <row r="5446" spans="3:4" x14ac:dyDescent="0.35">
      <c r="C5446" s="51"/>
      <c r="D5446" s="51"/>
    </row>
    <row r="5447" spans="3:4" x14ac:dyDescent="0.35">
      <c r="C5447" s="51"/>
      <c r="D5447" s="51"/>
    </row>
    <row r="5448" spans="3:4" x14ac:dyDescent="0.35">
      <c r="C5448" s="51"/>
      <c r="D5448" s="51"/>
    </row>
    <row r="5449" spans="3:4" x14ac:dyDescent="0.35">
      <c r="C5449" s="51"/>
      <c r="D5449" s="51"/>
    </row>
    <row r="5450" spans="3:4" x14ac:dyDescent="0.35">
      <c r="C5450" s="51"/>
      <c r="D5450" s="51"/>
    </row>
    <row r="5451" spans="3:4" x14ac:dyDescent="0.35">
      <c r="C5451" s="51"/>
      <c r="D5451" s="51"/>
    </row>
    <row r="5452" spans="3:4" x14ac:dyDescent="0.35">
      <c r="C5452" s="51"/>
      <c r="D5452" s="51"/>
    </row>
    <row r="5453" spans="3:4" x14ac:dyDescent="0.35">
      <c r="C5453" s="51"/>
      <c r="D5453" s="51"/>
    </row>
    <row r="5454" spans="3:4" x14ac:dyDescent="0.35">
      <c r="C5454" s="51"/>
      <c r="D5454" s="51"/>
    </row>
    <row r="5455" spans="3:4" x14ac:dyDescent="0.35">
      <c r="C5455" s="51"/>
      <c r="D5455" s="51"/>
    </row>
    <row r="5456" spans="3:4" x14ac:dyDescent="0.35">
      <c r="C5456" s="51"/>
      <c r="D5456" s="51"/>
    </row>
    <row r="5457" spans="3:4" x14ac:dyDescent="0.35">
      <c r="C5457" s="51"/>
      <c r="D5457" s="51"/>
    </row>
    <row r="5458" spans="3:4" x14ac:dyDescent="0.35">
      <c r="C5458" s="51"/>
      <c r="D5458" s="51"/>
    </row>
    <row r="5459" spans="3:4" x14ac:dyDescent="0.35">
      <c r="C5459" s="51"/>
      <c r="D5459" s="51"/>
    </row>
    <row r="5460" spans="3:4" x14ac:dyDescent="0.35">
      <c r="C5460" s="51"/>
      <c r="D5460" s="51"/>
    </row>
    <row r="5461" spans="3:4" x14ac:dyDescent="0.35">
      <c r="C5461" s="51"/>
      <c r="D5461" s="51"/>
    </row>
    <row r="5462" spans="3:4" x14ac:dyDescent="0.35">
      <c r="C5462" s="51"/>
      <c r="D5462" s="51"/>
    </row>
    <row r="5463" spans="3:4" x14ac:dyDescent="0.35">
      <c r="C5463" s="51"/>
      <c r="D5463" s="51"/>
    </row>
    <row r="5464" spans="3:4" x14ac:dyDescent="0.35">
      <c r="C5464" s="51"/>
      <c r="D5464" s="51"/>
    </row>
    <row r="5465" spans="3:4" x14ac:dyDescent="0.35">
      <c r="C5465" s="51"/>
      <c r="D5465" s="51"/>
    </row>
    <row r="5466" spans="3:4" x14ac:dyDescent="0.35">
      <c r="C5466" s="51"/>
      <c r="D5466" s="51"/>
    </row>
    <row r="5467" spans="3:4" x14ac:dyDescent="0.35">
      <c r="C5467" s="51"/>
      <c r="D5467" s="51"/>
    </row>
    <row r="5468" spans="3:4" x14ac:dyDescent="0.35">
      <c r="C5468" s="51"/>
      <c r="D5468" s="51"/>
    </row>
    <row r="5469" spans="3:4" x14ac:dyDescent="0.35">
      <c r="C5469" s="51"/>
      <c r="D5469" s="51"/>
    </row>
    <row r="5470" spans="3:4" x14ac:dyDescent="0.35">
      <c r="C5470" s="51"/>
      <c r="D5470" s="51"/>
    </row>
    <row r="5471" spans="3:4" x14ac:dyDescent="0.35">
      <c r="C5471" s="51"/>
      <c r="D5471" s="51"/>
    </row>
    <row r="5472" spans="3:4" x14ac:dyDescent="0.35">
      <c r="C5472" s="51"/>
      <c r="D5472" s="51"/>
    </row>
    <row r="5473" spans="3:4" x14ac:dyDescent="0.35">
      <c r="C5473" s="51"/>
      <c r="D5473" s="51"/>
    </row>
    <row r="5474" spans="3:4" x14ac:dyDescent="0.35">
      <c r="C5474" s="51"/>
      <c r="D5474" s="51"/>
    </row>
    <row r="5475" spans="3:4" x14ac:dyDescent="0.35">
      <c r="C5475" s="51"/>
      <c r="D5475" s="51"/>
    </row>
    <row r="5476" spans="3:4" x14ac:dyDescent="0.35">
      <c r="C5476" s="51"/>
      <c r="D5476" s="51"/>
    </row>
    <row r="5477" spans="3:4" x14ac:dyDescent="0.35">
      <c r="C5477" s="51"/>
      <c r="D5477" s="51"/>
    </row>
    <row r="5478" spans="3:4" x14ac:dyDescent="0.35">
      <c r="C5478" s="51"/>
      <c r="D5478" s="51"/>
    </row>
    <row r="5479" spans="3:4" x14ac:dyDescent="0.35">
      <c r="C5479" s="51"/>
      <c r="D5479" s="51"/>
    </row>
    <row r="5480" spans="3:4" x14ac:dyDescent="0.35">
      <c r="C5480" s="51"/>
      <c r="D5480" s="51"/>
    </row>
    <row r="5481" spans="3:4" x14ac:dyDescent="0.35">
      <c r="C5481" s="51"/>
      <c r="D5481" s="51"/>
    </row>
    <row r="5482" spans="3:4" x14ac:dyDescent="0.35">
      <c r="C5482" s="51"/>
      <c r="D5482" s="51"/>
    </row>
    <row r="5483" spans="3:4" x14ac:dyDescent="0.35">
      <c r="C5483" s="51"/>
      <c r="D5483" s="51"/>
    </row>
    <row r="5484" spans="3:4" x14ac:dyDescent="0.35">
      <c r="C5484" s="51"/>
      <c r="D5484" s="51"/>
    </row>
    <row r="5485" spans="3:4" x14ac:dyDescent="0.35">
      <c r="C5485" s="51"/>
      <c r="D5485" s="51"/>
    </row>
    <row r="5486" spans="3:4" x14ac:dyDescent="0.35">
      <c r="C5486" s="51"/>
      <c r="D5486" s="51"/>
    </row>
    <row r="5487" spans="3:4" x14ac:dyDescent="0.35">
      <c r="C5487" s="51"/>
      <c r="D5487" s="51"/>
    </row>
    <row r="5488" spans="3:4" x14ac:dyDescent="0.35">
      <c r="C5488" s="51"/>
      <c r="D5488" s="51"/>
    </row>
    <row r="5489" spans="3:4" x14ac:dyDescent="0.35">
      <c r="C5489" s="51"/>
      <c r="D5489" s="51"/>
    </row>
    <row r="5490" spans="3:4" x14ac:dyDescent="0.35">
      <c r="C5490" s="51"/>
      <c r="D5490" s="51"/>
    </row>
    <row r="5491" spans="3:4" x14ac:dyDescent="0.35">
      <c r="C5491" s="51"/>
      <c r="D5491" s="51"/>
    </row>
    <row r="5492" spans="3:4" x14ac:dyDescent="0.35">
      <c r="C5492" s="51"/>
      <c r="D5492" s="51"/>
    </row>
    <row r="5493" spans="3:4" x14ac:dyDescent="0.35">
      <c r="C5493" s="51"/>
      <c r="D5493" s="51"/>
    </row>
    <row r="5494" spans="3:4" x14ac:dyDescent="0.35">
      <c r="C5494" s="51"/>
      <c r="D5494" s="51"/>
    </row>
    <row r="5495" spans="3:4" x14ac:dyDescent="0.35">
      <c r="C5495" s="51"/>
      <c r="D5495" s="51"/>
    </row>
    <row r="5496" spans="3:4" x14ac:dyDescent="0.35">
      <c r="C5496" s="51"/>
      <c r="D5496" s="51"/>
    </row>
    <row r="5497" spans="3:4" x14ac:dyDescent="0.35">
      <c r="C5497" s="51"/>
      <c r="D5497" s="51"/>
    </row>
    <row r="5498" spans="3:4" x14ac:dyDescent="0.35">
      <c r="C5498" s="51"/>
      <c r="D5498" s="51"/>
    </row>
    <row r="5499" spans="3:4" x14ac:dyDescent="0.35">
      <c r="C5499" s="51"/>
      <c r="D5499" s="51"/>
    </row>
    <row r="5500" spans="3:4" x14ac:dyDescent="0.35">
      <c r="C5500" s="51"/>
      <c r="D5500" s="51"/>
    </row>
    <row r="5501" spans="3:4" x14ac:dyDescent="0.35">
      <c r="C5501" s="51"/>
      <c r="D5501" s="51"/>
    </row>
    <row r="5502" spans="3:4" x14ac:dyDescent="0.35">
      <c r="C5502" s="51"/>
      <c r="D5502" s="51"/>
    </row>
    <row r="5503" spans="3:4" x14ac:dyDescent="0.35">
      <c r="C5503" s="51"/>
      <c r="D5503" s="51"/>
    </row>
    <row r="5504" spans="3:4" x14ac:dyDescent="0.35">
      <c r="C5504" s="51"/>
      <c r="D5504" s="51"/>
    </row>
    <row r="5505" spans="3:4" x14ac:dyDescent="0.35">
      <c r="C5505" s="51"/>
      <c r="D5505" s="51"/>
    </row>
    <row r="5506" spans="3:4" x14ac:dyDescent="0.35">
      <c r="C5506" s="51"/>
      <c r="D5506" s="51"/>
    </row>
    <row r="5507" spans="3:4" x14ac:dyDescent="0.35">
      <c r="C5507" s="51"/>
      <c r="D5507" s="51"/>
    </row>
    <row r="5508" spans="3:4" x14ac:dyDescent="0.35">
      <c r="C5508" s="51"/>
      <c r="D5508" s="51"/>
    </row>
    <row r="5509" spans="3:4" x14ac:dyDescent="0.35">
      <c r="C5509" s="51"/>
      <c r="D5509" s="51"/>
    </row>
    <row r="5510" spans="3:4" x14ac:dyDescent="0.35">
      <c r="C5510" s="51"/>
      <c r="D5510" s="51"/>
    </row>
    <row r="5511" spans="3:4" x14ac:dyDescent="0.35">
      <c r="C5511" s="51"/>
      <c r="D5511" s="51"/>
    </row>
    <row r="5512" spans="3:4" x14ac:dyDescent="0.35">
      <c r="C5512" s="51"/>
      <c r="D5512" s="51"/>
    </row>
    <row r="5513" spans="3:4" x14ac:dyDescent="0.35">
      <c r="C5513" s="51"/>
      <c r="D5513" s="51"/>
    </row>
    <row r="5514" spans="3:4" x14ac:dyDescent="0.35">
      <c r="C5514" s="51"/>
      <c r="D5514" s="51"/>
    </row>
    <row r="5515" spans="3:4" x14ac:dyDescent="0.35">
      <c r="C5515" s="51"/>
      <c r="D5515" s="51"/>
    </row>
    <row r="5516" spans="3:4" x14ac:dyDescent="0.35">
      <c r="C5516" s="51"/>
      <c r="D5516" s="51"/>
    </row>
    <row r="5517" spans="3:4" x14ac:dyDescent="0.35">
      <c r="C5517" s="51"/>
      <c r="D5517" s="51"/>
    </row>
    <row r="5518" spans="3:4" x14ac:dyDescent="0.35">
      <c r="C5518" s="51"/>
      <c r="D5518" s="51"/>
    </row>
    <row r="5519" spans="3:4" x14ac:dyDescent="0.35">
      <c r="C5519" s="51"/>
      <c r="D5519" s="51"/>
    </row>
    <row r="5520" spans="3:4" x14ac:dyDescent="0.35">
      <c r="C5520" s="51"/>
      <c r="D5520" s="51"/>
    </row>
    <row r="5521" spans="3:4" x14ac:dyDescent="0.35">
      <c r="C5521" s="51"/>
      <c r="D5521" s="51"/>
    </row>
    <row r="5522" spans="3:4" x14ac:dyDescent="0.35">
      <c r="C5522" s="51"/>
      <c r="D5522" s="51"/>
    </row>
    <row r="5523" spans="3:4" x14ac:dyDescent="0.35">
      <c r="C5523" s="51"/>
      <c r="D5523" s="51"/>
    </row>
    <row r="5524" spans="3:4" x14ac:dyDescent="0.35">
      <c r="C5524" s="51"/>
      <c r="D5524" s="51"/>
    </row>
    <row r="5525" spans="3:4" x14ac:dyDescent="0.35">
      <c r="C5525" s="51"/>
      <c r="D5525" s="51"/>
    </row>
    <row r="5526" spans="3:4" x14ac:dyDescent="0.35">
      <c r="C5526" s="51"/>
      <c r="D5526" s="51"/>
    </row>
    <row r="5527" spans="3:4" x14ac:dyDescent="0.35">
      <c r="C5527" s="51"/>
      <c r="D5527" s="51"/>
    </row>
    <row r="5528" spans="3:4" x14ac:dyDescent="0.35">
      <c r="C5528" s="51"/>
      <c r="D5528" s="51"/>
    </row>
    <row r="5529" spans="3:4" x14ac:dyDescent="0.35">
      <c r="C5529" s="51"/>
      <c r="D5529" s="51"/>
    </row>
    <row r="5530" spans="3:4" x14ac:dyDescent="0.35">
      <c r="C5530" s="51"/>
      <c r="D5530" s="51"/>
    </row>
    <row r="5531" spans="3:4" x14ac:dyDescent="0.35">
      <c r="C5531" s="51"/>
      <c r="D5531" s="51"/>
    </row>
    <row r="5532" spans="3:4" x14ac:dyDescent="0.35">
      <c r="C5532" s="51"/>
      <c r="D5532" s="51"/>
    </row>
    <row r="5533" spans="3:4" x14ac:dyDescent="0.35">
      <c r="C5533" s="51"/>
      <c r="D5533" s="51"/>
    </row>
    <row r="5534" spans="3:4" x14ac:dyDescent="0.35">
      <c r="C5534" s="51"/>
      <c r="D5534" s="51"/>
    </row>
    <row r="5535" spans="3:4" x14ac:dyDescent="0.35">
      <c r="C5535" s="51"/>
      <c r="D5535" s="51"/>
    </row>
    <row r="5536" spans="3:4" x14ac:dyDescent="0.35">
      <c r="C5536" s="51"/>
      <c r="D5536" s="51"/>
    </row>
    <row r="5537" spans="3:4" x14ac:dyDescent="0.35">
      <c r="C5537" s="51"/>
      <c r="D5537" s="51"/>
    </row>
    <row r="5538" spans="3:4" x14ac:dyDescent="0.35">
      <c r="C5538" s="51"/>
      <c r="D5538" s="51"/>
    </row>
    <row r="5539" spans="3:4" x14ac:dyDescent="0.35">
      <c r="C5539" s="51"/>
      <c r="D5539" s="51"/>
    </row>
    <row r="5540" spans="3:4" x14ac:dyDescent="0.35">
      <c r="C5540" s="51"/>
      <c r="D5540" s="51"/>
    </row>
    <row r="5541" spans="3:4" x14ac:dyDescent="0.35">
      <c r="C5541" s="51"/>
      <c r="D5541" s="51"/>
    </row>
    <row r="5542" spans="3:4" x14ac:dyDescent="0.35">
      <c r="C5542" s="51"/>
      <c r="D5542" s="51"/>
    </row>
    <row r="5543" spans="3:4" x14ac:dyDescent="0.35">
      <c r="C5543" s="51"/>
      <c r="D5543" s="51"/>
    </row>
    <row r="5544" spans="3:4" x14ac:dyDescent="0.35">
      <c r="C5544" s="51"/>
      <c r="D5544" s="51"/>
    </row>
    <row r="5545" spans="3:4" x14ac:dyDescent="0.35">
      <c r="C5545" s="51"/>
      <c r="D5545" s="51"/>
    </row>
    <row r="5546" spans="3:4" x14ac:dyDescent="0.35">
      <c r="C5546" s="51"/>
      <c r="D5546" s="51"/>
    </row>
    <row r="5547" spans="3:4" x14ac:dyDescent="0.35">
      <c r="C5547" s="51"/>
      <c r="D5547" s="51"/>
    </row>
    <row r="5548" spans="3:4" x14ac:dyDescent="0.35">
      <c r="C5548" s="51"/>
      <c r="D5548" s="51"/>
    </row>
    <row r="5549" spans="3:4" x14ac:dyDescent="0.35">
      <c r="C5549" s="51"/>
      <c r="D5549" s="51"/>
    </row>
    <row r="5550" spans="3:4" x14ac:dyDescent="0.35">
      <c r="C5550" s="51"/>
      <c r="D5550" s="51"/>
    </row>
    <row r="5551" spans="3:4" x14ac:dyDescent="0.35">
      <c r="C5551" s="51"/>
      <c r="D5551" s="51"/>
    </row>
    <row r="5552" spans="3:4" x14ac:dyDescent="0.35">
      <c r="C5552" s="51"/>
      <c r="D5552" s="51"/>
    </row>
    <row r="5553" spans="3:4" x14ac:dyDescent="0.35">
      <c r="C5553" s="51"/>
      <c r="D5553" s="51"/>
    </row>
    <row r="5554" spans="3:4" x14ac:dyDescent="0.35">
      <c r="C5554" s="51"/>
      <c r="D5554" s="51"/>
    </row>
    <row r="5555" spans="3:4" x14ac:dyDescent="0.35">
      <c r="C5555" s="51"/>
      <c r="D5555" s="51"/>
    </row>
    <row r="5556" spans="3:4" x14ac:dyDescent="0.35">
      <c r="C5556" s="51"/>
      <c r="D5556" s="51"/>
    </row>
    <row r="5557" spans="3:4" x14ac:dyDescent="0.35">
      <c r="C5557" s="51"/>
      <c r="D5557" s="51"/>
    </row>
    <row r="5558" spans="3:4" x14ac:dyDescent="0.35">
      <c r="C5558" s="51"/>
      <c r="D5558" s="51"/>
    </row>
    <row r="5559" spans="3:4" x14ac:dyDescent="0.35">
      <c r="C5559" s="51"/>
      <c r="D5559" s="51"/>
    </row>
    <row r="5560" spans="3:4" x14ac:dyDescent="0.35">
      <c r="C5560" s="51"/>
      <c r="D5560" s="51"/>
    </row>
    <row r="5561" spans="3:4" x14ac:dyDescent="0.35">
      <c r="C5561" s="51"/>
      <c r="D5561" s="51"/>
    </row>
    <row r="5562" spans="3:4" x14ac:dyDescent="0.35">
      <c r="C5562" s="51"/>
      <c r="D5562" s="51"/>
    </row>
    <row r="5563" spans="3:4" x14ac:dyDescent="0.35">
      <c r="C5563" s="51"/>
      <c r="D5563" s="51"/>
    </row>
    <row r="5564" spans="3:4" x14ac:dyDescent="0.35">
      <c r="C5564" s="51"/>
      <c r="D5564" s="51"/>
    </row>
    <row r="5565" spans="3:4" x14ac:dyDescent="0.35">
      <c r="C5565" s="51"/>
      <c r="D5565" s="51"/>
    </row>
    <row r="5566" spans="3:4" x14ac:dyDescent="0.35">
      <c r="C5566" s="51"/>
      <c r="D5566" s="51"/>
    </row>
    <row r="5567" spans="3:4" x14ac:dyDescent="0.35">
      <c r="C5567" s="51"/>
      <c r="D5567" s="51"/>
    </row>
    <row r="5568" spans="3:4" x14ac:dyDescent="0.35">
      <c r="C5568" s="51"/>
      <c r="D5568" s="51"/>
    </row>
    <row r="5569" spans="3:4" x14ac:dyDescent="0.35">
      <c r="C5569" s="51"/>
      <c r="D5569" s="51"/>
    </row>
    <row r="5570" spans="3:4" x14ac:dyDescent="0.35">
      <c r="C5570" s="51"/>
      <c r="D5570" s="51"/>
    </row>
    <row r="5571" spans="3:4" x14ac:dyDescent="0.35">
      <c r="C5571" s="51"/>
      <c r="D5571" s="51"/>
    </row>
    <row r="5572" spans="3:4" x14ac:dyDescent="0.35">
      <c r="C5572" s="51"/>
      <c r="D5572" s="51"/>
    </row>
    <row r="5573" spans="3:4" x14ac:dyDescent="0.35">
      <c r="C5573" s="51"/>
      <c r="D5573" s="51"/>
    </row>
    <row r="5574" spans="3:4" x14ac:dyDescent="0.35">
      <c r="C5574" s="51"/>
      <c r="D5574" s="51"/>
    </row>
    <row r="5575" spans="3:4" x14ac:dyDescent="0.35">
      <c r="C5575" s="51"/>
      <c r="D5575" s="51"/>
    </row>
    <row r="5576" spans="3:4" x14ac:dyDescent="0.35">
      <c r="C5576" s="51"/>
      <c r="D5576" s="51"/>
    </row>
    <row r="5577" spans="3:4" x14ac:dyDescent="0.35">
      <c r="C5577" s="51"/>
      <c r="D5577" s="51"/>
    </row>
    <row r="5578" spans="3:4" x14ac:dyDescent="0.35">
      <c r="C5578" s="51"/>
      <c r="D5578" s="51"/>
    </row>
    <row r="5579" spans="3:4" x14ac:dyDescent="0.35">
      <c r="C5579" s="51"/>
      <c r="D5579" s="51"/>
    </row>
    <row r="5580" spans="3:4" x14ac:dyDescent="0.35">
      <c r="C5580" s="51"/>
      <c r="D5580" s="51"/>
    </row>
    <row r="5581" spans="3:4" x14ac:dyDescent="0.35">
      <c r="C5581" s="51"/>
      <c r="D5581" s="51"/>
    </row>
    <row r="5582" spans="3:4" x14ac:dyDescent="0.35">
      <c r="C5582" s="51"/>
      <c r="D5582" s="51"/>
    </row>
    <row r="5583" spans="3:4" x14ac:dyDescent="0.35">
      <c r="C5583" s="51"/>
      <c r="D5583" s="51"/>
    </row>
    <row r="5584" spans="3:4" x14ac:dyDescent="0.35">
      <c r="C5584" s="51"/>
      <c r="D5584" s="51"/>
    </row>
    <row r="5585" spans="3:4" x14ac:dyDescent="0.35">
      <c r="C5585" s="51"/>
      <c r="D5585" s="51"/>
    </row>
    <row r="5586" spans="3:4" x14ac:dyDescent="0.35">
      <c r="C5586" s="51"/>
      <c r="D5586" s="51"/>
    </row>
    <row r="5587" spans="3:4" x14ac:dyDescent="0.35">
      <c r="C5587" s="51"/>
      <c r="D5587" s="51"/>
    </row>
    <row r="5588" spans="3:4" x14ac:dyDescent="0.35">
      <c r="C5588" s="51"/>
      <c r="D5588" s="51"/>
    </row>
    <row r="5589" spans="3:4" x14ac:dyDescent="0.35">
      <c r="C5589" s="51"/>
      <c r="D5589" s="51"/>
    </row>
    <row r="5590" spans="3:4" x14ac:dyDescent="0.35">
      <c r="C5590" s="51"/>
      <c r="D5590" s="51"/>
    </row>
    <row r="5591" spans="3:4" x14ac:dyDescent="0.35">
      <c r="C5591" s="51"/>
      <c r="D5591" s="51"/>
    </row>
    <row r="5592" spans="3:4" x14ac:dyDescent="0.35">
      <c r="C5592" s="51"/>
      <c r="D5592" s="51"/>
    </row>
    <row r="5593" spans="3:4" x14ac:dyDescent="0.35">
      <c r="C5593" s="51"/>
      <c r="D5593" s="51"/>
    </row>
    <row r="5594" spans="3:4" x14ac:dyDescent="0.35">
      <c r="C5594" s="51"/>
      <c r="D5594" s="51"/>
    </row>
    <row r="5595" spans="3:4" x14ac:dyDescent="0.35">
      <c r="C5595" s="51"/>
      <c r="D5595" s="51"/>
    </row>
    <row r="5596" spans="3:4" x14ac:dyDescent="0.35">
      <c r="C5596" s="51"/>
      <c r="D5596" s="51"/>
    </row>
    <row r="5597" spans="3:4" x14ac:dyDescent="0.35">
      <c r="C5597" s="51"/>
      <c r="D5597" s="51"/>
    </row>
    <row r="5598" spans="3:4" x14ac:dyDescent="0.35">
      <c r="C5598" s="51"/>
      <c r="D5598" s="51"/>
    </row>
    <row r="5599" spans="3:4" x14ac:dyDescent="0.35">
      <c r="C5599" s="51"/>
      <c r="D5599" s="51"/>
    </row>
    <row r="5600" spans="3:4" x14ac:dyDescent="0.35">
      <c r="C5600" s="51"/>
      <c r="D5600" s="51"/>
    </row>
    <row r="5601" spans="3:4" x14ac:dyDescent="0.35">
      <c r="C5601" s="51"/>
      <c r="D5601" s="51"/>
    </row>
    <row r="5602" spans="3:4" x14ac:dyDescent="0.35">
      <c r="C5602" s="51"/>
      <c r="D5602" s="51"/>
    </row>
    <row r="5603" spans="3:4" x14ac:dyDescent="0.35">
      <c r="C5603" s="51"/>
      <c r="D5603" s="51"/>
    </row>
    <row r="5604" spans="3:4" x14ac:dyDescent="0.35">
      <c r="C5604" s="51"/>
      <c r="D5604" s="51"/>
    </row>
    <row r="5605" spans="3:4" x14ac:dyDescent="0.35">
      <c r="C5605" s="51"/>
      <c r="D5605" s="51"/>
    </row>
    <row r="5606" spans="3:4" x14ac:dyDescent="0.35">
      <c r="C5606" s="51"/>
      <c r="D5606" s="51"/>
    </row>
    <row r="5607" spans="3:4" x14ac:dyDescent="0.35">
      <c r="C5607" s="51"/>
      <c r="D5607" s="51"/>
    </row>
    <row r="5608" spans="3:4" x14ac:dyDescent="0.35">
      <c r="C5608" s="51"/>
      <c r="D5608" s="51"/>
    </row>
    <row r="5609" spans="3:4" x14ac:dyDescent="0.35">
      <c r="C5609" s="51"/>
      <c r="D5609" s="51"/>
    </row>
    <row r="5610" spans="3:4" x14ac:dyDescent="0.35">
      <c r="C5610" s="51"/>
      <c r="D5610" s="51"/>
    </row>
    <row r="5611" spans="3:4" x14ac:dyDescent="0.35">
      <c r="C5611" s="51"/>
      <c r="D5611" s="51"/>
    </row>
    <row r="5612" spans="3:4" x14ac:dyDescent="0.35">
      <c r="C5612" s="51"/>
      <c r="D5612" s="51"/>
    </row>
    <row r="5613" spans="3:4" x14ac:dyDescent="0.35">
      <c r="C5613" s="51"/>
      <c r="D5613" s="51"/>
    </row>
    <row r="5614" spans="3:4" x14ac:dyDescent="0.35">
      <c r="C5614" s="51"/>
      <c r="D5614" s="51"/>
    </row>
    <row r="5615" spans="3:4" x14ac:dyDescent="0.35">
      <c r="C5615" s="51"/>
      <c r="D5615" s="51"/>
    </row>
    <row r="5616" spans="3:4" x14ac:dyDescent="0.35">
      <c r="C5616" s="51"/>
      <c r="D5616" s="51"/>
    </row>
    <row r="5617" spans="3:4" x14ac:dyDescent="0.35">
      <c r="C5617" s="51"/>
      <c r="D5617" s="51"/>
    </row>
    <row r="5618" spans="3:4" x14ac:dyDescent="0.35">
      <c r="C5618" s="51"/>
      <c r="D5618" s="51"/>
    </row>
    <row r="5619" spans="3:4" x14ac:dyDescent="0.35">
      <c r="C5619" s="51"/>
      <c r="D5619" s="51"/>
    </row>
    <row r="5620" spans="3:4" x14ac:dyDescent="0.35">
      <c r="C5620" s="51"/>
      <c r="D5620" s="51"/>
    </row>
    <row r="5621" spans="3:4" x14ac:dyDescent="0.35">
      <c r="C5621" s="51"/>
      <c r="D5621" s="51"/>
    </row>
    <row r="5622" spans="3:4" x14ac:dyDescent="0.35">
      <c r="C5622" s="51"/>
      <c r="D5622" s="51"/>
    </row>
    <row r="5623" spans="3:4" x14ac:dyDescent="0.35">
      <c r="C5623" s="51"/>
      <c r="D5623" s="51"/>
    </row>
    <row r="5624" spans="3:4" x14ac:dyDescent="0.35">
      <c r="C5624" s="51"/>
      <c r="D5624" s="51"/>
    </row>
    <row r="5625" spans="3:4" x14ac:dyDescent="0.35">
      <c r="C5625" s="51"/>
      <c r="D5625" s="51"/>
    </row>
    <row r="5626" spans="3:4" x14ac:dyDescent="0.35">
      <c r="C5626" s="51"/>
      <c r="D5626" s="51"/>
    </row>
    <row r="5627" spans="3:4" x14ac:dyDescent="0.35">
      <c r="C5627" s="51"/>
      <c r="D5627" s="51"/>
    </row>
    <row r="5628" spans="3:4" x14ac:dyDescent="0.35">
      <c r="C5628" s="51"/>
      <c r="D5628" s="51"/>
    </row>
    <row r="5629" spans="3:4" x14ac:dyDescent="0.35">
      <c r="C5629" s="51"/>
      <c r="D5629" s="51"/>
    </row>
    <row r="5630" spans="3:4" x14ac:dyDescent="0.35">
      <c r="C5630" s="51"/>
      <c r="D5630" s="51"/>
    </row>
    <row r="5631" spans="3:4" x14ac:dyDescent="0.35">
      <c r="C5631" s="51"/>
      <c r="D5631" s="51"/>
    </row>
    <row r="5632" spans="3:4" x14ac:dyDescent="0.35">
      <c r="C5632" s="51"/>
      <c r="D5632" s="51"/>
    </row>
    <row r="5633" spans="3:4" x14ac:dyDescent="0.35">
      <c r="C5633" s="51"/>
      <c r="D5633" s="51"/>
    </row>
    <row r="5634" spans="3:4" x14ac:dyDescent="0.35">
      <c r="C5634" s="51"/>
      <c r="D5634" s="51"/>
    </row>
    <row r="5635" spans="3:4" x14ac:dyDescent="0.35">
      <c r="C5635" s="51"/>
      <c r="D5635" s="51"/>
    </row>
    <row r="5636" spans="3:4" x14ac:dyDescent="0.35">
      <c r="C5636" s="51"/>
      <c r="D5636" s="51"/>
    </row>
    <row r="5637" spans="3:4" x14ac:dyDescent="0.35">
      <c r="C5637" s="51"/>
      <c r="D5637" s="51"/>
    </row>
    <row r="5638" spans="3:4" x14ac:dyDescent="0.35">
      <c r="C5638" s="51"/>
      <c r="D5638" s="51"/>
    </row>
    <row r="5639" spans="3:4" x14ac:dyDescent="0.35">
      <c r="C5639" s="51"/>
      <c r="D5639" s="51"/>
    </row>
    <row r="5640" spans="3:4" x14ac:dyDescent="0.35">
      <c r="C5640" s="51"/>
      <c r="D5640" s="51"/>
    </row>
    <row r="5641" spans="3:4" x14ac:dyDescent="0.35">
      <c r="C5641" s="51"/>
      <c r="D5641" s="51"/>
    </row>
    <row r="5642" spans="3:4" x14ac:dyDescent="0.35">
      <c r="C5642" s="51"/>
      <c r="D5642" s="51"/>
    </row>
    <row r="5643" spans="3:4" x14ac:dyDescent="0.35">
      <c r="C5643" s="51"/>
      <c r="D5643" s="51"/>
    </row>
    <row r="5644" spans="3:4" x14ac:dyDescent="0.35">
      <c r="C5644" s="51"/>
      <c r="D5644" s="51"/>
    </row>
    <row r="5645" spans="3:4" x14ac:dyDescent="0.35">
      <c r="C5645" s="51"/>
      <c r="D5645" s="51"/>
    </row>
    <row r="5646" spans="3:4" x14ac:dyDescent="0.35">
      <c r="C5646" s="51"/>
      <c r="D5646" s="51"/>
    </row>
    <row r="5647" spans="3:4" x14ac:dyDescent="0.35">
      <c r="C5647" s="51"/>
      <c r="D5647" s="51"/>
    </row>
    <row r="5648" spans="3:4" x14ac:dyDescent="0.35">
      <c r="C5648" s="51"/>
      <c r="D5648" s="51"/>
    </row>
    <row r="5649" spans="3:4" x14ac:dyDescent="0.35">
      <c r="C5649" s="51"/>
      <c r="D5649" s="51"/>
    </row>
    <row r="5650" spans="3:4" x14ac:dyDescent="0.35">
      <c r="C5650" s="51"/>
      <c r="D5650" s="51"/>
    </row>
    <row r="5651" spans="3:4" x14ac:dyDescent="0.35">
      <c r="C5651" s="51"/>
      <c r="D5651" s="51"/>
    </row>
    <row r="5652" spans="3:4" x14ac:dyDescent="0.35">
      <c r="C5652" s="51"/>
      <c r="D5652" s="51"/>
    </row>
    <row r="5653" spans="3:4" x14ac:dyDescent="0.35">
      <c r="C5653" s="51"/>
      <c r="D5653" s="51"/>
    </row>
    <row r="5654" spans="3:4" x14ac:dyDescent="0.35">
      <c r="C5654" s="51"/>
      <c r="D5654" s="51"/>
    </row>
    <row r="5655" spans="3:4" x14ac:dyDescent="0.35">
      <c r="C5655" s="51"/>
      <c r="D5655" s="51"/>
    </row>
    <row r="5656" spans="3:4" x14ac:dyDescent="0.35">
      <c r="C5656" s="51"/>
      <c r="D5656" s="51"/>
    </row>
    <row r="5657" spans="3:4" x14ac:dyDescent="0.35">
      <c r="C5657" s="51"/>
      <c r="D5657" s="51"/>
    </row>
    <row r="5658" spans="3:4" x14ac:dyDescent="0.35">
      <c r="C5658" s="51"/>
      <c r="D5658" s="51"/>
    </row>
    <row r="5659" spans="3:4" x14ac:dyDescent="0.35">
      <c r="C5659" s="51"/>
      <c r="D5659" s="51"/>
    </row>
    <row r="5660" spans="3:4" x14ac:dyDescent="0.35">
      <c r="C5660" s="51"/>
      <c r="D5660" s="51"/>
    </row>
    <row r="5661" spans="3:4" x14ac:dyDescent="0.35">
      <c r="C5661" s="51"/>
      <c r="D5661" s="51"/>
    </row>
    <row r="5662" spans="3:4" x14ac:dyDescent="0.35">
      <c r="C5662" s="51"/>
      <c r="D5662" s="51"/>
    </row>
    <row r="5663" spans="3:4" x14ac:dyDescent="0.35">
      <c r="C5663" s="51"/>
      <c r="D5663" s="51"/>
    </row>
    <row r="5664" spans="3:4" x14ac:dyDescent="0.35">
      <c r="C5664" s="51"/>
      <c r="D5664" s="51"/>
    </row>
    <row r="5665" spans="3:4" x14ac:dyDescent="0.35">
      <c r="C5665" s="51"/>
      <c r="D5665" s="51"/>
    </row>
    <row r="5666" spans="3:4" x14ac:dyDescent="0.35">
      <c r="C5666" s="51"/>
      <c r="D5666" s="51"/>
    </row>
    <row r="5667" spans="3:4" x14ac:dyDescent="0.35">
      <c r="C5667" s="51"/>
      <c r="D5667" s="51"/>
    </row>
    <row r="5668" spans="3:4" x14ac:dyDescent="0.35">
      <c r="C5668" s="51"/>
      <c r="D5668" s="51"/>
    </row>
    <row r="5669" spans="3:4" x14ac:dyDescent="0.35">
      <c r="C5669" s="51"/>
      <c r="D5669" s="51"/>
    </row>
    <row r="5670" spans="3:4" x14ac:dyDescent="0.35">
      <c r="C5670" s="51"/>
      <c r="D5670" s="51"/>
    </row>
    <row r="5671" spans="3:4" x14ac:dyDescent="0.35">
      <c r="C5671" s="51"/>
      <c r="D5671" s="51"/>
    </row>
    <row r="5672" spans="3:4" x14ac:dyDescent="0.35">
      <c r="C5672" s="51"/>
      <c r="D5672" s="51"/>
    </row>
    <row r="5673" spans="3:4" x14ac:dyDescent="0.35">
      <c r="C5673" s="51"/>
      <c r="D5673" s="51"/>
    </row>
    <row r="5674" spans="3:4" x14ac:dyDescent="0.35">
      <c r="C5674" s="51"/>
      <c r="D5674" s="51"/>
    </row>
    <row r="5675" spans="3:4" x14ac:dyDescent="0.35">
      <c r="C5675" s="51"/>
      <c r="D5675" s="51"/>
    </row>
    <row r="5676" spans="3:4" x14ac:dyDescent="0.35">
      <c r="C5676" s="51"/>
      <c r="D5676" s="51"/>
    </row>
    <row r="5677" spans="3:4" x14ac:dyDescent="0.35">
      <c r="C5677" s="51"/>
      <c r="D5677" s="51"/>
    </row>
    <row r="5678" spans="3:4" x14ac:dyDescent="0.35">
      <c r="C5678" s="51"/>
      <c r="D5678" s="51"/>
    </row>
    <row r="5679" spans="3:4" x14ac:dyDescent="0.35">
      <c r="C5679" s="51"/>
      <c r="D5679" s="51"/>
    </row>
    <row r="5680" spans="3:4" x14ac:dyDescent="0.35">
      <c r="C5680" s="51"/>
      <c r="D5680" s="51"/>
    </row>
    <row r="5681" spans="3:4" x14ac:dyDescent="0.35">
      <c r="C5681" s="51"/>
      <c r="D5681" s="51"/>
    </row>
    <row r="5682" spans="3:4" x14ac:dyDescent="0.35">
      <c r="C5682" s="51"/>
      <c r="D5682" s="51"/>
    </row>
    <row r="5683" spans="3:4" x14ac:dyDescent="0.35">
      <c r="C5683" s="51"/>
      <c r="D5683" s="51"/>
    </row>
    <row r="5684" spans="3:4" x14ac:dyDescent="0.35">
      <c r="C5684" s="51"/>
      <c r="D5684" s="51"/>
    </row>
    <row r="5685" spans="3:4" x14ac:dyDescent="0.35">
      <c r="C5685" s="51"/>
      <c r="D5685" s="51"/>
    </row>
    <row r="5686" spans="3:4" x14ac:dyDescent="0.35">
      <c r="C5686" s="51"/>
      <c r="D5686" s="51"/>
    </row>
    <row r="5687" spans="3:4" x14ac:dyDescent="0.35">
      <c r="C5687" s="51"/>
      <c r="D5687" s="51"/>
    </row>
    <row r="5688" spans="3:4" x14ac:dyDescent="0.35">
      <c r="C5688" s="51"/>
      <c r="D5688" s="51"/>
    </row>
    <row r="5689" spans="3:4" x14ac:dyDescent="0.35">
      <c r="C5689" s="51"/>
      <c r="D5689" s="51"/>
    </row>
    <row r="5690" spans="3:4" x14ac:dyDescent="0.35">
      <c r="C5690" s="51"/>
      <c r="D5690" s="51"/>
    </row>
    <row r="5691" spans="3:4" x14ac:dyDescent="0.35">
      <c r="C5691" s="51"/>
      <c r="D5691" s="51"/>
    </row>
    <row r="5692" spans="3:4" x14ac:dyDescent="0.35">
      <c r="C5692" s="51"/>
      <c r="D5692" s="51"/>
    </row>
    <row r="5693" spans="3:4" x14ac:dyDescent="0.35">
      <c r="C5693" s="51"/>
      <c r="D5693" s="51"/>
    </row>
    <row r="5694" spans="3:4" x14ac:dyDescent="0.35">
      <c r="C5694" s="51"/>
      <c r="D5694" s="51"/>
    </row>
    <row r="5695" spans="3:4" x14ac:dyDescent="0.35">
      <c r="C5695" s="51"/>
      <c r="D5695" s="51"/>
    </row>
    <row r="5696" spans="3:4" x14ac:dyDescent="0.35">
      <c r="C5696" s="51"/>
      <c r="D5696" s="51"/>
    </row>
    <row r="5697" spans="3:4" x14ac:dyDescent="0.35">
      <c r="C5697" s="51"/>
      <c r="D5697" s="51"/>
    </row>
    <row r="5698" spans="3:4" x14ac:dyDescent="0.35">
      <c r="C5698" s="51"/>
      <c r="D5698" s="51"/>
    </row>
    <row r="5699" spans="3:4" x14ac:dyDescent="0.35">
      <c r="C5699" s="51"/>
      <c r="D5699" s="51"/>
    </row>
    <row r="5700" spans="3:4" x14ac:dyDescent="0.35">
      <c r="C5700" s="51"/>
      <c r="D5700" s="51"/>
    </row>
    <row r="5701" spans="3:4" x14ac:dyDescent="0.35">
      <c r="C5701" s="51"/>
      <c r="D5701" s="51"/>
    </row>
    <row r="5702" spans="3:4" x14ac:dyDescent="0.35">
      <c r="C5702" s="51"/>
      <c r="D5702" s="51"/>
    </row>
    <row r="5703" spans="3:4" x14ac:dyDescent="0.35">
      <c r="C5703" s="51"/>
      <c r="D5703" s="51"/>
    </row>
    <row r="5704" spans="3:4" x14ac:dyDescent="0.35">
      <c r="C5704" s="51"/>
      <c r="D5704" s="51"/>
    </row>
    <row r="5705" spans="3:4" x14ac:dyDescent="0.35">
      <c r="C5705" s="51"/>
      <c r="D5705" s="51"/>
    </row>
    <row r="5706" spans="3:4" x14ac:dyDescent="0.35">
      <c r="C5706" s="51"/>
      <c r="D5706" s="51"/>
    </row>
    <row r="5707" spans="3:4" x14ac:dyDescent="0.35">
      <c r="C5707" s="51"/>
      <c r="D5707" s="51"/>
    </row>
    <row r="5708" spans="3:4" x14ac:dyDescent="0.35">
      <c r="C5708" s="51"/>
      <c r="D5708" s="51"/>
    </row>
    <row r="5709" spans="3:4" x14ac:dyDescent="0.35">
      <c r="C5709" s="51"/>
      <c r="D5709" s="51"/>
    </row>
    <row r="5710" spans="3:4" x14ac:dyDescent="0.35">
      <c r="C5710" s="51"/>
      <c r="D5710" s="51"/>
    </row>
    <row r="5711" spans="3:4" x14ac:dyDescent="0.35">
      <c r="C5711" s="51"/>
      <c r="D5711" s="51"/>
    </row>
    <row r="5712" spans="3:4" x14ac:dyDescent="0.35">
      <c r="C5712" s="51"/>
      <c r="D5712" s="51"/>
    </row>
    <row r="5713" spans="3:4" x14ac:dyDescent="0.35">
      <c r="C5713" s="51"/>
      <c r="D5713" s="51"/>
    </row>
    <row r="5714" spans="3:4" x14ac:dyDescent="0.35">
      <c r="C5714" s="51"/>
      <c r="D5714" s="51"/>
    </row>
    <row r="5715" spans="3:4" x14ac:dyDescent="0.35">
      <c r="C5715" s="51"/>
      <c r="D5715" s="51"/>
    </row>
    <row r="5716" spans="3:4" x14ac:dyDescent="0.35">
      <c r="C5716" s="51"/>
      <c r="D5716" s="51"/>
    </row>
    <row r="5717" spans="3:4" x14ac:dyDescent="0.35">
      <c r="C5717" s="51"/>
      <c r="D5717" s="51"/>
    </row>
    <row r="5718" spans="3:4" x14ac:dyDescent="0.35">
      <c r="C5718" s="51"/>
      <c r="D5718" s="51"/>
    </row>
    <row r="5719" spans="3:4" x14ac:dyDescent="0.35">
      <c r="C5719" s="51"/>
      <c r="D5719" s="51"/>
    </row>
    <row r="5720" spans="3:4" x14ac:dyDescent="0.35">
      <c r="C5720" s="51"/>
      <c r="D5720" s="51"/>
    </row>
    <row r="5721" spans="3:4" x14ac:dyDescent="0.35">
      <c r="C5721" s="51"/>
      <c r="D5721" s="51"/>
    </row>
    <row r="5722" spans="3:4" x14ac:dyDescent="0.35">
      <c r="C5722" s="51"/>
      <c r="D5722" s="51"/>
    </row>
    <row r="5723" spans="3:4" x14ac:dyDescent="0.35">
      <c r="C5723" s="51"/>
      <c r="D5723" s="51"/>
    </row>
    <row r="5724" spans="3:4" x14ac:dyDescent="0.35">
      <c r="C5724" s="51"/>
      <c r="D5724" s="51"/>
    </row>
    <row r="5725" spans="3:4" x14ac:dyDescent="0.35">
      <c r="C5725" s="51"/>
      <c r="D5725" s="51"/>
    </row>
    <row r="5726" spans="3:4" x14ac:dyDescent="0.35">
      <c r="C5726" s="51"/>
      <c r="D5726" s="51"/>
    </row>
    <row r="5727" spans="3:4" x14ac:dyDescent="0.35">
      <c r="C5727" s="51"/>
      <c r="D5727" s="51"/>
    </row>
    <row r="5728" spans="3:4" x14ac:dyDescent="0.35">
      <c r="C5728" s="51"/>
      <c r="D5728" s="51"/>
    </row>
    <row r="5729" spans="3:4" x14ac:dyDescent="0.35">
      <c r="C5729" s="51"/>
      <c r="D5729" s="51"/>
    </row>
    <row r="5730" spans="3:4" x14ac:dyDescent="0.35">
      <c r="C5730" s="51"/>
      <c r="D5730" s="51"/>
    </row>
    <row r="5731" spans="3:4" x14ac:dyDescent="0.35">
      <c r="C5731" s="51"/>
      <c r="D5731" s="51"/>
    </row>
    <row r="5732" spans="3:4" x14ac:dyDescent="0.35">
      <c r="C5732" s="51"/>
      <c r="D5732" s="51"/>
    </row>
    <row r="5733" spans="3:4" x14ac:dyDescent="0.35">
      <c r="C5733" s="51"/>
      <c r="D5733" s="51"/>
    </row>
    <row r="5734" spans="3:4" x14ac:dyDescent="0.35">
      <c r="C5734" s="51"/>
      <c r="D5734" s="51"/>
    </row>
    <row r="5735" spans="3:4" x14ac:dyDescent="0.35">
      <c r="C5735" s="51"/>
      <c r="D5735" s="51"/>
    </row>
    <row r="5736" spans="3:4" x14ac:dyDescent="0.35">
      <c r="C5736" s="51"/>
      <c r="D5736" s="51"/>
    </row>
    <row r="5737" spans="3:4" x14ac:dyDescent="0.35">
      <c r="C5737" s="51"/>
      <c r="D5737" s="51"/>
    </row>
    <row r="5738" spans="3:4" x14ac:dyDescent="0.35">
      <c r="C5738" s="51"/>
      <c r="D5738" s="51"/>
    </row>
    <row r="5739" spans="3:4" x14ac:dyDescent="0.35">
      <c r="C5739" s="51"/>
      <c r="D5739" s="51"/>
    </row>
    <row r="5740" spans="3:4" x14ac:dyDescent="0.35">
      <c r="C5740" s="51"/>
      <c r="D5740" s="51"/>
    </row>
    <row r="5741" spans="3:4" x14ac:dyDescent="0.35">
      <c r="C5741" s="51"/>
      <c r="D5741" s="51"/>
    </row>
    <row r="5742" spans="3:4" x14ac:dyDescent="0.35">
      <c r="C5742" s="51"/>
      <c r="D5742" s="51"/>
    </row>
    <row r="5743" spans="3:4" x14ac:dyDescent="0.35">
      <c r="C5743" s="51"/>
      <c r="D5743" s="51"/>
    </row>
    <row r="5744" spans="3:4" x14ac:dyDescent="0.35">
      <c r="C5744" s="51"/>
      <c r="D5744" s="51"/>
    </row>
    <row r="5745" spans="3:4" x14ac:dyDescent="0.35">
      <c r="C5745" s="51"/>
      <c r="D5745" s="51"/>
    </row>
    <row r="5746" spans="3:4" x14ac:dyDescent="0.35">
      <c r="C5746" s="51"/>
      <c r="D5746" s="51"/>
    </row>
    <row r="5747" spans="3:4" x14ac:dyDescent="0.35">
      <c r="C5747" s="51"/>
      <c r="D5747" s="51"/>
    </row>
    <row r="5748" spans="3:4" x14ac:dyDescent="0.35">
      <c r="C5748" s="51"/>
      <c r="D5748" s="51"/>
    </row>
    <row r="5749" spans="3:4" x14ac:dyDescent="0.35">
      <c r="C5749" s="51"/>
      <c r="D5749" s="51"/>
    </row>
    <row r="5750" spans="3:4" x14ac:dyDescent="0.35">
      <c r="C5750" s="51"/>
      <c r="D5750" s="51"/>
    </row>
    <row r="5751" spans="3:4" x14ac:dyDescent="0.35">
      <c r="C5751" s="51"/>
      <c r="D5751" s="51"/>
    </row>
    <row r="5752" spans="3:4" x14ac:dyDescent="0.35">
      <c r="C5752" s="51"/>
      <c r="D5752" s="51"/>
    </row>
    <row r="5753" spans="3:4" x14ac:dyDescent="0.35">
      <c r="C5753" s="51"/>
      <c r="D5753" s="51"/>
    </row>
    <row r="5754" spans="3:4" x14ac:dyDescent="0.35">
      <c r="C5754" s="51"/>
      <c r="D5754" s="51"/>
    </row>
    <row r="5755" spans="3:4" x14ac:dyDescent="0.35">
      <c r="C5755" s="51"/>
      <c r="D5755" s="51"/>
    </row>
    <row r="5756" spans="3:4" x14ac:dyDescent="0.35">
      <c r="C5756" s="51"/>
      <c r="D5756" s="51"/>
    </row>
    <row r="5757" spans="3:4" x14ac:dyDescent="0.35">
      <c r="C5757" s="51"/>
      <c r="D5757" s="51"/>
    </row>
    <row r="5758" spans="3:4" x14ac:dyDescent="0.35">
      <c r="C5758" s="51"/>
      <c r="D5758" s="51"/>
    </row>
    <row r="5759" spans="3:4" x14ac:dyDescent="0.35">
      <c r="C5759" s="51"/>
      <c r="D5759" s="51"/>
    </row>
    <row r="5760" spans="3:4" x14ac:dyDescent="0.35">
      <c r="C5760" s="51"/>
      <c r="D5760" s="51"/>
    </row>
    <row r="5761" spans="3:4" x14ac:dyDescent="0.35">
      <c r="C5761" s="51"/>
      <c r="D5761" s="51"/>
    </row>
    <row r="5762" spans="3:4" x14ac:dyDescent="0.35">
      <c r="C5762" s="51"/>
      <c r="D5762" s="51"/>
    </row>
    <row r="5763" spans="3:4" x14ac:dyDescent="0.35">
      <c r="C5763" s="51"/>
      <c r="D5763" s="51"/>
    </row>
    <row r="5764" spans="3:4" x14ac:dyDescent="0.35">
      <c r="C5764" s="51"/>
      <c r="D5764" s="51"/>
    </row>
    <row r="5765" spans="3:4" x14ac:dyDescent="0.35">
      <c r="C5765" s="51"/>
      <c r="D5765" s="51"/>
    </row>
    <row r="5766" spans="3:4" x14ac:dyDescent="0.35">
      <c r="C5766" s="51"/>
      <c r="D5766" s="51"/>
    </row>
    <row r="5767" spans="3:4" x14ac:dyDescent="0.35">
      <c r="C5767" s="51"/>
      <c r="D5767" s="51"/>
    </row>
    <row r="5768" spans="3:4" x14ac:dyDescent="0.35">
      <c r="C5768" s="51"/>
      <c r="D5768" s="51"/>
    </row>
    <row r="5769" spans="3:4" x14ac:dyDescent="0.35">
      <c r="C5769" s="51"/>
      <c r="D5769" s="51"/>
    </row>
    <row r="5770" spans="3:4" x14ac:dyDescent="0.35">
      <c r="C5770" s="51"/>
      <c r="D5770" s="51"/>
    </row>
    <row r="5771" spans="3:4" x14ac:dyDescent="0.35">
      <c r="C5771" s="51"/>
      <c r="D5771" s="51"/>
    </row>
    <row r="5772" spans="3:4" x14ac:dyDescent="0.35">
      <c r="C5772" s="51"/>
      <c r="D5772" s="51"/>
    </row>
    <row r="5773" spans="3:4" x14ac:dyDescent="0.35">
      <c r="C5773" s="51"/>
      <c r="D5773" s="51"/>
    </row>
    <row r="5774" spans="3:4" x14ac:dyDescent="0.35">
      <c r="C5774" s="51"/>
      <c r="D5774" s="51"/>
    </row>
    <row r="5775" spans="3:4" x14ac:dyDescent="0.35">
      <c r="C5775" s="51"/>
      <c r="D5775" s="51"/>
    </row>
    <row r="5776" spans="3:4" x14ac:dyDescent="0.35">
      <c r="C5776" s="51"/>
      <c r="D5776" s="51"/>
    </row>
    <row r="5777" spans="3:4" x14ac:dyDescent="0.35">
      <c r="C5777" s="51"/>
      <c r="D5777" s="51"/>
    </row>
    <row r="5778" spans="3:4" x14ac:dyDescent="0.35">
      <c r="C5778" s="51"/>
      <c r="D5778" s="51"/>
    </row>
    <row r="5779" spans="3:4" x14ac:dyDescent="0.35">
      <c r="C5779" s="51"/>
      <c r="D5779" s="51"/>
    </row>
    <row r="5780" spans="3:4" x14ac:dyDescent="0.35">
      <c r="C5780" s="51"/>
      <c r="D5780" s="51"/>
    </row>
    <row r="5781" spans="3:4" x14ac:dyDescent="0.35">
      <c r="C5781" s="51"/>
      <c r="D5781" s="51"/>
    </row>
    <row r="5782" spans="3:4" x14ac:dyDescent="0.35">
      <c r="C5782" s="51"/>
      <c r="D5782" s="51"/>
    </row>
    <row r="5783" spans="3:4" x14ac:dyDescent="0.35">
      <c r="C5783" s="51"/>
      <c r="D5783" s="51"/>
    </row>
    <row r="5784" spans="3:4" x14ac:dyDescent="0.35">
      <c r="C5784" s="51"/>
      <c r="D5784" s="51"/>
    </row>
    <row r="5785" spans="3:4" x14ac:dyDescent="0.35">
      <c r="C5785" s="51"/>
      <c r="D5785" s="51"/>
    </row>
    <row r="5786" spans="3:4" x14ac:dyDescent="0.35">
      <c r="C5786" s="51"/>
      <c r="D5786" s="51"/>
    </row>
    <row r="5787" spans="3:4" x14ac:dyDescent="0.35">
      <c r="C5787" s="51"/>
      <c r="D5787" s="51"/>
    </row>
    <row r="5788" spans="3:4" x14ac:dyDescent="0.35">
      <c r="C5788" s="51"/>
      <c r="D5788" s="51"/>
    </row>
    <row r="5789" spans="3:4" x14ac:dyDescent="0.35">
      <c r="C5789" s="51"/>
      <c r="D5789" s="51"/>
    </row>
    <row r="5790" spans="3:4" x14ac:dyDescent="0.35">
      <c r="C5790" s="51"/>
      <c r="D5790" s="51"/>
    </row>
    <row r="5791" spans="3:4" x14ac:dyDescent="0.35">
      <c r="C5791" s="51"/>
      <c r="D5791" s="51"/>
    </row>
    <row r="5792" spans="3:4" x14ac:dyDescent="0.35">
      <c r="C5792" s="51"/>
      <c r="D5792" s="51"/>
    </row>
    <row r="5793" spans="3:4" x14ac:dyDescent="0.35">
      <c r="C5793" s="51"/>
      <c r="D5793" s="51"/>
    </row>
    <row r="5794" spans="3:4" x14ac:dyDescent="0.35">
      <c r="C5794" s="51"/>
      <c r="D5794" s="51"/>
    </row>
    <row r="5795" spans="3:4" x14ac:dyDescent="0.35">
      <c r="C5795" s="51"/>
      <c r="D5795" s="51"/>
    </row>
    <row r="5796" spans="3:4" x14ac:dyDescent="0.35">
      <c r="C5796" s="51"/>
      <c r="D5796" s="51"/>
    </row>
    <row r="5797" spans="3:4" x14ac:dyDescent="0.35">
      <c r="C5797" s="51"/>
      <c r="D5797" s="51"/>
    </row>
    <row r="5798" spans="3:4" x14ac:dyDescent="0.35">
      <c r="C5798" s="51"/>
      <c r="D5798" s="51"/>
    </row>
    <row r="5799" spans="3:4" x14ac:dyDescent="0.35">
      <c r="C5799" s="51"/>
      <c r="D5799" s="51"/>
    </row>
    <row r="5800" spans="3:4" x14ac:dyDescent="0.35">
      <c r="C5800" s="51"/>
      <c r="D5800" s="51"/>
    </row>
    <row r="5801" spans="3:4" x14ac:dyDescent="0.35">
      <c r="C5801" s="51"/>
      <c r="D5801" s="51"/>
    </row>
    <row r="5802" spans="3:4" x14ac:dyDescent="0.35">
      <c r="C5802" s="51"/>
      <c r="D5802" s="51"/>
    </row>
    <row r="5803" spans="3:4" x14ac:dyDescent="0.35">
      <c r="C5803" s="51"/>
      <c r="D5803" s="51"/>
    </row>
    <row r="5804" spans="3:4" x14ac:dyDescent="0.35">
      <c r="C5804" s="51"/>
      <c r="D5804" s="51"/>
    </row>
    <row r="5805" spans="3:4" x14ac:dyDescent="0.35">
      <c r="C5805" s="51"/>
      <c r="D5805" s="51"/>
    </row>
    <row r="5806" spans="3:4" x14ac:dyDescent="0.35">
      <c r="C5806" s="51"/>
      <c r="D5806" s="51"/>
    </row>
    <row r="5807" spans="3:4" x14ac:dyDescent="0.35">
      <c r="C5807" s="51"/>
      <c r="D5807" s="51"/>
    </row>
    <row r="5808" spans="3:4" x14ac:dyDescent="0.35">
      <c r="C5808" s="51"/>
      <c r="D5808" s="51"/>
    </row>
    <row r="5809" spans="3:4" x14ac:dyDescent="0.35">
      <c r="C5809" s="51"/>
      <c r="D5809" s="51"/>
    </row>
    <row r="5810" spans="3:4" x14ac:dyDescent="0.35">
      <c r="C5810" s="51"/>
      <c r="D5810" s="51"/>
    </row>
    <row r="5811" spans="3:4" x14ac:dyDescent="0.35">
      <c r="C5811" s="51"/>
      <c r="D5811" s="51"/>
    </row>
    <row r="5812" spans="3:4" x14ac:dyDescent="0.35">
      <c r="C5812" s="51"/>
      <c r="D5812" s="51"/>
    </row>
    <row r="5813" spans="3:4" x14ac:dyDescent="0.35">
      <c r="C5813" s="51"/>
      <c r="D5813" s="51"/>
    </row>
    <row r="5814" spans="3:4" x14ac:dyDescent="0.35">
      <c r="C5814" s="51"/>
      <c r="D5814" s="51"/>
    </row>
    <row r="5815" spans="3:4" x14ac:dyDescent="0.35">
      <c r="C5815" s="51"/>
      <c r="D5815" s="51"/>
    </row>
    <row r="5816" spans="3:4" x14ac:dyDescent="0.35">
      <c r="C5816" s="51"/>
      <c r="D5816" s="51"/>
    </row>
    <row r="5817" spans="3:4" x14ac:dyDescent="0.35">
      <c r="C5817" s="51"/>
      <c r="D5817" s="51"/>
    </row>
    <row r="5818" spans="3:4" x14ac:dyDescent="0.35">
      <c r="C5818" s="51"/>
      <c r="D5818" s="51"/>
    </row>
    <row r="5819" spans="3:4" x14ac:dyDescent="0.35">
      <c r="C5819" s="51"/>
      <c r="D5819" s="51"/>
    </row>
    <row r="5820" spans="3:4" x14ac:dyDescent="0.35">
      <c r="C5820" s="51"/>
      <c r="D5820" s="51"/>
    </row>
    <row r="5821" spans="3:4" x14ac:dyDescent="0.35">
      <c r="C5821" s="51"/>
      <c r="D5821" s="51"/>
    </row>
    <row r="5822" spans="3:4" x14ac:dyDescent="0.35">
      <c r="C5822" s="51"/>
      <c r="D5822" s="51"/>
    </row>
    <row r="5823" spans="3:4" x14ac:dyDescent="0.35">
      <c r="C5823" s="51"/>
      <c r="D5823" s="51"/>
    </row>
    <row r="5824" spans="3:4" x14ac:dyDescent="0.35">
      <c r="C5824" s="51"/>
      <c r="D5824" s="51"/>
    </row>
    <row r="5825" spans="3:4" x14ac:dyDescent="0.35">
      <c r="C5825" s="51"/>
      <c r="D5825" s="51"/>
    </row>
    <row r="5826" spans="3:4" x14ac:dyDescent="0.35">
      <c r="C5826" s="51"/>
      <c r="D5826" s="51"/>
    </row>
    <row r="5827" spans="3:4" x14ac:dyDescent="0.35">
      <c r="C5827" s="51"/>
      <c r="D5827" s="51"/>
    </row>
    <row r="5828" spans="3:4" x14ac:dyDescent="0.35">
      <c r="C5828" s="51"/>
      <c r="D5828" s="51"/>
    </row>
    <row r="5829" spans="3:4" x14ac:dyDescent="0.35">
      <c r="C5829" s="51"/>
      <c r="D5829" s="51"/>
    </row>
    <row r="5830" spans="3:4" x14ac:dyDescent="0.35">
      <c r="C5830" s="51"/>
      <c r="D5830" s="51"/>
    </row>
    <row r="5831" spans="3:4" x14ac:dyDescent="0.35">
      <c r="C5831" s="51"/>
      <c r="D5831" s="51"/>
    </row>
    <row r="5832" spans="3:4" x14ac:dyDescent="0.35">
      <c r="C5832" s="51"/>
      <c r="D5832" s="51"/>
    </row>
    <row r="5833" spans="3:4" x14ac:dyDescent="0.35">
      <c r="C5833" s="51"/>
      <c r="D5833" s="51"/>
    </row>
    <row r="5834" spans="3:4" x14ac:dyDescent="0.35">
      <c r="C5834" s="51"/>
      <c r="D5834" s="51"/>
    </row>
    <row r="5835" spans="3:4" x14ac:dyDescent="0.35">
      <c r="C5835" s="51"/>
      <c r="D5835" s="51"/>
    </row>
    <row r="5836" spans="3:4" x14ac:dyDescent="0.35">
      <c r="C5836" s="51"/>
      <c r="D5836" s="51"/>
    </row>
    <row r="5837" spans="3:4" x14ac:dyDescent="0.35">
      <c r="C5837" s="51"/>
      <c r="D5837" s="51"/>
    </row>
    <row r="5838" spans="3:4" x14ac:dyDescent="0.35">
      <c r="C5838" s="51"/>
      <c r="D5838" s="51"/>
    </row>
    <row r="5839" spans="3:4" x14ac:dyDescent="0.35">
      <c r="C5839" s="51"/>
      <c r="D5839" s="51"/>
    </row>
    <row r="5840" spans="3:4" x14ac:dyDescent="0.35">
      <c r="C5840" s="51"/>
      <c r="D5840" s="51"/>
    </row>
    <row r="5841" spans="3:4" x14ac:dyDescent="0.35">
      <c r="C5841" s="51"/>
      <c r="D5841" s="51"/>
    </row>
    <row r="5842" spans="3:4" x14ac:dyDescent="0.35">
      <c r="C5842" s="51"/>
      <c r="D5842" s="51"/>
    </row>
    <row r="5843" spans="3:4" x14ac:dyDescent="0.35">
      <c r="C5843" s="51"/>
      <c r="D5843" s="51"/>
    </row>
    <row r="5844" spans="3:4" x14ac:dyDescent="0.35">
      <c r="C5844" s="51"/>
      <c r="D5844" s="51"/>
    </row>
    <row r="5845" spans="3:4" x14ac:dyDescent="0.35">
      <c r="C5845" s="51"/>
      <c r="D5845" s="51"/>
    </row>
    <row r="5846" spans="3:4" x14ac:dyDescent="0.35">
      <c r="C5846" s="51"/>
      <c r="D5846" s="51"/>
    </row>
    <row r="5847" spans="3:4" x14ac:dyDescent="0.35">
      <c r="C5847" s="51"/>
      <c r="D5847" s="51"/>
    </row>
    <row r="5848" spans="3:4" x14ac:dyDescent="0.35">
      <c r="C5848" s="51"/>
      <c r="D5848" s="51"/>
    </row>
    <row r="5849" spans="3:4" x14ac:dyDescent="0.35">
      <c r="C5849" s="51"/>
      <c r="D5849" s="51"/>
    </row>
    <row r="5850" spans="3:4" x14ac:dyDescent="0.35">
      <c r="C5850" s="51"/>
      <c r="D5850" s="51"/>
    </row>
    <row r="5851" spans="3:4" x14ac:dyDescent="0.35">
      <c r="C5851" s="51"/>
      <c r="D5851" s="51"/>
    </row>
    <row r="5852" spans="3:4" x14ac:dyDescent="0.35">
      <c r="C5852" s="51"/>
      <c r="D5852" s="51"/>
    </row>
    <row r="5853" spans="3:4" x14ac:dyDescent="0.35">
      <c r="C5853" s="51"/>
      <c r="D5853" s="51"/>
    </row>
    <row r="5854" spans="3:4" x14ac:dyDescent="0.35">
      <c r="C5854" s="51"/>
      <c r="D5854" s="51"/>
    </row>
    <row r="5855" spans="3:4" x14ac:dyDescent="0.35">
      <c r="C5855" s="51"/>
      <c r="D5855" s="51"/>
    </row>
    <row r="5856" spans="3:4" x14ac:dyDescent="0.35">
      <c r="C5856" s="51"/>
      <c r="D5856" s="51"/>
    </row>
    <row r="5857" spans="3:4" x14ac:dyDescent="0.35">
      <c r="C5857" s="51"/>
      <c r="D5857" s="51"/>
    </row>
    <row r="5858" spans="3:4" x14ac:dyDescent="0.35">
      <c r="C5858" s="51"/>
      <c r="D5858" s="51"/>
    </row>
    <row r="5859" spans="3:4" x14ac:dyDescent="0.35">
      <c r="C5859" s="51"/>
      <c r="D5859" s="51"/>
    </row>
    <row r="5860" spans="3:4" x14ac:dyDescent="0.35">
      <c r="C5860" s="51"/>
      <c r="D5860" s="51"/>
    </row>
    <row r="5861" spans="3:4" x14ac:dyDescent="0.35">
      <c r="C5861" s="51"/>
      <c r="D5861" s="51"/>
    </row>
    <row r="5862" spans="3:4" x14ac:dyDescent="0.35">
      <c r="C5862" s="51"/>
      <c r="D5862" s="51"/>
    </row>
    <row r="5863" spans="3:4" x14ac:dyDescent="0.35">
      <c r="C5863" s="51"/>
      <c r="D5863" s="51"/>
    </row>
    <row r="5864" spans="3:4" x14ac:dyDescent="0.35">
      <c r="C5864" s="51"/>
      <c r="D5864" s="51"/>
    </row>
    <row r="5865" spans="3:4" x14ac:dyDescent="0.35">
      <c r="C5865" s="51"/>
      <c r="D5865" s="51"/>
    </row>
    <row r="5866" spans="3:4" x14ac:dyDescent="0.35">
      <c r="C5866" s="51"/>
      <c r="D5866" s="51"/>
    </row>
    <row r="5867" spans="3:4" x14ac:dyDescent="0.35">
      <c r="C5867" s="51"/>
      <c r="D5867" s="51"/>
    </row>
    <row r="5868" spans="3:4" x14ac:dyDescent="0.35">
      <c r="C5868" s="51"/>
      <c r="D5868" s="51"/>
    </row>
    <row r="5869" spans="3:4" x14ac:dyDescent="0.35">
      <c r="C5869" s="51"/>
      <c r="D5869" s="51"/>
    </row>
    <row r="5870" spans="3:4" x14ac:dyDescent="0.35">
      <c r="C5870" s="51"/>
      <c r="D5870" s="51"/>
    </row>
    <row r="5871" spans="3:4" x14ac:dyDescent="0.35">
      <c r="C5871" s="51"/>
      <c r="D5871" s="51"/>
    </row>
    <row r="5872" spans="3:4" x14ac:dyDescent="0.35">
      <c r="C5872" s="51"/>
      <c r="D5872" s="51"/>
    </row>
    <row r="5873" spans="3:4" x14ac:dyDescent="0.35">
      <c r="C5873" s="51"/>
      <c r="D5873" s="51"/>
    </row>
    <row r="5874" spans="3:4" x14ac:dyDescent="0.35">
      <c r="C5874" s="51"/>
      <c r="D5874" s="51"/>
    </row>
    <row r="5875" spans="3:4" x14ac:dyDescent="0.35">
      <c r="C5875" s="51"/>
      <c r="D5875" s="51"/>
    </row>
    <row r="5876" spans="3:4" x14ac:dyDescent="0.35">
      <c r="C5876" s="51"/>
      <c r="D5876" s="51"/>
    </row>
    <row r="5877" spans="3:4" x14ac:dyDescent="0.35">
      <c r="C5877" s="51"/>
      <c r="D5877" s="51"/>
    </row>
    <row r="5878" spans="3:4" x14ac:dyDescent="0.35">
      <c r="C5878" s="51"/>
      <c r="D5878" s="51"/>
    </row>
    <row r="5879" spans="3:4" x14ac:dyDescent="0.35">
      <c r="C5879" s="51"/>
      <c r="D5879" s="51"/>
    </row>
    <row r="5880" spans="3:4" x14ac:dyDescent="0.35">
      <c r="C5880" s="51"/>
      <c r="D5880" s="51"/>
    </row>
    <row r="5881" spans="3:4" x14ac:dyDescent="0.35">
      <c r="C5881" s="51"/>
      <c r="D5881" s="51"/>
    </row>
    <row r="5882" spans="3:4" x14ac:dyDescent="0.35">
      <c r="C5882" s="51"/>
      <c r="D5882" s="51"/>
    </row>
    <row r="5883" spans="3:4" x14ac:dyDescent="0.35">
      <c r="C5883" s="51"/>
      <c r="D5883" s="51"/>
    </row>
    <row r="5884" spans="3:4" x14ac:dyDescent="0.35">
      <c r="C5884" s="51"/>
      <c r="D5884" s="51"/>
    </row>
    <row r="5885" spans="3:4" x14ac:dyDescent="0.35">
      <c r="C5885" s="51"/>
      <c r="D5885" s="51"/>
    </row>
    <row r="5886" spans="3:4" x14ac:dyDescent="0.35">
      <c r="C5886" s="51"/>
      <c r="D5886" s="51"/>
    </row>
    <row r="5887" spans="3:4" x14ac:dyDescent="0.35">
      <c r="C5887" s="51"/>
      <c r="D5887" s="51"/>
    </row>
    <row r="5888" spans="3:4" x14ac:dyDescent="0.35">
      <c r="C5888" s="51"/>
      <c r="D5888" s="51"/>
    </row>
    <row r="5889" spans="3:4" x14ac:dyDescent="0.35">
      <c r="C5889" s="51"/>
      <c r="D5889" s="51"/>
    </row>
    <row r="5890" spans="3:4" x14ac:dyDescent="0.35">
      <c r="C5890" s="51"/>
      <c r="D5890" s="51"/>
    </row>
    <row r="5891" spans="3:4" x14ac:dyDescent="0.35">
      <c r="C5891" s="51"/>
      <c r="D5891" s="51"/>
    </row>
    <row r="5892" spans="3:4" x14ac:dyDescent="0.35">
      <c r="C5892" s="51"/>
      <c r="D5892" s="51"/>
    </row>
    <row r="5893" spans="3:4" x14ac:dyDescent="0.35">
      <c r="C5893" s="51"/>
      <c r="D5893" s="51"/>
    </row>
    <row r="5894" spans="3:4" x14ac:dyDescent="0.35">
      <c r="C5894" s="51"/>
      <c r="D5894" s="51"/>
    </row>
    <row r="5895" spans="3:4" x14ac:dyDescent="0.35">
      <c r="C5895" s="51"/>
      <c r="D5895" s="51"/>
    </row>
    <row r="5896" spans="3:4" x14ac:dyDescent="0.35">
      <c r="C5896" s="51"/>
      <c r="D5896" s="51"/>
    </row>
    <row r="5897" spans="3:4" x14ac:dyDescent="0.35">
      <c r="C5897" s="51"/>
      <c r="D5897" s="51"/>
    </row>
    <row r="5898" spans="3:4" x14ac:dyDescent="0.35">
      <c r="C5898" s="51"/>
      <c r="D5898" s="51"/>
    </row>
    <row r="5899" spans="3:4" x14ac:dyDescent="0.35">
      <c r="C5899" s="51"/>
      <c r="D5899" s="51"/>
    </row>
    <row r="5900" spans="3:4" x14ac:dyDescent="0.35">
      <c r="C5900" s="51"/>
      <c r="D5900" s="51"/>
    </row>
    <row r="5901" spans="3:4" x14ac:dyDescent="0.35">
      <c r="C5901" s="51"/>
      <c r="D5901" s="51"/>
    </row>
    <row r="5902" spans="3:4" x14ac:dyDescent="0.35">
      <c r="C5902" s="51"/>
      <c r="D5902" s="51"/>
    </row>
    <row r="5903" spans="3:4" x14ac:dyDescent="0.35">
      <c r="C5903" s="51"/>
      <c r="D5903" s="51"/>
    </row>
    <row r="5904" spans="3:4" x14ac:dyDescent="0.35">
      <c r="C5904" s="51"/>
      <c r="D5904" s="51"/>
    </row>
    <row r="5905" spans="3:4" x14ac:dyDescent="0.35">
      <c r="C5905" s="51"/>
      <c r="D5905" s="51"/>
    </row>
    <row r="5906" spans="3:4" x14ac:dyDescent="0.35">
      <c r="C5906" s="51"/>
      <c r="D5906" s="51"/>
    </row>
    <row r="5907" spans="3:4" x14ac:dyDescent="0.35">
      <c r="C5907" s="51"/>
      <c r="D5907" s="51"/>
    </row>
    <row r="5908" spans="3:4" x14ac:dyDescent="0.35">
      <c r="C5908" s="51"/>
      <c r="D5908" s="51"/>
    </row>
    <row r="5909" spans="3:4" x14ac:dyDescent="0.35">
      <c r="C5909" s="51"/>
      <c r="D5909" s="51"/>
    </row>
    <row r="5910" spans="3:4" x14ac:dyDescent="0.35">
      <c r="C5910" s="51"/>
      <c r="D5910" s="51"/>
    </row>
    <row r="5911" spans="3:4" x14ac:dyDescent="0.35">
      <c r="C5911" s="51"/>
      <c r="D5911" s="51"/>
    </row>
    <row r="5912" spans="3:4" x14ac:dyDescent="0.35">
      <c r="C5912" s="51"/>
      <c r="D5912" s="51"/>
    </row>
    <row r="5913" spans="3:4" x14ac:dyDescent="0.35">
      <c r="C5913" s="51"/>
      <c r="D5913" s="51"/>
    </row>
    <row r="5914" spans="3:4" x14ac:dyDescent="0.35">
      <c r="C5914" s="51"/>
      <c r="D5914" s="51"/>
    </row>
    <row r="5915" spans="3:4" x14ac:dyDescent="0.35">
      <c r="C5915" s="51"/>
      <c r="D5915" s="51"/>
    </row>
    <row r="5916" spans="3:4" x14ac:dyDescent="0.35">
      <c r="C5916" s="51"/>
      <c r="D5916" s="51"/>
    </row>
    <row r="5917" spans="3:4" x14ac:dyDescent="0.35">
      <c r="C5917" s="51"/>
      <c r="D5917" s="51"/>
    </row>
    <row r="5918" spans="3:4" x14ac:dyDescent="0.35">
      <c r="C5918" s="51"/>
      <c r="D5918" s="51"/>
    </row>
    <row r="5919" spans="3:4" x14ac:dyDescent="0.35">
      <c r="C5919" s="51"/>
      <c r="D5919" s="51"/>
    </row>
    <row r="5920" spans="3:4" x14ac:dyDescent="0.35">
      <c r="C5920" s="51"/>
      <c r="D5920" s="51"/>
    </row>
    <row r="5921" spans="3:4" x14ac:dyDescent="0.35">
      <c r="C5921" s="51"/>
      <c r="D5921" s="51"/>
    </row>
    <row r="5922" spans="3:4" x14ac:dyDescent="0.35">
      <c r="C5922" s="51"/>
      <c r="D5922" s="51"/>
    </row>
    <row r="5923" spans="3:4" x14ac:dyDescent="0.35">
      <c r="C5923" s="51"/>
      <c r="D5923" s="51"/>
    </row>
    <row r="5924" spans="3:4" x14ac:dyDescent="0.35">
      <c r="C5924" s="51"/>
      <c r="D5924" s="51"/>
    </row>
    <row r="5925" spans="3:4" x14ac:dyDescent="0.35">
      <c r="C5925" s="51"/>
      <c r="D5925" s="51"/>
    </row>
    <row r="5926" spans="3:4" x14ac:dyDescent="0.35">
      <c r="C5926" s="51"/>
      <c r="D5926" s="51"/>
    </row>
    <row r="5927" spans="3:4" x14ac:dyDescent="0.35">
      <c r="C5927" s="51"/>
      <c r="D5927" s="51"/>
    </row>
    <row r="5928" spans="3:4" x14ac:dyDescent="0.35">
      <c r="C5928" s="51"/>
      <c r="D5928" s="51"/>
    </row>
    <row r="5929" spans="3:4" x14ac:dyDescent="0.35">
      <c r="C5929" s="51"/>
      <c r="D5929" s="51"/>
    </row>
    <row r="5930" spans="3:4" x14ac:dyDescent="0.35">
      <c r="C5930" s="51"/>
      <c r="D5930" s="51"/>
    </row>
    <row r="5931" spans="3:4" x14ac:dyDescent="0.35">
      <c r="C5931" s="51"/>
      <c r="D5931" s="51"/>
    </row>
    <row r="5932" spans="3:4" x14ac:dyDescent="0.35">
      <c r="C5932" s="51"/>
      <c r="D5932" s="51"/>
    </row>
    <row r="5933" spans="3:4" x14ac:dyDescent="0.35">
      <c r="C5933" s="51"/>
      <c r="D5933" s="51"/>
    </row>
    <row r="5934" spans="3:4" x14ac:dyDescent="0.35">
      <c r="C5934" s="51"/>
      <c r="D5934" s="51"/>
    </row>
    <row r="5935" spans="3:4" x14ac:dyDescent="0.35">
      <c r="C5935" s="51"/>
      <c r="D5935" s="51"/>
    </row>
    <row r="5936" spans="3:4" x14ac:dyDescent="0.35">
      <c r="C5936" s="51"/>
      <c r="D5936" s="51"/>
    </row>
    <row r="5937" spans="3:4" x14ac:dyDescent="0.35">
      <c r="C5937" s="51"/>
      <c r="D5937" s="51"/>
    </row>
    <row r="5938" spans="3:4" x14ac:dyDescent="0.35">
      <c r="C5938" s="51"/>
      <c r="D5938" s="51"/>
    </row>
    <row r="5939" spans="3:4" x14ac:dyDescent="0.35">
      <c r="C5939" s="51"/>
      <c r="D5939" s="51"/>
    </row>
    <row r="5940" spans="3:4" x14ac:dyDescent="0.35">
      <c r="C5940" s="51"/>
      <c r="D5940" s="51"/>
    </row>
    <row r="5941" spans="3:4" x14ac:dyDescent="0.35">
      <c r="C5941" s="51"/>
      <c r="D5941" s="51"/>
    </row>
    <row r="5942" spans="3:4" x14ac:dyDescent="0.35">
      <c r="C5942" s="51"/>
      <c r="D5942" s="51"/>
    </row>
    <row r="5943" spans="3:4" x14ac:dyDescent="0.35">
      <c r="C5943" s="51"/>
      <c r="D5943" s="51"/>
    </row>
    <row r="5944" spans="3:4" x14ac:dyDescent="0.35">
      <c r="C5944" s="51"/>
      <c r="D5944" s="51"/>
    </row>
    <row r="5945" spans="3:4" x14ac:dyDescent="0.35">
      <c r="C5945" s="51"/>
      <c r="D5945" s="51"/>
    </row>
    <row r="5946" spans="3:4" x14ac:dyDescent="0.35">
      <c r="C5946" s="51"/>
      <c r="D5946" s="51"/>
    </row>
    <row r="5947" spans="3:4" x14ac:dyDescent="0.35">
      <c r="C5947" s="51"/>
      <c r="D5947" s="51"/>
    </row>
    <row r="5948" spans="3:4" x14ac:dyDescent="0.35">
      <c r="C5948" s="51"/>
      <c r="D5948" s="51"/>
    </row>
    <row r="5949" spans="3:4" x14ac:dyDescent="0.35">
      <c r="C5949" s="51"/>
      <c r="D5949" s="51"/>
    </row>
    <row r="5950" spans="3:4" x14ac:dyDescent="0.35">
      <c r="C5950" s="51"/>
      <c r="D5950" s="51"/>
    </row>
    <row r="5951" spans="3:4" x14ac:dyDescent="0.35">
      <c r="C5951" s="51"/>
      <c r="D5951" s="51"/>
    </row>
    <row r="5952" spans="3:4" x14ac:dyDescent="0.35">
      <c r="C5952" s="51"/>
      <c r="D5952" s="51"/>
    </row>
    <row r="5953" spans="3:4" x14ac:dyDescent="0.35">
      <c r="C5953" s="51"/>
      <c r="D5953" s="51"/>
    </row>
    <row r="5954" spans="3:4" x14ac:dyDescent="0.35">
      <c r="C5954" s="51"/>
      <c r="D5954" s="51"/>
    </row>
    <row r="5955" spans="3:4" x14ac:dyDescent="0.35">
      <c r="C5955" s="51"/>
      <c r="D5955" s="51"/>
    </row>
    <row r="5956" spans="3:4" x14ac:dyDescent="0.35">
      <c r="C5956" s="51"/>
      <c r="D5956" s="51"/>
    </row>
    <row r="5957" spans="3:4" x14ac:dyDescent="0.35">
      <c r="C5957" s="51"/>
      <c r="D5957" s="51"/>
    </row>
    <row r="5958" spans="3:4" x14ac:dyDescent="0.35">
      <c r="C5958" s="51"/>
      <c r="D5958" s="51"/>
    </row>
    <row r="5959" spans="3:4" x14ac:dyDescent="0.35">
      <c r="C5959" s="51"/>
      <c r="D5959" s="51"/>
    </row>
    <row r="5960" spans="3:4" x14ac:dyDescent="0.35">
      <c r="C5960" s="51"/>
      <c r="D5960" s="51"/>
    </row>
    <row r="5961" spans="3:4" x14ac:dyDescent="0.35">
      <c r="C5961" s="51"/>
      <c r="D5961" s="51"/>
    </row>
    <row r="5962" spans="3:4" x14ac:dyDescent="0.35">
      <c r="C5962" s="51"/>
      <c r="D5962" s="51"/>
    </row>
    <row r="5963" spans="3:4" x14ac:dyDescent="0.35">
      <c r="C5963" s="51"/>
      <c r="D5963" s="51"/>
    </row>
    <row r="5964" spans="3:4" x14ac:dyDescent="0.35">
      <c r="C5964" s="51"/>
      <c r="D5964" s="51"/>
    </row>
    <row r="5965" spans="3:4" x14ac:dyDescent="0.35">
      <c r="C5965" s="51"/>
      <c r="D5965" s="51"/>
    </row>
    <row r="5966" spans="3:4" x14ac:dyDescent="0.35">
      <c r="C5966" s="51"/>
      <c r="D5966" s="51"/>
    </row>
    <row r="5967" spans="3:4" x14ac:dyDescent="0.35">
      <c r="C5967" s="51"/>
      <c r="D5967" s="51"/>
    </row>
    <row r="5968" spans="3:4" x14ac:dyDescent="0.35">
      <c r="C5968" s="51"/>
      <c r="D5968" s="51"/>
    </row>
    <row r="5969" spans="3:4" x14ac:dyDescent="0.35">
      <c r="C5969" s="51"/>
      <c r="D5969" s="51"/>
    </row>
    <row r="5970" spans="3:4" x14ac:dyDescent="0.35">
      <c r="C5970" s="51"/>
      <c r="D5970" s="51"/>
    </row>
    <row r="5971" spans="3:4" x14ac:dyDescent="0.35">
      <c r="C5971" s="51"/>
      <c r="D5971" s="51"/>
    </row>
    <row r="5972" spans="3:4" x14ac:dyDescent="0.35">
      <c r="C5972" s="51"/>
      <c r="D5972" s="51"/>
    </row>
    <row r="5973" spans="3:4" x14ac:dyDescent="0.35">
      <c r="C5973" s="51"/>
      <c r="D5973" s="51"/>
    </row>
    <row r="5974" spans="3:4" x14ac:dyDescent="0.35">
      <c r="C5974" s="51"/>
      <c r="D5974" s="51"/>
    </row>
    <row r="5975" spans="3:4" x14ac:dyDescent="0.35">
      <c r="C5975" s="51"/>
      <c r="D5975" s="51"/>
    </row>
    <row r="5976" spans="3:4" x14ac:dyDescent="0.35">
      <c r="C5976" s="51"/>
      <c r="D5976" s="51"/>
    </row>
    <row r="5977" spans="3:4" x14ac:dyDescent="0.35">
      <c r="C5977" s="51"/>
      <c r="D5977" s="51"/>
    </row>
    <row r="5978" spans="3:4" x14ac:dyDescent="0.35">
      <c r="C5978" s="51"/>
      <c r="D5978" s="51"/>
    </row>
    <row r="5979" spans="3:4" x14ac:dyDescent="0.35">
      <c r="C5979" s="51"/>
      <c r="D5979" s="51"/>
    </row>
    <row r="5980" spans="3:4" x14ac:dyDescent="0.35">
      <c r="C5980" s="51"/>
      <c r="D5980" s="51"/>
    </row>
    <row r="5981" spans="3:4" x14ac:dyDescent="0.35">
      <c r="C5981" s="51"/>
      <c r="D5981" s="51"/>
    </row>
    <row r="5982" spans="3:4" x14ac:dyDescent="0.35">
      <c r="C5982" s="51"/>
      <c r="D5982" s="51"/>
    </row>
    <row r="5983" spans="3:4" x14ac:dyDescent="0.35">
      <c r="C5983" s="51"/>
      <c r="D5983" s="51"/>
    </row>
    <row r="5984" spans="3:4" x14ac:dyDescent="0.35">
      <c r="C5984" s="51"/>
      <c r="D5984" s="51"/>
    </row>
    <row r="5985" spans="3:4" x14ac:dyDescent="0.35">
      <c r="C5985" s="51"/>
      <c r="D5985" s="51"/>
    </row>
    <row r="5986" spans="3:4" x14ac:dyDescent="0.35">
      <c r="C5986" s="51"/>
      <c r="D5986" s="51"/>
    </row>
    <row r="5987" spans="3:4" x14ac:dyDescent="0.35">
      <c r="C5987" s="51"/>
      <c r="D5987" s="51"/>
    </row>
    <row r="5988" spans="3:4" x14ac:dyDescent="0.35">
      <c r="C5988" s="51"/>
      <c r="D5988" s="51"/>
    </row>
    <row r="5989" spans="3:4" x14ac:dyDescent="0.35">
      <c r="C5989" s="51"/>
      <c r="D5989" s="51"/>
    </row>
    <row r="5990" spans="3:4" x14ac:dyDescent="0.35">
      <c r="C5990" s="51"/>
      <c r="D5990" s="51"/>
    </row>
    <row r="5991" spans="3:4" x14ac:dyDescent="0.35">
      <c r="C5991" s="51"/>
      <c r="D5991" s="51"/>
    </row>
    <row r="5992" spans="3:4" x14ac:dyDescent="0.35">
      <c r="C5992" s="51"/>
      <c r="D5992" s="51"/>
    </row>
    <row r="5993" spans="3:4" x14ac:dyDescent="0.35">
      <c r="C5993" s="51"/>
      <c r="D5993" s="51"/>
    </row>
    <row r="5994" spans="3:4" x14ac:dyDescent="0.35">
      <c r="C5994" s="51"/>
      <c r="D5994" s="51"/>
    </row>
    <row r="5995" spans="3:4" x14ac:dyDescent="0.35">
      <c r="C5995" s="51"/>
      <c r="D5995" s="51"/>
    </row>
    <row r="5996" spans="3:4" x14ac:dyDescent="0.35">
      <c r="C5996" s="51"/>
      <c r="D5996" s="51"/>
    </row>
    <row r="5997" spans="3:4" x14ac:dyDescent="0.35">
      <c r="C5997" s="51"/>
      <c r="D5997" s="51"/>
    </row>
    <row r="5998" spans="3:4" x14ac:dyDescent="0.35">
      <c r="C5998" s="51"/>
      <c r="D5998" s="51"/>
    </row>
    <row r="5999" spans="3:4" x14ac:dyDescent="0.35">
      <c r="C5999" s="51"/>
      <c r="D5999" s="51"/>
    </row>
    <row r="6000" spans="3:4" x14ac:dyDescent="0.35">
      <c r="C6000" s="51"/>
      <c r="D6000" s="51"/>
    </row>
    <row r="6001" spans="3:4" x14ac:dyDescent="0.35">
      <c r="C6001" s="51"/>
      <c r="D6001" s="51"/>
    </row>
    <row r="6002" spans="3:4" x14ac:dyDescent="0.35">
      <c r="C6002" s="51"/>
      <c r="D6002" s="51"/>
    </row>
    <row r="6003" spans="3:4" x14ac:dyDescent="0.35">
      <c r="C6003" s="51"/>
      <c r="D6003" s="51"/>
    </row>
    <row r="6004" spans="3:4" x14ac:dyDescent="0.35">
      <c r="C6004" s="51"/>
      <c r="D6004" s="51"/>
    </row>
    <row r="6005" spans="3:4" x14ac:dyDescent="0.35">
      <c r="C6005" s="51"/>
      <c r="D6005" s="51"/>
    </row>
    <row r="6006" spans="3:4" x14ac:dyDescent="0.35">
      <c r="C6006" s="51"/>
      <c r="D6006" s="51"/>
    </row>
    <row r="6007" spans="3:4" x14ac:dyDescent="0.35">
      <c r="C6007" s="51"/>
      <c r="D6007" s="51"/>
    </row>
    <row r="6008" spans="3:4" x14ac:dyDescent="0.35">
      <c r="C6008" s="51"/>
      <c r="D6008" s="51"/>
    </row>
    <row r="6009" spans="3:4" x14ac:dyDescent="0.35">
      <c r="C6009" s="51"/>
      <c r="D6009" s="51"/>
    </row>
    <row r="6010" spans="3:4" x14ac:dyDescent="0.35">
      <c r="C6010" s="51"/>
      <c r="D6010" s="51"/>
    </row>
    <row r="6011" spans="3:4" x14ac:dyDescent="0.35">
      <c r="C6011" s="51"/>
      <c r="D6011" s="51"/>
    </row>
    <row r="6012" spans="3:4" x14ac:dyDescent="0.35">
      <c r="C6012" s="51"/>
      <c r="D6012" s="51"/>
    </row>
    <row r="6013" spans="3:4" x14ac:dyDescent="0.35">
      <c r="C6013" s="51"/>
      <c r="D6013" s="51"/>
    </row>
    <row r="6014" spans="3:4" x14ac:dyDescent="0.35">
      <c r="C6014" s="51"/>
      <c r="D6014" s="51"/>
    </row>
    <row r="6015" spans="3:4" x14ac:dyDescent="0.35">
      <c r="C6015" s="51"/>
      <c r="D6015" s="51"/>
    </row>
    <row r="6016" spans="3:4" x14ac:dyDescent="0.35">
      <c r="C6016" s="51"/>
      <c r="D6016" s="51"/>
    </row>
    <row r="6017" spans="3:4" x14ac:dyDescent="0.35">
      <c r="C6017" s="51"/>
      <c r="D6017" s="51"/>
    </row>
    <row r="6018" spans="3:4" x14ac:dyDescent="0.35">
      <c r="C6018" s="51"/>
      <c r="D6018" s="51"/>
    </row>
    <row r="6019" spans="3:4" x14ac:dyDescent="0.35">
      <c r="C6019" s="51"/>
      <c r="D6019" s="51"/>
    </row>
    <row r="6020" spans="3:4" x14ac:dyDescent="0.35">
      <c r="C6020" s="51"/>
      <c r="D6020" s="51"/>
    </row>
    <row r="6021" spans="3:4" x14ac:dyDescent="0.35">
      <c r="C6021" s="51"/>
      <c r="D6021" s="51"/>
    </row>
    <row r="6022" spans="3:4" x14ac:dyDescent="0.35">
      <c r="C6022" s="51"/>
      <c r="D6022" s="51"/>
    </row>
    <row r="6023" spans="3:4" x14ac:dyDescent="0.35">
      <c r="C6023" s="51"/>
      <c r="D6023" s="51"/>
    </row>
    <row r="6024" spans="3:4" x14ac:dyDescent="0.35">
      <c r="C6024" s="51"/>
      <c r="D6024" s="51"/>
    </row>
    <row r="6025" spans="3:4" x14ac:dyDescent="0.35">
      <c r="C6025" s="51"/>
      <c r="D6025" s="51"/>
    </row>
    <row r="6026" spans="3:4" x14ac:dyDescent="0.35">
      <c r="C6026" s="51"/>
      <c r="D6026" s="51"/>
    </row>
    <row r="6027" spans="3:4" x14ac:dyDescent="0.35">
      <c r="C6027" s="51"/>
      <c r="D6027" s="51"/>
    </row>
    <row r="6028" spans="3:4" x14ac:dyDescent="0.35">
      <c r="C6028" s="51"/>
      <c r="D6028" s="51"/>
    </row>
    <row r="6029" spans="3:4" x14ac:dyDescent="0.35">
      <c r="C6029" s="51"/>
      <c r="D6029" s="51"/>
    </row>
    <row r="6030" spans="3:4" x14ac:dyDescent="0.35">
      <c r="C6030" s="51"/>
      <c r="D6030" s="51"/>
    </row>
    <row r="6031" spans="3:4" x14ac:dyDescent="0.35">
      <c r="C6031" s="51"/>
      <c r="D6031" s="51"/>
    </row>
    <row r="6032" spans="3:4" x14ac:dyDescent="0.35">
      <c r="C6032" s="51"/>
      <c r="D6032" s="51"/>
    </row>
    <row r="6033" spans="3:4" x14ac:dyDescent="0.35">
      <c r="C6033" s="51"/>
      <c r="D6033" s="51"/>
    </row>
    <row r="6034" spans="3:4" x14ac:dyDescent="0.35">
      <c r="C6034" s="51"/>
      <c r="D6034" s="51"/>
    </row>
    <row r="6035" spans="3:4" x14ac:dyDescent="0.35">
      <c r="C6035" s="51"/>
      <c r="D6035" s="51"/>
    </row>
    <row r="6036" spans="3:4" x14ac:dyDescent="0.35">
      <c r="C6036" s="51"/>
      <c r="D6036" s="51"/>
    </row>
    <row r="6037" spans="3:4" x14ac:dyDescent="0.35">
      <c r="C6037" s="51"/>
      <c r="D6037" s="51"/>
    </row>
    <row r="6038" spans="3:4" x14ac:dyDescent="0.35">
      <c r="C6038" s="51"/>
      <c r="D6038" s="51"/>
    </row>
    <row r="6039" spans="3:4" x14ac:dyDescent="0.35">
      <c r="C6039" s="51"/>
      <c r="D6039" s="51"/>
    </row>
    <row r="6040" spans="3:4" x14ac:dyDescent="0.35">
      <c r="C6040" s="51"/>
      <c r="D6040" s="51"/>
    </row>
    <row r="6041" spans="3:4" x14ac:dyDescent="0.35">
      <c r="C6041" s="51"/>
      <c r="D6041" s="51"/>
    </row>
    <row r="6042" spans="3:4" x14ac:dyDescent="0.35">
      <c r="C6042" s="51"/>
      <c r="D6042" s="51"/>
    </row>
    <row r="6043" spans="3:4" x14ac:dyDescent="0.35">
      <c r="C6043" s="51"/>
      <c r="D6043" s="51"/>
    </row>
    <row r="6044" spans="3:4" x14ac:dyDescent="0.35">
      <c r="C6044" s="51"/>
      <c r="D6044" s="51"/>
    </row>
    <row r="6045" spans="3:4" x14ac:dyDescent="0.35">
      <c r="C6045" s="51"/>
      <c r="D6045" s="51"/>
    </row>
    <row r="6046" spans="3:4" x14ac:dyDescent="0.35">
      <c r="C6046" s="51"/>
      <c r="D6046" s="51"/>
    </row>
    <row r="6047" spans="3:4" x14ac:dyDescent="0.35">
      <c r="C6047" s="51"/>
      <c r="D6047" s="51"/>
    </row>
    <row r="6048" spans="3:4" x14ac:dyDescent="0.35">
      <c r="C6048" s="51"/>
      <c r="D6048" s="51"/>
    </row>
    <row r="6049" spans="3:4" x14ac:dyDescent="0.35">
      <c r="C6049" s="51"/>
      <c r="D6049" s="51"/>
    </row>
    <row r="6050" spans="3:4" x14ac:dyDescent="0.35">
      <c r="C6050" s="51"/>
      <c r="D6050" s="51"/>
    </row>
    <row r="6051" spans="3:4" x14ac:dyDescent="0.35">
      <c r="C6051" s="51"/>
      <c r="D6051" s="51"/>
    </row>
    <row r="6052" spans="3:4" x14ac:dyDescent="0.35">
      <c r="C6052" s="51"/>
      <c r="D6052" s="51"/>
    </row>
    <row r="6053" spans="3:4" x14ac:dyDescent="0.35">
      <c r="C6053" s="51"/>
      <c r="D6053" s="51"/>
    </row>
    <row r="6054" spans="3:4" x14ac:dyDescent="0.35">
      <c r="C6054" s="51"/>
      <c r="D6054" s="51"/>
    </row>
    <row r="6055" spans="3:4" x14ac:dyDescent="0.35">
      <c r="C6055" s="51"/>
      <c r="D6055" s="51"/>
    </row>
    <row r="6056" spans="3:4" x14ac:dyDescent="0.35">
      <c r="C6056" s="51"/>
      <c r="D6056" s="51"/>
    </row>
    <row r="6057" spans="3:4" x14ac:dyDescent="0.35">
      <c r="C6057" s="51"/>
      <c r="D6057" s="51"/>
    </row>
    <row r="6058" spans="3:4" x14ac:dyDescent="0.35">
      <c r="C6058" s="51"/>
      <c r="D6058" s="51"/>
    </row>
    <row r="6059" spans="3:4" x14ac:dyDescent="0.35">
      <c r="C6059" s="51"/>
      <c r="D6059" s="51"/>
    </row>
    <row r="6060" spans="3:4" x14ac:dyDescent="0.35">
      <c r="C6060" s="51"/>
      <c r="D6060" s="51"/>
    </row>
    <row r="6061" spans="3:4" x14ac:dyDescent="0.35">
      <c r="C6061" s="51"/>
      <c r="D6061" s="51"/>
    </row>
    <row r="6062" spans="3:4" x14ac:dyDescent="0.35">
      <c r="C6062" s="51"/>
      <c r="D6062" s="51"/>
    </row>
    <row r="6063" spans="3:4" x14ac:dyDescent="0.35">
      <c r="C6063" s="51"/>
      <c r="D6063" s="51"/>
    </row>
    <row r="6064" spans="3:4" x14ac:dyDescent="0.35">
      <c r="C6064" s="51"/>
      <c r="D6064" s="51"/>
    </row>
    <row r="6065" spans="3:4" x14ac:dyDescent="0.35">
      <c r="C6065" s="51"/>
      <c r="D6065" s="51"/>
    </row>
    <row r="6066" spans="3:4" x14ac:dyDescent="0.35">
      <c r="C6066" s="51"/>
      <c r="D6066" s="51"/>
    </row>
    <row r="6067" spans="3:4" x14ac:dyDescent="0.35">
      <c r="C6067" s="51"/>
      <c r="D6067" s="51"/>
    </row>
    <row r="6068" spans="3:4" x14ac:dyDescent="0.35">
      <c r="C6068" s="51"/>
      <c r="D6068" s="51"/>
    </row>
    <row r="6069" spans="3:4" x14ac:dyDescent="0.35">
      <c r="C6069" s="51"/>
      <c r="D6069" s="51"/>
    </row>
    <row r="6070" spans="3:4" x14ac:dyDescent="0.35">
      <c r="C6070" s="51"/>
      <c r="D6070" s="51"/>
    </row>
    <row r="6071" spans="3:4" x14ac:dyDescent="0.35">
      <c r="C6071" s="51"/>
      <c r="D6071" s="51"/>
    </row>
    <row r="6072" spans="3:4" x14ac:dyDescent="0.35">
      <c r="C6072" s="51"/>
      <c r="D6072" s="51"/>
    </row>
    <row r="6073" spans="3:4" x14ac:dyDescent="0.35">
      <c r="C6073" s="51"/>
      <c r="D6073" s="51"/>
    </row>
    <row r="6074" spans="3:4" x14ac:dyDescent="0.35">
      <c r="C6074" s="51"/>
      <c r="D6074" s="51"/>
    </row>
    <row r="6075" spans="3:4" x14ac:dyDescent="0.35">
      <c r="C6075" s="51"/>
      <c r="D6075" s="51"/>
    </row>
    <row r="6076" spans="3:4" x14ac:dyDescent="0.35">
      <c r="C6076" s="51"/>
      <c r="D6076" s="51"/>
    </row>
    <row r="6077" spans="3:4" x14ac:dyDescent="0.35">
      <c r="C6077" s="51"/>
      <c r="D6077" s="51"/>
    </row>
    <row r="6078" spans="3:4" x14ac:dyDescent="0.35">
      <c r="C6078" s="51"/>
      <c r="D6078" s="51"/>
    </row>
    <row r="6079" spans="3:4" x14ac:dyDescent="0.35">
      <c r="C6079" s="51"/>
      <c r="D6079" s="51"/>
    </row>
    <row r="6080" spans="3:4" x14ac:dyDescent="0.35">
      <c r="C6080" s="51"/>
      <c r="D6080" s="51"/>
    </row>
    <row r="6081" spans="3:4" x14ac:dyDescent="0.35">
      <c r="C6081" s="51"/>
      <c r="D6081" s="51"/>
    </row>
    <row r="6082" spans="3:4" x14ac:dyDescent="0.35">
      <c r="C6082" s="51"/>
      <c r="D6082" s="51"/>
    </row>
    <row r="6083" spans="3:4" x14ac:dyDescent="0.35">
      <c r="C6083" s="51"/>
      <c r="D6083" s="51"/>
    </row>
    <row r="6084" spans="3:4" x14ac:dyDescent="0.35">
      <c r="C6084" s="51"/>
      <c r="D6084" s="51"/>
    </row>
    <row r="6085" spans="3:4" x14ac:dyDescent="0.35">
      <c r="C6085" s="51"/>
      <c r="D6085" s="51"/>
    </row>
    <row r="6086" spans="3:4" x14ac:dyDescent="0.35">
      <c r="C6086" s="51"/>
      <c r="D6086" s="51"/>
    </row>
    <row r="6087" spans="3:4" x14ac:dyDescent="0.35">
      <c r="C6087" s="51"/>
      <c r="D6087" s="51"/>
    </row>
    <row r="6088" spans="3:4" x14ac:dyDescent="0.35">
      <c r="C6088" s="51"/>
      <c r="D6088" s="51"/>
    </row>
    <row r="6089" spans="3:4" x14ac:dyDescent="0.35">
      <c r="C6089" s="51"/>
      <c r="D6089" s="51"/>
    </row>
    <row r="6090" spans="3:4" x14ac:dyDescent="0.35">
      <c r="C6090" s="51"/>
      <c r="D6090" s="51"/>
    </row>
    <row r="6091" spans="3:4" x14ac:dyDescent="0.35">
      <c r="C6091" s="51"/>
      <c r="D6091" s="51"/>
    </row>
    <row r="6092" spans="3:4" x14ac:dyDescent="0.35">
      <c r="C6092" s="51"/>
      <c r="D6092" s="51"/>
    </row>
    <row r="6093" spans="3:4" x14ac:dyDescent="0.35">
      <c r="C6093" s="51"/>
      <c r="D6093" s="51"/>
    </row>
    <row r="6094" spans="3:4" x14ac:dyDescent="0.35">
      <c r="C6094" s="51"/>
      <c r="D6094" s="51"/>
    </row>
    <row r="6095" spans="3:4" x14ac:dyDescent="0.35">
      <c r="C6095" s="51"/>
      <c r="D6095" s="51"/>
    </row>
    <row r="6096" spans="3:4" x14ac:dyDescent="0.35">
      <c r="C6096" s="51"/>
      <c r="D6096" s="51"/>
    </row>
    <row r="6097" spans="3:4" x14ac:dyDescent="0.35">
      <c r="C6097" s="51"/>
      <c r="D6097" s="51"/>
    </row>
    <row r="6098" spans="3:4" x14ac:dyDescent="0.35">
      <c r="C6098" s="51"/>
      <c r="D6098" s="51"/>
    </row>
    <row r="6099" spans="3:4" x14ac:dyDescent="0.35">
      <c r="C6099" s="51"/>
      <c r="D6099" s="51"/>
    </row>
    <row r="6100" spans="3:4" x14ac:dyDescent="0.35">
      <c r="C6100" s="51"/>
      <c r="D6100" s="51"/>
    </row>
    <row r="6101" spans="3:4" x14ac:dyDescent="0.35">
      <c r="C6101" s="51"/>
      <c r="D6101" s="51"/>
    </row>
    <row r="6102" spans="3:4" x14ac:dyDescent="0.35">
      <c r="C6102" s="51"/>
      <c r="D6102" s="51"/>
    </row>
    <row r="6103" spans="3:4" x14ac:dyDescent="0.35">
      <c r="C6103" s="51"/>
      <c r="D6103" s="51"/>
    </row>
    <row r="6104" spans="3:4" x14ac:dyDescent="0.35">
      <c r="C6104" s="51"/>
      <c r="D6104" s="51"/>
    </row>
    <row r="6105" spans="3:4" x14ac:dyDescent="0.35">
      <c r="C6105" s="51"/>
      <c r="D6105" s="51"/>
    </row>
    <row r="6106" spans="3:4" x14ac:dyDescent="0.35">
      <c r="C6106" s="51"/>
      <c r="D6106" s="51"/>
    </row>
    <row r="6107" spans="3:4" x14ac:dyDescent="0.35">
      <c r="C6107" s="51"/>
      <c r="D6107" s="51"/>
    </row>
    <row r="6108" spans="3:4" x14ac:dyDescent="0.35">
      <c r="C6108" s="51"/>
      <c r="D6108" s="51"/>
    </row>
    <row r="6109" spans="3:4" x14ac:dyDescent="0.35">
      <c r="C6109" s="51"/>
      <c r="D6109" s="51"/>
    </row>
    <row r="6110" spans="3:4" x14ac:dyDescent="0.35">
      <c r="C6110" s="51"/>
      <c r="D6110" s="51"/>
    </row>
    <row r="6111" spans="3:4" x14ac:dyDescent="0.35">
      <c r="C6111" s="51"/>
      <c r="D6111" s="51"/>
    </row>
    <row r="6112" spans="3:4" x14ac:dyDescent="0.35">
      <c r="C6112" s="51"/>
      <c r="D6112" s="51"/>
    </row>
    <row r="6113" spans="3:4" x14ac:dyDescent="0.35">
      <c r="C6113" s="51"/>
      <c r="D6113" s="51"/>
    </row>
    <row r="6114" spans="3:4" x14ac:dyDescent="0.35">
      <c r="C6114" s="51"/>
      <c r="D6114" s="51"/>
    </row>
    <row r="6115" spans="3:4" x14ac:dyDescent="0.35">
      <c r="C6115" s="51"/>
      <c r="D6115" s="51"/>
    </row>
    <row r="6116" spans="3:4" x14ac:dyDescent="0.35">
      <c r="C6116" s="51"/>
      <c r="D6116" s="51"/>
    </row>
    <row r="6117" spans="3:4" x14ac:dyDescent="0.35">
      <c r="C6117" s="51"/>
      <c r="D6117" s="51"/>
    </row>
    <row r="6118" spans="3:4" x14ac:dyDescent="0.35">
      <c r="C6118" s="51"/>
      <c r="D6118" s="51"/>
    </row>
    <row r="6119" spans="3:4" x14ac:dyDescent="0.35">
      <c r="C6119" s="51"/>
      <c r="D6119" s="51"/>
    </row>
    <row r="6120" spans="3:4" x14ac:dyDescent="0.35">
      <c r="C6120" s="51"/>
      <c r="D6120" s="51"/>
    </row>
    <row r="6121" spans="3:4" x14ac:dyDescent="0.35">
      <c r="C6121" s="51"/>
      <c r="D6121" s="51"/>
    </row>
    <row r="6122" spans="3:4" x14ac:dyDescent="0.35">
      <c r="C6122" s="51"/>
      <c r="D6122" s="51"/>
    </row>
    <row r="6123" spans="3:4" x14ac:dyDescent="0.35">
      <c r="C6123" s="51"/>
      <c r="D6123" s="51"/>
    </row>
    <row r="6124" spans="3:4" x14ac:dyDescent="0.35">
      <c r="C6124" s="51"/>
      <c r="D6124" s="51"/>
    </row>
    <row r="6125" spans="3:4" x14ac:dyDescent="0.35">
      <c r="C6125" s="51"/>
      <c r="D6125" s="51"/>
    </row>
    <row r="6126" spans="3:4" x14ac:dyDescent="0.35">
      <c r="C6126" s="51"/>
      <c r="D6126" s="51"/>
    </row>
    <row r="6127" spans="3:4" x14ac:dyDescent="0.35">
      <c r="C6127" s="51"/>
      <c r="D6127" s="51"/>
    </row>
    <row r="6128" spans="3:4" x14ac:dyDescent="0.35">
      <c r="C6128" s="51"/>
      <c r="D6128" s="51"/>
    </row>
    <row r="6129" spans="3:4" x14ac:dyDescent="0.35">
      <c r="C6129" s="51"/>
      <c r="D6129" s="51"/>
    </row>
    <row r="6130" spans="3:4" x14ac:dyDescent="0.35">
      <c r="C6130" s="51"/>
      <c r="D6130" s="51"/>
    </row>
    <row r="6131" spans="3:4" x14ac:dyDescent="0.35">
      <c r="C6131" s="51"/>
      <c r="D6131" s="51"/>
    </row>
    <row r="6132" spans="3:4" x14ac:dyDescent="0.35">
      <c r="C6132" s="51"/>
      <c r="D6132" s="51"/>
    </row>
    <row r="6133" spans="3:4" x14ac:dyDescent="0.35">
      <c r="C6133" s="51"/>
      <c r="D6133" s="51"/>
    </row>
    <row r="6134" spans="3:4" x14ac:dyDescent="0.35">
      <c r="C6134" s="51"/>
      <c r="D6134" s="51"/>
    </row>
    <row r="6135" spans="3:4" x14ac:dyDescent="0.35">
      <c r="C6135" s="51"/>
      <c r="D6135" s="51"/>
    </row>
    <row r="6136" spans="3:4" x14ac:dyDescent="0.35">
      <c r="C6136" s="51"/>
      <c r="D6136" s="51"/>
    </row>
    <row r="6137" spans="3:4" x14ac:dyDescent="0.35">
      <c r="C6137" s="51"/>
      <c r="D6137" s="51"/>
    </row>
    <row r="6138" spans="3:4" x14ac:dyDescent="0.35">
      <c r="C6138" s="51"/>
      <c r="D6138" s="51"/>
    </row>
    <row r="6139" spans="3:4" x14ac:dyDescent="0.35">
      <c r="C6139" s="51"/>
      <c r="D6139" s="51"/>
    </row>
    <row r="6140" spans="3:4" x14ac:dyDescent="0.35">
      <c r="C6140" s="51"/>
      <c r="D6140" s="51"/>
    </row>
    <row r="6141" spans="3:4" x14ac:dyDescent="0.35">
      <c r="C6141" s="51"/>
      <c r="D6141" s="51"/>
    </row>
    <row r="6142" spans="3:4" x14ac:dyDescent="0.35">
      <c r="C6142" s="51"/>
      <c r="D6142" s="51"/>
    </row>
    <row r="6143" spans="3:4" x14ac:dyDescent="0.35">
      <c r="C6143" s="51"/>
      <c r="D6143" s="51"/>
    </row>
    <row r="6144" spans="3:4" x14ac:dyDescent="0.35">
      <c r="C6144" s="51"/>
      <c r="D6144" s="51"/>
    </row>
    <row r="6145" spans="3:4" x14ac:dyDescent="0.35">
      <c r="C6145" s="51"/>
      <c r="D6145" s="51"/>
    </row>
    <row r="6146" spans="3:4" x14ac:dyDescent="0.35">
      <c r="C6146" s="51"/>
      <c r="D6146" s="51"/>
    </row>
    <row r="6147" spans="3:4" x14ac:dyDescent="0.35">
      <c r="C6147" s="51"/>
      <c r="D6147" s="51"/>
    </row>
    <row r="6148" spans="3:4" x14ac:dyDescent="0.35">
      <c r="C6148" s="51"/>
      <c r="D6148" s="51"/>
    </row>
    <row r="6149" spans="3:4" x14ac:dyDescent="0.35">
      <c r="C6149" s="51"/>
      <c r="D6149" s="51"/>
    </row>
    <row r="6150" spans="3:4" x14ac:dyDescent="0.35">
      <c r="C6150" s="51"/>
      <c r="D6150" s="51"/>
    </row>
    <row r="6151" spans="3:4" x14ac:dyDescent="0.35">
      <c r="C6151" s="51"/>
      <c r="D6151" s="51"/>
    </row>
    <row r="6152" spans="3:4" x14ac:dyDescent="0.35">
      <c r="C6152" s="51"/>
      <c r="D6152" s="51"/>
    </row>
    <row r="6153" spans="3:4" x14ac:dyDescent="0.35">
      <c r="C6153" s="51"/>
      <c r="D6153" s="51"/>
    </row>
    <row r="6154" spans="3:4" x14ac:dyDescent="0.35">
      <c r="C6154" s="51"/>
      <c r="D6154" s="51"/>
    </row>
    <row r="6155" spans="3:4" x14ac:dyDescent="0.35">
      <c r="C6155" s="51"/>
      <c r="D6155" s="51"/>
    </row>
    <row r="6156" spans="3:4" x14ac:dyDescent="0.35">
      <c r="C6156" s="51"/>
      <c r="D6156" s="51"/>
    </row>
    <row r="6157" spans="3:4" x14ac:dyDescent="0.35">
      <c r="C6157" s="51"/>
      <c r="D6157" s="51"/>
    </row>
    <row r="6158" spans="3:4" x14ac:dyDescent="0.35">
      <c r="C6158" s="51"/>
      <c r="D6158" s="51"/>
    </row>
    <row r="6159" spans="3:4" x14ac:dyDescent="0.35">
      <c r="C6159" s="51"/>
      <c r="D6159" s="51"/>
    </row>
    <row r="6160" spans="3:4" x14ac:dyDescent="0.35">
      <c r="C6160" s="51"/>
      <c r="D6160" s="51"/>
    </row>
    <row r="6161" spans="3:4" x14ac:dyDescent="0.35">
      <c r="C6161" s="51"/>
      <c r="D6161" s="51"/>
    </row>
    <row r="6162" spans="3:4" x14ac:dyDescent="0.35">
      <c r="C6162" s="51"/>
      <c r="D6162" s="51"/>
    </row>
    <row r="6163" spans="3:4" x14ac:dyDescent="0.35">
      <c r="C6163" s="51"/>
      <c r="D6163" s="51"/>
    </row>
    <row r="6164" spans="3:4" x14ac:dyDescent="0.35">
      <c r="C6164" s="51"/>
      <c r="D6164" s="51"/>
    </row>
    <row r="6165" spans="3:4" x14ac:dyDescent="0.35">
      <c r="C6165" s="51"/>
      <c r="D6165" s="51"/>
    </row>
    <row r="6166" spans="3:4" x14ac:dyDescent="0.35">
      <c r="C6166" s="51"/>
      <c r="D6166" s="51"/>
    </row>
    <row r="6167" spans="3:4" x14ac:dyDescent="0.35">
      <c r="C6167" s="51"/>
      <c r="D6167" s="51"/>
    </row>
    <row r="6168" spans="3:4" x14ac:dyDescent="0.35">
      <c r="C6168" s="51"/>
      <c r="D6168" s="51"/>
    </row>
    <row r="6169" spans="3:4" x14ac:dyDescent="0.35">
      <c r="C6169" s="51"/>
      <c r="D6169" s="51"/>
    </row>
    <row r="6170" spans="3:4" x14ac:dyDescent="0.35">
      <c r="C6170" s="51"/>
      <c r="D6170" s="51"/>
    </row>
    <row r="6171" spans="3:4" x14ac:dyDescent="0.35">
      <c r="C6171" s="51"/>
      <c r="D6171" s="51"/>
    </row>
    <row r="6172" spans="3:4" x14ac:dyDescent="0.35">
      <c r="C6172" s="51"/>
      <c r="D6172" s="51"/>
    </row>
    <row r="6173" spans="3:4" x14ac:dyDescent="0.35">
      <c r="C6173" s="51"/>
      <c r="D6173" s="51"/>
    </row>
    <row r="6174" spans="3:4" x14ac:dyDescent="0.35">
      <c r="C6174" s="51"/>
      <c r="D6174" s="51"/>
    </row>
    <row r="6175" spans="3:4" x14ac:dyDescent="0.35">
      <c r="C6175" s="51"/>
      <c r="D6175" s="51"/>
    </row>
    <row r="6176" spans="3:4" x14ac:dyDescent="0.35">
      <c r="C6176" s="51"/>
      <c r="D6176" s="51"/>
    </row>
    <row r="6177" spans="3:4" x14ac:dyDescent="0.35">
      <c r="C6177" s="51"/>
      <c r="D6177" s="51"/>
    </row>
    <row r="6178" spans="3:4" x14ac:dyDescent="0.35">
      <c r="C6178" s="51"/>
      <c r="D6178" s="51"/>
    </row>
    <row r="6179" spans="3:4" x14ac:dyDescent="0.35">
      <c r="C6179" s="51"/>
      <c r="D6179" s="51"/>
    </row>
    <row r="6180" spans="3:4" x14ac:dyDescent="0.35">
      <c r="C6180" s="51"/>
      <c r="D6180" s="51"/>
    </row>
    <row r="6181" spans="3:4" x14ac:dyDescent="0.35">
      <c r="C6181" s="51"/>
      <c r="D6181" s="51"/>
    </row>
    <row r="6182" spans="3:4" x14ac:dyDescent="0.35">
      <c r="C6182" s="51"/>
      <c r="D6182" s="51"/>
    </row>
    <row r="6183" spans="3:4" x14ac:dyDescent="0.35">
      <c r="C6183" s="51"/>
      <c r="D6183" s="51"/>
    </row>
    <row r="6184" spans="3:4" x14ac:dyDescent="0.35">
      <c r="C6184" s="51"/>
      <c r="D6184" s="51"/>
    </row>
    <row r="6185" spans="3:4" x14ac:dyDescent="0.35">
      <c r="C6185" s="51"/>
      <c r="D6185" s="51"/>
    </row>
    <row r="6186" spans="3:4" x14ac:dyDescent="0.35">
      <c r="C6186" s="51"/>
      <c r="D6186" s="51"/>
    </row>
    <row r="6187" spans="3:4" x14ac:dyDescent="0.35">
      <c r="C6187" s="51"/>
      <c r="D6187" s="51"/>
    </row>
    <row r="6188" spans="3:4" x14ac:dyDescent="0.35">
      <c r="C6188" s="51"/>
      <c r="D6188" s="51"/>
    </row>
    <row r="6189" spans="3:4" x14ac:dyDescent="0.35">
      <c r="C6189" s="51"/>
      <c r="D6189" s="51"/>
    </row>
    <row r="6190" spans="3:4" x14ac:dyDescent="0.35">
      <c r="C6190" s="51"/>
      <c r="D6190" s="51"/>
    </row>
    <row r="6191" spans="3:4" x14ac:dyDescent="0.35">
      <c r="C6191" s="51"/>
      <c r="D6191" s="51"/>
    </row>
    <row r="6192" spans="3:4" x14ac:dyDescent="0.35">
      <c r="C6192" s="51"/>
      <c r="D6192" s="51"/>
    </row>
    <row r="6193" spans="3:4" x14ac:dyDescent="0.35">
      <c r="C6193" s="51"/>
      <c r="D6193" s="51"/>
    </row>
    <row r="6194" spans="3:4" x14ac:dyDescent="0.35">
      <c r="C6194" s="51"/>
      <c r="D6194" s="51"/>
    </row>
    <row r="6195" spans="3:4" x14ac:dyDescent="0.35">
      <c r="C6195" s="51"/>
      <c r="D6195" s="51"/>
    </row>
    <row r="6196" spans="3:4" x14ac:dyDescent="0.35">
      <c r="C6196" s="51"/>
      <c r="D6196" s="51"/>
    </row>
    <row r="6197" spans="3:4" x14ac:dyDescent="0.35">
      <c r="C6197" s="51"/>
      <c r="D6197" s="51"/>
    </row>
    <row r="6198" spans="3:4" x14ac:dyDescent="0.35">
      <c r="C6198" s="51"/>
      <c r="D6198" s="51"/>
    </row>
    <row r="6199" spans="3:4" x14ac:dyDescent="0.35">
      <c r="C6199" s="51"/>
      <c r="D6199" s="51"/>
    </row>
    <row r="6200" spans="3:4" x14ac:dyDescent="0.35">
      <c r="C6200" s="51"/>
      <c r="D6200" s="51"/>
    </row>
    <row r="6201" spans="3:4" x14ac:dyDescent="0.35">
      <c r="C6201" s="51"/>
      <c r="D6201" s="51"/>
    </row>
    <row r="6202" spans="3:4" x14ac:dyDescent="0.35">
      <c r="C6202" s="51"/>
      <c r="D6202" s="51"/>
    </row>
    <row r="6203" spans="3:4" x14ac:dyDescent="0.35">
      <c r="C6203" s="51"/>
      <c r="D6203" s="51"/>
    </row>
    <row r="6204" spans="3:4" x14ac:dyDescent="0.35">
      <c r="C6204" s="51"/>
      <c r="D6204" s="51"/>
    </row>
    <row r="6205" spans="3:4" x14ac:dyDescent="0.35">
      <c r="C6205" s="51"/>
      <c r="D6205" s="51"/>
    </row>
    <row r="6206" spans="3:4" x14ac:dyDescent="0.35">
      <c r="C6206" s="51"/>
      <c r="D6206" s="51"/>
    </row>
    <row r="6207" spans="3:4" x14ac:dyDescent="0.35">
      <c r="C6207" s="51"/>
      <c r="D6207" s="51"/>
    </row>
    <row r="6208" spans="3:4" x14ac:dyDescent="0.35">
      <c r="C6208" s="51"/>
      <c r="D6208" s="51"/>
    </row>
    <row r="6209" spans="3:4" x14ac:dyDescent="0.35">
      <c r="C6209" s="51"/>
      <c r="D6209" s="51"/>
    </row>
    <row r="6210" spans="3:4" x14ac:dyDescent="0.35">
      <c r="C6210" s="51"/>
      <c r="D6210" s="51"/>
    </row>
    <row r="6211" spans="3:4" x14ac:dyDescent="0.35">
      <c r="C6211" s="51"/>
      <c r="D6211" s="51"/>
    </row>
    <row r="6212" spans="3:4" x14ac:dyDescent="0.35">
      <c r="C6212" s="51"/>
      <c r="D6212" s="51"/>
    </row>
    <row r="6213" spans="3:4" x14ac:dyDescent="0.35">
      <c r="C6213" s="51"/>
      <c r="D6213" s="51"/>
    </row>
    <row r="6214" spans="3:4" x14ac:dyDescent="0.35">
      <c r="C6214" s="51"/>
      <c r="D6214" s="51"/>
    </row>
    <row r="6215" spans="3:4" x14ac:dyDescent="0.35">
      <c r="C6215" s="51"/>
      <c r="D6215" s="51"/>
    </row>
    <row r="6216" spans="3:4" x14ac:dyDescent="0.35">
      <c r="C6216" s="51"/>
      <c r="D6216" s="51"/>
    </row>
    <row r="6217" spans="3:4" x14ac:dyDescent="0.35">
      <c r="C6217" s="51"/>
      <c r="D6217" s="51"/>
    </row>
    <row r="6218" spans="3:4" x14ac:dyDescent="0.35">
      <c r="C6218" s="51"/>
      <c r="D6218" s="51"/>
    </row>
    <row r="6219" spans="3:4" x14ac:dyDescent="0.35">
      <c r="C6219" s="51"/>
      <c r="D6219" s="51"/>
    </row>
    <row r="6220" spans="3:4" x14ac:dyDescent="0.35">
      <c r="C6220" s="51"/>
      <c r="D6220" s="51"/>
    </row>
    <row r="6221" spans="3:4" x14ac:dyDescent="0.35">
      <c r="C6221" s="51"/>
      <c r="D6221" s="51"/>
    </row>
    <row r="6222" spans="3:4" x14ac:dyDescent="0.35">
      <c r="C6222" s="51"/>
      <c r="D6222" s="51"/>
    </row>
    <row r="6223" spans="3:4" x14ac:dyDescent="0.35">
      <c r="C6223" s="51"/>
      <c r="D6223" s="51"/>
    </row>
    <row r="6224" spans="3:4" x14ac:dyDescent="0.35">
      <c r="C6224" s="51"/>
      <c r="D6224" s="51"/>
    </row>
    <row r="6225" spans="3:4" x14ac:dyDescent="0.35">
      <c r="C6225" s="51"/>
      <c r="D6225" s="51"/>
    </row>
    <row r="6226" spans="3:4" x14ac:dyDescent="0.35">
      <c r="C6226" s="51"/>
      <c r="D6226" s="51"/>
    </row>
    <row r="6227" spans="3:4" x14ac:dyDescent="0.35">
      <c r="C6227" s="51"/>
      <c r="D6227" s="51"/>
    </row>
    <row r="6228" spans="3:4" x14ac:dyDescent="0.35">
      <c r="C6228" s="51"/>
      <c r="D6228" s="51"/>
    </row>
    <row r="6229" spans="3:4" x14ac:dyDescent="0.35">
      <c r="C6229" s="51"/>
      <c r="D6229" s="51"/>
    </row>
    <row r="6230" spans="3:4" x14ac:dyDescent="0.35">
      <c r="C6230" s="51"/>
      <c r="D6230" s="51"/>
    </row>
    <row r="6231" spans="3:4" x14ac:dyDescent="0.35">
      <c r="C6231" s="51"/>
      <c r="D6231" s="51"/>
    </row>
    <row r="6232" spans="3:4" x14ac:dyDescent="0.35">
      <c r="C6232" s="51"/>
      <c r="D6232" s="51"/>
    </row>
    <row r="6233" spans="3:4" x14ac:dyDescent="0.35">
      <c r="C6233" s="51"/>
      <c r="D6233" s="51"/>
    </row>
    <row r="6234" spans="3:4" x14ac:dyDescent="0.35">
      <c r="C6234" s="51"/>
      <c r="D6234" s="51"/>
    </row>
    <row r="6235" spans="3:4" x14ac:dyDescent="0.35">
      <c r="C6235" s="51"/>
      <c r="D6235" s="51"/>
    </row>
    <row r="6236" spans="3:4" x14ac:dyDescent="0.35">
      <c r="C6236" s="51"/>
      <c r="D6236" s="51"/>
    </row>
    <row r="6237" spans="3:4" x14ac:dyDescent="0.35">
      <c r="C6237" s="51"/>
      <c r="D6237" s="51"/>
    </row>
    <row r="6238" spans="3:4" x14ac:dyDescent="0.35">
      <c r="C6238" s="51"/>
      <c r="D6238" s="51"/>
    </row>
    <row r="6239" spans="3:4" x14ac:dyDescent="0.35">
      <c r="C6239" s="51"/>
      <c r="D6239" s="51"/>
    </row>
    <row r="6240" spans="3:4" x14ac:dyDescent="0.35">
      <c r="C6240" s="51"/>
      <c r="D6240" s="51"/>
    </row>
    <row r="6241" spans="3:4" x14ac:dyDescent="0.35">
      <c r="C6241" s="51"/>
      <c r="D6241" s="51"/>
    </row>
    <row r="6242" spans="3:4" x14ac:dyDescent="0.35">
      <c r="C6242" s="51"/>
      <c r="D6242" s="51"/>
    </row>
    <row r="6243" spans="3:4" x14ac:dyDescent="0.35">
      <c r="C6243" s="51"/>
      <c r="D6243" s="51"/>
    </row>
    <row r="6244" spans="3:4" x14ac:dyDescent="0.35">
      <c r="C6244" s="51"/>
      <c r="D6244" s="51"/>
    </row>
    <row r="6245" spans="3:4" x14ac:dyDescent="0.35">
      <c r="C6245" s="51"/>
      <c r="D6245" s="51"/>
    </row>
    <row r="6246" spans="3:4" x14ac:dyDescent="0.35">
      <c r="C6246" s="51"/>
      <c r="D6246" s="51"/>
    </row>
    <row r="6247" spans="3:4" x14ac:dyDescent="0.35">
      <c r="C6247" s="51"/>
      <c r="D6247" s="51"/>
    </row>
    <row r="6248" spans="3:4" x14ac:dyDescent="0.35">
      <c r="C6248" s="51"/>
      <c r="D6248" s="51"/>
    </row>
    <row r="6249" spans="3:4" x14ac:dyDescent="0.35">
      <c r="C6249" s="51"/>
      <c r="D6249" s="51"/>
    </row>
    <row r="6250" spans="3:4" x14ac:dyDescent="0.35">
      <c r="C6250" s="51"/>
      <c r="D6250" s="51"/>
    </row>
    <row r="6251" spans="3:4" x14ac:dyDescent="0.35">
      <c r="C6251" s="51"/>
      <c r="D6251" s="51"/>
    </row>
    <row r="6252" spans="3:4" x14ac:dyDescent="0.35">
      <c r="C6252" s="51"/>
      <c r="D6252" s="51"/>
    </row>
    <row r="6253" spans="3:4" x14ac:dyDescent="0.35">
      <c r="C6253" s="51"/>
      <c r="D6253" s="51"/>
    </row>
    <row r="6254" spans="3:4" x14ac:dyDescent="0.35">
      <c r="C6254" s="51"/>
      <c r="D6254" s="51"/>
    </row>
    <row r="6255" spans="3:4" x14ac:dyDescent="0.35">
      <c r="C6255" s="51"/>
      <c r="D6255" s="51"/>
    </row>
    <row r="6256" spans="3:4" x14ac:dyDescent="0.35">
      <c r="C6256" s="51"/>
      <c r="D6256" s="51"/>
    </row>
    <row r="6257" spans="3:4" x14ac:dyDescent="0.35">
      <c r="C6257" s="51"/>
      <c r="D6257" s="51"/>
    </row>
    <row r="6258" spans="3:4" x14ac:dyDescent="0.35">
      <c r="C6258" s="51"/>
      <c r="D6258" s="51"/>
    </row>
    <row r="6259" spans="3:4" x14ac:dyDescent="0.35">
      <c r="C6259" s="51"/>
      <c r="D6259" s="51"/>
    </row>
    <row r="6260" spans="3:4" x14ac:dyDescent="0.35">
      <c r="C6260" s="51"/>
      <c r="D6260" s="51"/>
    </row>
    <row r="6261" spans="3:4" x14ac:dyDescent="0.35">
      <c r="C6261" s="51"/>
      <c r="D6261" s="51"/>
    </row>
    <row r="6262" spans="3:4" x14ac:dyDescent="0.35">
      <c r="C6262" s="51"/>
      <c r="D6262" s="51"/>
    </row>
    <row r="6263" spans="3:4" x14ac:dyDescent="0.35">
      <c r="C6263" s="51"/>
      <c r="D6263" s="51"/>
    </row>
    <row r="6264" spans="3:4" x14ac:dyDescent="0.35">
      <c r="C6264" s="51"/>
      <c r="D6264" s="51"/>
    </row>
    <row r="6265" spans="3:4" x14ac:dyDescent="0.35">
      <c r="C6265" s="51"/>
      <c r="D6265" s="51"/>
    </row>
    <row r="6266" spans="3:4" x14ac:dyDescent="0.35">
      <c r="C6266" s="51"/>
      <c r="D6266" s="51"/>
    </row>
    <row r="6267" spans="3:4" x14ac:dyDescent="0.35">
      <c r="C6267" s="51"/>
      <c r="D6267" s="51"/>
    </row>
    <row r="6268" spans="3:4" x14ac:dyDescent="0.35">
      <c r="C6268" s="51"/>
      <c r="D6268" s="51"/>
    </row>
    <row r="6269" spans="3:4" x14ac:dyDescent="0.35">
      <c r="C6269" s="51"/>
      <c r="D6269" s="51"/>
    </row>
    <row r="6270" spans="3:4" x14ac:dyDescent="0.35">
      <c r="C6270" s="51"/>
      <c r="D6270" s="51"/>
    </row>
    <row r="6271" spans="3:4" x14ac:dyDescent="0.35">
      <c r="C6271" s="51"/>
      <c r="D6271" s="51"/>
    </row>
    <row r="6272" spans="3:4" x14ac:dyDescent="0.35">
      <c r="C6272" s="51"/>
      <c r="D6272" s="51"/>
    </row>
    <row r="6273" spans="3:4" x14ac:dyDescent="0.35">
      <c r="C6273" s="51"/>
      <c r="D6273" s="51"/>
    </row>
    <row r="6274" spans="3:4" x14ac:dyDescent="0.35">
      <c r="C6274" s="51"/>
      <c r="D6274" s="51"/>
    </row>
    <row r="6275" spans="3:4" x14ac:dyDescent="0.35">
      <c r="C6275" s="51"/>
      <c r="D6275" s="51"/>
    </row>
    <row r="6276" spans="3:4" x14ac:dyDescent="0.35">
      <c r="C6276" s="51"/>
      <c r="D6276" s="51"/>
    </row>
    <row r="6277" spans="3:4" x14ac:dyDescent="0.35">
      <c r="C6277" s="51"/>
      <c r="D6277" s="51"/>
    </row>
    <row r="6278" spans="3:4" x14ac:dyDescent="0.35">
      <c r="C6278" s="51"/>
      <c r="D6278" s="51"/>
    </row>
    <row r="6279" spans="3:4" x14ac:dyDescent="0.35">
      <c r="C6279" s="51"/>
      <c r="D6279" s="51"/>
    </row>
    <row r="6280" spans="3:4" x14ac:dyDescent="0.35">
      <c r="C6280" s="51"/>
      <c r="D6280" s="51"/>
    </row>
    <row r="6281" spans="3:4" x14ac:dyDescent="0.35">
      <c r="C6281" s="51"/>
      <c r="D6281" s="51"/>
    </row>
    <row r="6282" spans="3:4" x14ac:dyDescent="0.35">
      <c r="C6282" s="51"/>
      <c r="D6282" s="51"/>
    </row>
    <row r="6283" spans="3:4" x14ac:dyDescent="0.35">
      <c r="C6283" s="51"/>
      <c r="D6283" s="51"/>
    </row>
    <row r="6284" spans="3:4" x14ac:dyDescent="0.35">
      <c r="C6284" s="51"/>
      <c r="D6284" s="51"/>
    </row>
    <row r="6285" spans="3:4" x14ac:dyDescent="0.35">
      <c r="C6285" s="51"/>
      <c r="D6285" s="51"/>
    </row>
    <row r="6286" spans="3:4" x14ac:dyDescent="0.35">
      <c r="C6286" s="51"/>
      <c r="D6286" s="51"/>
    </row>
    <row r="6287" spans="3:4" x14ac:dyDescent="0.35">
      <c r="C6287" s="51"/>
      <c r="D6287" s="51"/>
    </row>
    <row r="6288" spans="3:4" x14ac:dyDescent="0.35">
      <c r="C6288" s="51"/>
      <c r="D6288" s="51"/>
    </row>
    <row r="6289" spans="3:4" x14ac:dyDescent="0.35">
      <c r="C6289" s="51"/>
      <c r="D6289" s="51"/>
    </row>
    <row r="6290" spans="3:4" x14ac:dyDescent="0.35">
      <c r="C6290" s="51"/>
      <c r="D6290" s="51"/>
    </row>
    <row r="6291" spans="3:4" x14ac:dyDescent="0.35">
      <c r="C6291" s="51"/>
      <c r="D6291" s="51"/>
    </row>
    <row r="6292" spans="3:4" x14ac:dyDescent="0.35">
      <c r="C6292" s="51"/>
      <c r="D6292" s="51"/>
    </row>
    <row r="6293" spans="3:4" x14ac:dyDescent="0.35">
      <c r="C6293" s="51"/>
      <c r="D6293" s="51"/>
    </row>
    <row r="6294" spans="3:4" x14ac:dyDescent="0.35">
      <c r="C6294" s="51"/>
      <c r="D6294" s="51"/>
    </row>
    <row r="6295" spans="3:4" x14ac:dyDescent="0.35">
      <c r="C6295" s="51"/>
      <c r="D6295" s="51"/>
    </row>
    <row r="6296" spans="3:4" x14ac:dyDescent="0.35">
      <c r="C6296" s="51"/>
      <c r="D6296" s="51"/>
    </row>
    <row r="6297" spans="3:4" x14ac:dyDescent="0.35">
      <c r="C6297" s="51"/>
      <c r="D6297" s="51"/>
    </row>
    <row r="6298" spans="3:4" x14ac:dyDescent="0.35">
      <c r="C6298" s="51"/>
      <c r="D6298" s="51"/>
    </row>
    <row r="6299" spans="3:4" x14ac:dyDescent="0.35">
      <c r="C6299" s="51"/>
      <c r="D6299" s="51"/>
    </row>
    <row r="6300" spans="3:4" x14ac:dyDescent="0.35">
      <c r="C6300" s="51"/>
      <c r="D6300" s="51"/>
    </row>
    <row r="6301" spans="3:4" x14ac:dyDescent="0.35">
      <c r="C6301" s="51"/>
      <c r="D6301" s="51"/>
    </row>
    <row r="6302" spans="3:4" x14ac:dyDescent="0.35">
      <c r="C6302" s="51"/>
      <c r="D6302" s="51"/>
    </row>
    <row r="6303" spans="3:4" x14ac:dyDescent="0.35">
      <c r="C6303" s="51"/>
      <c r="D6303" s="51"/>
    </row>
    <row r="6304" spans="3:4" x14ac:dyDescent="0.35">
      <c r="C6304" s="51"/>
      <c r="D6304" s="51"/>
    </row>
    <row r="6305" spans="3:4" x14ac:dyDescent="0.35">
      <c r="C6305" s="51"/>
      <c r="D6305" s="51"/>
    </row>
    <row r="6306" spans="3:4" x14ac:dyDescent="0.35">
      <c r="C6306" s="51"/>
      <c r="D6306" s="51"/>
    </row>
    <row r="6307" spans="3:4" x14ac:dyDescent="0.35">
      <c r="C6307" s="51"/>
      <c r="D6307" s="51"/>
    </row>
    <row r="6308" spans="3:4" x14ac:dyDescent="0.35">
      <c r="C6308" s="51"/>
      <c r="D6308" s="51"/>
    </row>
    <row r="6309" spans="3:4" x14ac:dyDescent="0.35">
      <c r="C6309" s="51"/>
      <c r="D6309" s="51"/>
    </row>
    <row r="6310" spans="3:4" x14ac:dyDescent="0.35">
      <c r="C6310" s="51"/>
      <c r="D6310" s="51"/>
    </row>
    <row r="6311" spans="3:4" x14ac:dyDescent="0.35">
      <c r="C6311" s="51"/>
      <c r="D6311" s="51"/>
    </row>
    <row r="6312" spans="3:4" x14ac:dyDescent="0.35">
      <c r="C6312" s="51"/>
      <c r="D6312" s="51"/>
    </row>
    <row r="6313" spans="3:4" x14ac:dyDescent="0.35">
      <c r="C6313" s="51"/>
      <c r="D6313" s="51"/>
    </row>
    <row r="6314" spans="3:4" x14ac:dyDescent="0.35">
      <c r="C6314" s="51"/>
      <c r="D6314" s="51"/>
    </row>
    <row r="6315" spans="3:4" x14ac:dyDescent="0.35">
      <c r="C6315" s="51"/>
      <c r="D6315" s="51"/>
    </row>
    <row r="6316" spans="3:4" x14ac:dyDescent="0.35">
      <c r="C6316" s="51"/>
      <c r="D6316" s="51"/>
    </row>
    <row r="6317" spans="3:4" x14ac:dyDescent="0.35">
      <c r="C6317" s="51"/>
      <c r="D6317" s="51"/>
    </row>
    <row r="6318" spans="3:4" x14ac:dyDescent="0.35">
      <c r="C6318" s="51"/>
      <c r="D6318" s="51"/>
    </row>
    <row r="6319" spans="3:4" x14ac:dyDescent="0.35">
      <c r="C6319" s="51"/>
      <c r="D6319" s="51"/>
    </row>
    <row r="6320" spans="3:4" x14ac:dyDescent="0.35">
      <c r="C6320" s="51"/>
      <c r="D6320" s="51"/>
    </row>
    <row r="6321" spans="3:4" x14ac:dyDescent="0.35">
      <c r="C6321" s="51"/>
      <c r="D6321" s="51"/>
    </row>
    <row r="6322" spans="3:4" x14ac:dyDescent="0.35">
      <c r="C6322" s="51"/>
      <c r="D6322" s="51"/>
    </row>
    <row r="6323" spans="3:4" x14ac:dyDescent="0.35">
      <c r="C6323" s="51"/>
      <c r="D6323" s="51"/>
    </row>
    <row r="6324" spans="3:4" x14ac:dyDescent="0.35">
      <c r="C6324" s="51"/>
      <c r="D6324" s="51"/>
    </row>
    <row r="6325" spans="3:4" x14ac:dyDescent="0.35">
      <c r="C6325" s="51"/>
      <c r="D6325" s="51"/>
    </row>
    <row r="6326" spans="3:4" x14ac:dyDescent="0.35">
      <c r="C6326" s="51"/>
      <c r="D6326" s="51"/>
    </row>
    <row r="6327" spans="3:4" x14ac:dyDescent="0.35">
      <c r="C6327" s="51"/>
      <c r="D6327" s="51"/>
    </row>
    <row r="6328" spans="3:4" x14ac:dyDescent="0.35">
      <c r="C6328" s="51"/>
      <c r="D6328" s="51"/>
    </row>
    <row r="6329" spans="3:4" x14ac:dyDescent="0.35">
      <c r="C6329" s="51"/>
      <c r="D6329" s="51"/>
    </row>
    <row r="6330" spans="3:4" x14ac:dyDescent="0.35">
      <c r="C6330" s="51"/>
      <c r="D6330" s="51"/>
    </row>
    <row r="6331" spans="3:4" x14ac:dyDescent="0.35">
      <c r="C6331" s="51"/>
      <c r="D6331" s="51"/>
    </row>
    <row r="6332" spans="3:4" x14ac:dyDescent="0.35">
      <c r="C6332" s="51"/>
      <c r="D6332" s="51"/>
    </row>
    <row r="6333" spans="3:4" x14ac:dyDescent="0.35">
      <c r="C6333" s="51"/>
      <c r="D6333" s="51"/>
    </row>
    <row r="6334" spans="3:4" x14ac:dyDescent="0.35">
      <c r="C6334" s="51"/>
      <c r="D6334" s="51"/>
    </row>
    <row r="6335" spans="3:4" x14ac:dyDescent="0.35">
      <c r="C6335" s="51"/>
      <c r="D6335" s="51"/>
    </row>
    <row r="6336" spans="3:4" x14ac:dyDescent="0.35">
      <c r="C6336" s="51"/>
      <c r="D6336" s="51"/>
    </row>
    <row r="6337" spans="3:4" x14ac:dyDescent="0.35">
      <c r="C6337" s="51"/>
      <c r="D6337" s="51"/>
    </row>
    <row r="6338" spans="3:4" x14ac:dyDescent="0.35">
      <c r="C6338" s="51"/>
      <c r="D6338" s="51"/>
    </row>
    <row r="6339" spans="3:4" x14ac:dyDescent="0.35">
      <c r="C6339" s="51"/>
      <c r="D6339" s="51"/>
    </row>
    <row r="6340" spans="3:4" x14ac:dyDescent="0.35">
      <c r="C6340" s="51"/>
      <c r="D6340" s="51"/>
    </row>
    <row r="6341" spans="3:4" x14ac:dyDescent="0.35">
      <c r="C6341" s="51"/>
      <c r="D6341" s="51"/>
    </row>
    <row r="6342" spans="3:4" x14ac:dyDescent="0.35">
      <c r="C6342" s="51"/>
      <c r="D6342" s="51"/>
    </row>
    <row r="6343" spans="3:4" x14ac:dyDescent="0.35">
      <c r="C6343" s="51"/>
      <c r="D6343" s="51"/>
    </row>
    <row r="6344" spans="3:4" x14ac:dyDescent="0.35">
      <c r="C6344" s="51"/>
      <c r="D6344" s="51"/>
    </row>
    <row r="6345" spans="3:4" x14ac:dyDescent="0.35">
      <c r="C6345" s="51"/>
      <c r="D6345" s="51"/>
    </row>
    <row r="6346" spans="3:4" x14ac:dyDescent="0.35">
      <c r="C6346" s="51"/>
      <c r="D6346" s="51"/>
    </row>
    <row r="6347" spans="3:4" x14ac:dyDescent="0.35">
      <c r="C6347" s="51"/>
      <c r="D6347" s="51"/>
    </row>
    <row r="6348" spans="3:4" x14ac:dyDescent="0.35">
      <c r="C6348" s="51"/>
      <c r="D6348" s="51"/>
    </row>
    <row r="6349" spans="3:4" x14ac:dyDescent="0.35">
      <c r="C6349" s="51"/>
      <c r="D6349" s="51"/>
    </row>
    <row r="6350" spans="3:4" x14ac:dyDescent="0.35">
      <c r="C6350" s="51"/>
      <c r="D6350" s="51"/>
    </row>
    <row r="6351" spans="3:4" x14ac:dyDescent="0.35">
      <c r="C6351" s="51"/>
      <c r="D6351" s="51"/>
    </row>
    <row r="6352" spans="3:4" x14ac:dyDescent="0.35">
      <c r="C6352" s="51"/>
      <c r="D6352" s="51"/>
    </row>
    <row r="6353" spans="3:4" x14ac:dyDescent="0.35">
      <c r="C6353" s="51"/>
      <c r="D6353" s="51"/>
    </row>
    <row r="6354" spans="3:4" x14ac:dyDescent="0.35">
      <c r="C6354" s="51"/>
      <c r="D6354" s="51"/>
    </row>
    <row r="6355" spans="3:4" x14ac:dyDescent="0.35">
      <c r="C6355" s="51"/>
      <c r="D6355" s="51"/>
    </row>
    <row r="6356" spans="3:4" x14ac:dyDescent="0.35">
      <c r="C6356" s="51"/>
      <c r="D6356" s="51"/>
    </row>
    <row r="6357" spans="3:4" x14ac:dyDescent="0.35">
      <c r="C6357" s="51"/>
      <c r="D6357" s="51"/>
    </row>
    <row r="6358" spans="3:4" x14ac:dyDescent="0.35">
      <c r="C6358" s="51"/>
      <c r="D6358" s="51"/>
    </row>
    <row r="6359" spans="3:4" x14ac:dyDescent="0.35">
      <c r="C6359" s="51"/>
      <c r="D6359" s="51"/>
    </row>
    <row r="6360" spans="3:4" x14ac:dyDescent="0.35">
      <c r="C6360" s="51"/>
      <c r="D6360" s="51"/>
    </row>
    <row r="6361" spans="3:4" x14ac:dyDescent="0.35">
      <c r="C6361" s="51"/>
      <c r="D6361" s="51"/>
    </row>
    <row r="6362" spans="3:4" x14ac:dyDescent="0.35">
      <c r="C6362" s="51"/>
      <c r="D6362" s="51"/>
    </row>
    <row r="6363" spans="3:4" x14ac:dyDescent="0.35">
      <c r="C6363" s="51"/>
      <c r="D6363" s="51"/>
    </row>
    <row r="6364" spans="3:4" x14ac:dyDescent="0.35">
      <c r="C6364" s="51"/>
      <c r="D6364" s="51"/>
    </row>
    <row r="6365" spans="3:4" x14ac:dyDescent="0.35">
      <c r="C6365" s="51"/>
      <c r="D6365" s="51"/>
    </row>
    <row r="6366" spans="3:4" x14ac:dyDescent="0.35">
      <c r="C6366" s="51"/>
      <c r="D6366" s="51"/>
    </row>
    <row r="6367" spans="3:4" x14ac:dyDescent="0.35">
      <c r="C6367" s="51"/>
      <c r="D6367" s="51"/>
    </row>
    <row r="6368" spans="3:4" x14ac:dyDescent="0.35">
      <c r="C6368" s="51"/>
      <c r="D6368" s="51"/>
    </row>
    <row r="6369" spans="3:4" x14ac:dyDescent="0.35">
      <c r="C6369" s="51"/>
      <c r="D6369" s="51"/>
    </row>
    <row r="6370" spans="3:4" x14ac:dyDescent="0.35">
      <c r="C6370" s="51"/>
      <c r="D6370" s="51"/>
    </row>
    <row r="6371" spans="3:4" x14ac:dyDescent="0.35">
      <c r="C6371" s="51"/>
      <c r="D6371" s="51"/>
    </row>
    <row r="6372" spans="3:4" x14ac:dyDescent="0.35">
      <c r="C6372" s="51"/>
      <c r="D6372" s="51"/>
    </row>
    <row r="6373" spans="3:4" x14ac:dyDescent="0.35">
      <c r="C6373" s="51"/>
      <c r="D6373" s="51"/>
    </row>
    <row r="6374" spans="3:4" x14ac:dyDescent="0.35">
      <c r="C6374" s="51"/>
      <c r="D6374" s="51"/>
    </row>
    <row r="6375" spans="3:4" x14ac:dyDescent="0.35">
      <c r="C6375" s="51"/>
      <c r="D6375" s="51"/>
    </row>
    <row r="6376" spans="3:4" x14ac:dyDescent="0.35">
      <c r="C6376" s="51"/>
      <c r="D6376" s="51"/>
    </row>
    <row r="6377" spans="3:4" x14ac:dyDescent="0.35">
      <c r="C6377" s="51"/>
      <c r="D6377" s="51"/>
    </row>
    <row r="6378" spans="3:4" x14ac:dyDescent="0.35">
      <c r="C6378" s="51"/>
      <c r="D6378" s="51"/>
    </row>
    <row r="6379" spans="3:4" x14ac:dyDescent="0.35">
      <c r="C6379" s="51"/>
      <c r="D6379" s="51"/>
    </row>
    <row r="6380" spans="3:4" x14ac:dyDescent="0.35">
      <c r="C6380" s="51"/>
      <c r="D6380" s="51"/>
    </row>
    <row r="6381" spans="3:4" x14ac:dyDescent="0.35">
      <c r="C6381" s="51"/>
      <c r="D6381" s="51"/>
    </row>
    <row r="6382" spans="3:4" x14ac:dyDescent="0.35">
      <c r="C6382" s="51"/>
      <c r="D6382" s="51"/>
    </row>
    <row r="6383" spans="3:4" x14ac:dyDescent="0.35">
      <c r="C6383" s="51"/>
      <c r="D6383" s="51"/>
    </row>
    <row r="6384" spans="3:4" x14ac:dyDescent="0.35">
      <c r="C6384" s="51"/>
      <c r="D6384" s="51"/>
    </row>
    <row r="6385" spans="3:4" x14ac:dyDescent="0.35">
      <c r="C6385" s="51"/>
      <c r="D6385" s="51"/>
    </row>
    <row r="6386" spans="3:4" x14ac:dyDescent="0.35">
      <c r="C6386" s="51"/>
      <c r="D6386" s="51"/>
    </row>
    <row r="6387" spans="3:4" x14ac:dyDescent="0.35">
      <c r="C6387" s="51"/>
      <c r="D6387" s="51"/>
    </row>
    <row r="6388" spans="3:4" x14ac:dyDescent="0.35">
      <c r="C6388" s="51"/>
      <c r="D6388" s="51"/>
    </row>
    <row r="6389" spans="3:4" x14ac:dyDescent="0.35">
      <c r="C6389" s="51"/>
      <c r="D6389" s="51"/>
    </row>
    <row r="6390" spans="3:4" x14ac:dyDescent="0.35">
      <c r="C6390" s="51"/>
      <c r="D6390" s="51"/>
    </row>
    <row r="6391" spans="3:4" x14ac:dyDescent="0.35">
      <c r="C6391" s="51"/>
      <c r="D6391" s="51"/>
    </row>
    <row r="6392" spans="3:4" x14ac:dyDescent="0.35">
      <c r="C6392" s="51"/>
      <c r="D6392" s="51"/>
    </row>
    <row r="6393" spans="3:4" x14ac:dyDescent="0.35">
      <c r="C6393" s="51"/>
      <c r="D6393" s="51"/>
    </row>
    <row r="6394" spans="3:4" x14ac:dyDescent="0.35">
      <c r="C6394" s="51"/>
      <c r="D6394" s="51"/>
    </row>
    <row r="6395" spans="3:4" x14ac:dyDescent="0.35">
      <c r="C6395" s="51"/>
      <c r="D6395" s="51"/>
    </row>
    <row r="6396" spans="3:4" x14ac:dyDescent="0.35">
      <c r="C6396" s="51"/>
      <c r="D6396" s="51"/>
    </row>
    <row r="6397" spans="3:4" x14ac:dyDescent="0.35">
      <c r="C6397" s="51"/>
      <c r="D6397" s="51"/>
    </row>
    <row r="6398" spans="3:4" x14ac:dyDescent="0.35">
      <c r="C6398" s="51"/>
      <c r="D6398" s="51"/>
    </row>
    <row r="6399" spans="3:4" x14ac:dyDescent="0.35">
      <c r="C6399" s="51"/>
      <c r="D6399" s="51"/>
    </row>
    <row r="6400" spans="3:4" x14ac:dyDescent="0.35">
      <c r="C6400" s="51"/>
      <c r="D6400" s="51"/>
    </row>
    <row r="6401" spans="3:4" x14ac:dyDescent="0.35">
      <c r="C6401" s="51"/>
      <c r="D6401" s="51"/>
    </row>
    <row r="6402" spans="3:4" x14ac:dyDescent="0.35">
      <c r="C6402" s="51"/>
      <c r="D6402" s="51"/>
    </row>
    <row r="6403" spans="3:4" x14ac:dyDescent="0.35">
      <c r="C6403" s="51"/>
      <c r="D6403" s="51"/>
    </row>
    <row r="6404" spans="3:4" x14ac:dyDescent="0.35">
      <c r="C6404" s="51"/>
      <c r="D6404" s="51"/>
    </row>
    <row r="6405" spans="3:4" x14ac:dyDescent="0.35">
      <c r="C6405" s="51"/>
      <c r="D6405" s="51"/>
    </row>
    <row r="6406" spans="3:4" x14ac:dyDescent="0.35">
      <c r="C6406" s="51"/>
      <c r="D6406" s="51"/>
    </row>
    <row r="6407" spans="3:4" x14ac:dyDescent="0.35">
      <c r="C6407" s="51"/>
      <c r="D6407" s="51"/>
    </row>
    <row r="6408" spans="3:4" x14ac:dyDescent="0.35">
      <c r="C6408" s="51"/>
      <c r="D6408" s="51"/>
    </row>
    <row r="6409" spans="3:4" x14ac:dyDescent="0.35">
      <c r="C6409" s="51"/>
      <c r="D6409" s="51"/>
    </row>
    <row r="6410" spans="3:4" x14ac:dyDescent="0.35">
      <c r="C6410" s="51"/>
      <c r="D6410" s="51"/>
    </row>
    <row r="6411" spans="3:4" x14ac:dyDescent="0.35">
      <c r="C6411" s="51"/>
      <c r="D6411" s="51"/>
    </row>
    <row r="6412" spans="3:4" x14ac:dyDescent="0.35">
      <c r="C6412" s="51"/>
      <c r="D6412" s="51"/>
    </row>
    <row r="6413" spans="3:4" x14ac:dyDescent="0.35">
      <c r="C6413" s="51"/>
      <c r="D6413" s="51"/>
    </row>
    <row r="6414" spans="3:4" x14ac:dyDescent="0.35">
      <c r="C6414" s="51"/>
      <c r="D6414" s="51"/>
    </row>
    <row r="6415" spans="3:4" x14ac:dyDescent="0.35">
      <c r="C6415" s="51"/>
      <c r="D6415" s="51"/>
    </row>
    <row r="6416" spans="3:4" x14ac:dyDescent="0.35">
      <c r="C6416" s="51"/>
      <c r="D6416" s="51"/>
    </row>
    <row r="6417" spans="3:4" x14ac:dyDescent="0.35">
      <c r="C6417" s="51"/>
      <c r="D6417" s="51"/>
    </row>
    <row r="6418" spans="3:4" x14ac:dyDescent="0.35">
      <c r="C6418" s="51"/>
      <c r="D6418" s="51"/>
    </row>
    <row r="6419" spans="3:4" x14ac:dyDescent="0.35">
      <c r="C6419" s="51"/>
      <c r="D6419" s="51"/>
    </row>
    <row r="6420" spans="3:4" x14ac:dyDescent="0.35">
      <c r="C6420" s="51"/>
      <c r="D6420" s="51"/>
    </row>
    <row r="6421" spans="3:4" x14ac:dyDescent="0.35">
      <c r="C6421" s="51"/>
      <c r="D6421" s="51"/>
    </row>
    <row r="6422" spans="3:4" x14ac:dyDescent="0.35">
      <c r="C6422" s="51"/>
      <c r="D6422" s="51"/>
    </row>
    <row r="6423" spans="3:4" x14ac:dyDescent="0.35">
      <c r="C6423" s="51"/>
      <c r="D6423" s="51"/>
    </row>
    <row r="6424" spans="3:4" x14ac:dyDescent="0.35">
      <c r="C6424" s="51"/>
      <c r="D6424" s="51"/>
    </row>
    <row r="6425" spans="3:4" x14ac:dyDescent="0.35">
      <c r="C6425" s="51"/>
      <c r="D6425" s="51"/>
    </row>
    <row r="6426" spans="3:4" x14ac:dyDescent="0.35">
      <c r="C6426" s="51"/>
      <c r="D6426" s="51"/>
    </row>
    <row r="6427" spans="3:4" x14ac:dyDescent="0.35">
      <c r="C6427" s="51"/>
      <c r="D6427" s="51"/>
    </row>
    <row r="6428" spans="3:4" x14ac:dyDescent="0.35">
      <c r="C6428" s="51"/>
      <c r="D6428" s="51"/>
    </row>
    <row r="6429" spans="3:4" x14ac:dyDescent="0.35">
      <c r="C6429" s="51"/>
      <c r="D6429" s="51"/>
    </row>
    <row r="6430" spans="3:4" x14ac:dyDescent="0.35">
      <c r="C6430" s="51"/>
      <c r="D6430" s="51"/>
    </row>
    <row r="6431" spans="3:4" x14ac:dyDescent="0.35">
      <c r="C6431" s="51"/>
      <c r="D6431" s="51"/>
    </row>
    <row r="6432" spans="3:4" x14ac:dyDescent="0.35">
      <c r="C6432" s="51"/>
      <c r="D6432" s="51"/>
    </row>
    <row r="6433" spans="3:4" x14ac:dyDescent="0.35">
      <c r="C6433" s="51"/>
      <c r="D6433" s="51"/>
    </row>
    <row r="6434" spans="3:4" x14ac:dyDescent="0.35">
      <c r="C6434" s="51"/>
      <c r="D6434" s="51"/>
    </row>
    <row r="6435" spans="3:4" x14ac:dyDescent="0.35">
      <c r="C6435" s="51"/>
      <c r="D6435" s="51"/>
    </row>
    <row r="6436" spans="3:4" x14ac:dyDescent="0.35">
      <c r="C6436" s="51"/>
      <c r="D6436" s="51"/>
    </row>
    <row r="6437" spans="3:4" x14ac:dyDescent="0.35">
      <c r="C6437" s="51"/>
      <c r="D6437" s="51"/>
    </row>
    <row r="6438" spans="3:4" x14ac:dyDescent="0.35">
      <c r="C6438" s="51"/>
      <c r="D6438" s="51"/>
    </row>
    <row r="6439" spans="3:4" x14ac:dyDescent="0.35">
      <c r="C6439" s="51"/>
      <c r="D6439" s="51"/>
    </row>
    <row r="6440" spans="3:4" x14ac:dyDescent="0.35">
      <c r="C6440" s="51"/>
      <c r="D6440" s="51"/>
    </row>
    <row r="6441" spans="3:4" x14ac:dyDescent="0.35">
      <c r="C6441" s="51"/>
      <c r="D6441" s="51"/>
    </row>
    <row r="6442" spans="3:4" x14ac:dyDescent="0.35">
      <c r="C6442" s="51"/>
      <c r="D6442" s="51"/>
    </row>
    <row r="6443" spans="3:4" x14ac:dyDescent="0.35">
      <c r="C6443" s="51"/>
      <c r="D6443" s="51"/>
    </row>
    <row r="6444" spans="3:4" x14ac:dyDescent="0.35">
      <c r="C6444" s="51"/>
      <c r="D6444" s="51"/>
    </row>
    <row r="6445" spans="3:4" x14ac:dyDescent="0.35">
      <c r="C6445" s="51"/>
      <c r="D6445" s="51"/>
    </row>
    <row r="6446" spans="3:4" x14ac:dyDescent="0.35">
      <c r="C6446" s="51"/>
      <c r="D6446" s="51"/>
    </row>
    <row r="6447" spans="3:4" x14ac:dyDescent="0.35">
      <c r="C6447" s="51"/>
      <c r="D6447" s="51"/>
    </row>
    <row r="6448" spans="3:4" x14ac:dyDescent="0.35">
      <c r="C6448" s="51"/>
      <c r="D6448" s="51"/>
    </row>
    <row r="6449" spans="3:4" x14ac:dyDescent="0.35">
      <c r="C6449" s="51"/>
      <c r="D6449" s="51"/>
    </row>
    <row r="6450" spans="3:4" x14ac:dyDescent="0.35">
      <c r="C6450" s="51"/>
      <c r="D6450" s="51"/>
    </row>
    <row r="6451" spans="3:4" x14ac:dyDescent="0.35">
      <c r="C6451" s="51"/>
      <c r="D6451" s="51"/>
    </row>
    <row r="6452" spans="3:4" x14ac:dyDescent="0.35">
      <c r="C6452" s="51"/>
      <c r="D6452" s="51"/>
    </row>
    <row r="6453" spans="3:4" x14ac:dyDescent="0.35">
      <c r="C6453" s="51"/>
      <c r="D6453" s="51"/>
    </row>
    <row r="6454" spans="3:4" x14ac:dyDescent="0.35">
      <c r="C6454" s="51"/>
      <c r="D6454" s="51"/>
    </row>
    <row r="6455" spans="3:4" x14ac:dyDescent="0.35">
      <c r="C6455" s="51"/>
      <c r="D6455" s="51"/>
    </row>
    <row r="6456" spans="3:4" x14ac:dyDescent="0.35">
      <c r="C6456" s="51"/>
      <c r="D6456" s="51"/>
    </row>
    <row r="6457" spans="3:4" x14ac:dyDescent="0.35">
      <c r="C6457" s="51"/>
      <c r="D6457" s="51"/>
    </row>
    <row r="6458" spans="3:4" x14ac:dyDescent="0.35">
      <c r="C6458" s="51"/>
      <c r="D6458" s="51"/>
    </row>
    <row r="6459" spans="3:4" x14ac:dyDescent="0.35">
      <c r="C6459" s="51"/>
      <c r="D6459" s="51"/>
    </row>
    <row r="6460" spans="3:4" x14ac:dyDescent="0.35">
      <c r="C6460" s="51"/>
      <c r="D6460" s="51"/>
    </row>
    <row r="6461" spans="3:4" x14ac:dyDescent="0.35">
      <c r="C6461" s="51"/>
      <c r="D6461" s="51"/>
    </row>
    <row r="6462" spans="3:4" x14ac:dyDescent="0.35">
      <c r="C6462" s="51"/>
      <c r="D6462" s="51"/>
    </row>
    <row r="6463" spans="3:4" x14ac:dyDescent="0.35">
      <c r="C6463" s="51"/>
      <c r="D6463" s="51"/>
    </row>
    <row r="6464" spans="3:4" x14ac:dyDescent="0.35">
      <c r="C6464" s="51"/>
      <c r="D6464" s="51"/>
    </row>
    <row r="6465" spans="3:4" x14ac:dyDescent="0.35">
      <c r="C6465" s="51"/>
      <c r="D6465" s="51"/>
    </row>
    <row r="6466" spans="3:4" x14ac:dyDescent="0.35">
      <c r="C6466" s="51"/>
      <c r="D6466" s="51"/>
    </row>
    <row r="6467" spans="3:4" x14ac:dyDescent="0.35">
      <c r="C6467" s="51"/>
      <c r="D6467" s="51"/>
    </row>
    <row r="6468" spans="3:4" x14ac:dyDescent="0.35">
      <c r="C6468" s="51"/>
      <c r="D6468" s="51"/>
    </row>
    <row r="6469" spans="3:4" x14ac:dyDescent="0.35">
      <c r="C6469" s="51"/>
      <c r="D6469" s="51"/>
    </row>
    <row r="6470" spans="3:4" x14ac:dyDescent="0.35">
      <c r="C6470" s="51"/>
      <c r="D6470" s="51"/>
    </row>
    <row r="6471" spans="3:4" x14ac:dyDescent="0.35">
      <c r="C6471" s="51"/>
      <c r="D6471" s="51"/>
    </row>
    <row r="6472" spans="3:4" x14ac:dyDescent="0.35">
      <c r="C6472" s="51"/>
      <c r="D6472" s="51"/>
    </row>
    <row r="6473" spans="3:4" x14ac:dyDescent="0.35">
      <c r="C6473" s="51"/>
      <c r="D6473" s="51"/>
    </row>
    <row r="6474" spans="3:4" x14ac:dyDescent="0.35">
      <c r="C6474" s="51"/>
      <c r="D6474" s="51"/>
    </row>
    <row r="6475" spans="3:4" x14ac:dyDescent="0.35">
      <c r="C6475" s="51"/>
      <c r="D6475" s="51"/>
    </row>
    <row r="6476" spans="3:4" x14ac:dyDescent="0.35">
      <c r="C6476" s="51"/>
      <c r="D6476" s="51"/>
    </row>
    <row r="6477" spans="3:4" x14ac:dyDescent="0.35">
      <c r="C6477" s="51"/>
      <c r="D6477" s="51"/>
    </row>
    <row r="6478" spans="3:4" x14ac:dyDescent="0.35">
      <c r="C6478" s="51"/>
      <c r="D6478" s="51"/>
    </row>
    <row r="6479" spans="3:4" x14ac:dyDescent="0.35">
      <c r="C6479" s="51"/>
      <c r="D6479" s="51"/>
    </row>
    <row r="6480" spans="3:4" x14ac:dyDescent="0.35">
      <c r="C6480" s="51"/>
      <c r="D6480" s="51"/>
    </row>
    <row r="6481" spans="3:4" x14ac:dyDescent="0.35">
      <c r="C6481" s="51"/>
      <c r="D6481" s="51"/>
    </row>
    <row r="6482" spans="3:4" x14ac:dyDescent="0.35">
      <c r="C6482" s="51"/>
      <c r="D6482" s="51"/>
    </row>
    <row r="6483" spans="3:4" x14ac:dyDescent="0.35">
      <c r="C6483" s="51"/>
      <c r="D6483" s="51"/>
    </row>
    <row r="6484" spans="3:4" x14ac:dyDescent="0.35">
      <c r="C6484" s="51"/>
      <c r="D6484" s="51"/>
    </row>
    <row r="6485" spans="3:4" x14ac:dyDescent="0.35">
      <c r="C6485" s="51"/>
      <c r="D6485" s="51"/>
    </row>
    <row r="6486" spans="3:4" x14ac:dyDescent="0.35">
      <c r="C6486" s="51"/>
      <c r="D6486" s="51"/>
    </row>
    <row r="6487" spans="3:4" x14ac:dyDescent="0.35">
      <c r="C6487" s="51"/>
      <c r="D6487" s="51"/>
    </row>
    <row r="6488" spans="3:4" x14ac:dyDescent="0.35">
      <c r="C6488" s="51"/>
      <c r="D6488" s="51"/>
    </row>
    <row r="6489" spans="3:4" x14ac:dyDescent="0.35">
      <c r="C6489" s="51"/>
      <c r="D6489" s="51"/>
    </row>
    <row r="6490" spans="3:4" x14ac:dyDescent="0.35">
      <c r="C6490" s="51"/>
      <c r="D6490" s="51"/>
    </row>
    <row r="6491" spans="3:4" x14ac:dyDescent="0.35">
      <c r="C6491" s="51"/>
      <c r="D6491" s="51"/>
    </row>
    <row r="6492" spans="3:4" x14ac:dyDescent="0.35">
      <c r="C6492" s="51"/>
      <c r="D6492" s="51"/>
    </row>
    <row r="6493" spans="3:4" x14ac:dyDescent="0.35">
      <c r="C6493" s="51"/>
      <c r="D6493" s="51"/>
    </row>
    <row r="6494" spans="3:4" x14ac:dyDescent="0.35">
      <c r="C6494" s="51"/>
      <c r="D6494" s="51"/>
    </row>
    <row r="6495" spans="3:4" x14ac:dyDescent="0.35">
      <c r="C6495" s="51"/>
      <c r="D6495" s="51"/>
    </row>
    <row r="6496" spans="3:4" x14ac:dyDescent="0.35">
      <c r="C6496" s="51"/>
      <c r="D6496" s="51"/>
    </row>
    <row r="6497" spans="3:4" x14ac:dyDescent="0.35">
      <c r="C6497" s="51"/>
      <c r="D6497" s="51"/>
    </row>
    <row r="6498" spans="3:4" x14ac:dyDescent="0.35">
      <c r="C6498" s="51"/>
      <c r="D6498" s="51"/>
    </row>
    <row r="6499" spans="3:4" x14ac:dyDescent="0.35">
      <c r="C6499" s="51"/>
      <c r="D6499" s="51"/>
    </row>
    <row r="6500" spans="3:4" x14ac:dyDescent="0.35">
      <c r="C6500" s="51"/>
      <c r="D6500" s="51"/>
    </row>
    <row r="6501" spans="3:4" x14ac:dyDescent="0.35">
      <c r="C6501" s="51"/>
      <c r="D6501" s="51"/>
    </row>
    <row r="6502" spans="3:4" x14ac:dyDescent="0.35">
      <c r="C6502" s="51"/>
      <c r="D6502" s="51"/>
    </row>
    <row r="6503" spans="3:4" x14ac:dyDescent="0.35">
      <c r="C6503" s="51"/>
      <c r="D6503" s="51"/>
    </row>
    <row r="6504" spans="3:4" x14ac:dyDescent="0.35">
      <c r="C6504" s="51"/>
      <c r="D6504" s="51"/>
    </row>
    <row r="6505" spans="3:4" x14ac:dyDescent="0.35">
      <c r="C6505" s="51"/>
      <c r="D6505" s="51"/>
    </row>
    <row r="6506" spans="3:4" x14ac:dyDescent="0.35">
      <c r="C6506" s="51"/>
      <c r="D6506" s="51"/>
    </row>
    <row r="6507" spans="3:4" x14ac:dyDescent="0.35">
      <c r="C6507" s="51"/>
      <c r="D6507" s="51"/>
    </row>
    <row r="6508" spans="3:4" x14ac:dyDescent="0.35">
      <c r="C6508" s="51"/>
      <c r="D6508" s="51"/>
    </row>
    <row r="6509" spans="3:4" x14ac:dyDescent="0.35">
      <c r="C6509" s="51"/>
      <c r="D6509" s="51"/>
    </row>
    <row r="6510" spans="3:4" x14ac:dyDescent="0.35">
      <c r="C6510" s="51"/>
      <c r="D6510" s="51"/>
    </row>
    <row r="6511" spans="3:4" x14ac:dyDescent="0.35">
      <c r="C6511" s="51"/>
      <c r="D6511" s="51"/>
    </row>
    <row r="6512" spans="3:4" x14ac:dyDescent="0.35">
      <c r="C6512" s="51"/>
      <c r="D6512" s="51"/>
    </row>
    <row r="6513" spans="3:4" x14ac:dyDescent="0.35">
      <c r="C6513" s="51"/>
      <c r="D6513" s="51"/>
    </row>
    <row r="6514" spans="3:4" x14ac:dyDescent="0.35">
      <c r="C6514" s="51"/>
      <c r="D6514" s="51"/>
    </row>
    <row r="6515" spans="3:4" x14ac:dyDescent="0.35">
      <c r="C6515" s="51"/>
      <c r="D6515" s="51"/>
    </row>
    <row r="6516" spans="3:4" x14ac:dyDescent="0.35">
      <c r="C6516" s="51"/>
      <c r="D6516" s="51"/>
    </row>
    <row r="6517" spans="3:4" x14ac:dyDescent="0.35">
      <c r="C6517" s="51"/>
      <c r="D6517" s="51"/>
    </row>
    <row r="6518" spans="3:4" x14ac:dyDescent="0.35">
      <c r="C6518" s="51"/>
      <c r="D6518" s="51"/>
    </row>
    <row r="6519" spans="3:4" x14ac:dyDescent="0.35">
      <c r="C6519" s="51"/>
      <c r="D6519" s="51"/>
    </row>
    <row r="6520" spans="3:4" x14ac:dyDescent="0.35">
      <c r="C6520" s="51"/>
      <c r="D6520" s="51"/>
    </row>
    <row r="6521" spans="3:4" x14ac:dyDescent="0.35">
      <c r="C6521" s="51"/>
      <c r="D6521" s="51"/>
    </row>
    <row r="6522" spans="3:4" x14ac:dyDescent="0.35">
      <c r="C6522" s="51"/>
      <c r="D6522" s="51"/>
    </row>
    <row r="6523" spans="3:4" x14ac:dyDescent="0.35">
      <c r="C6523" s="51"/>
      <c r="D6523" s="51"/>
    </row>
    <row r="6524" spans="3:4" x14ac:dyDescent="0.35">
      <c r="C6524" s="51"/>
      <c r="D6524" s="51"/>
    </row>
    <row r="6525" spans="3:4" x14ac:dyDescent="0.35">
      <c r="C6525" s="51"/>
      <c r="D6525" s="51"/>
    </row>
    <row r="6526" spans="3:4" x14ac:dyDescent="0.35">
      <c r="C6526" s="51"/>
      <c r="D6526" s="51"/>
    </row>
    <row r="6527" spans="3:4" x14ac:dyDescent="0.35">
      <c r="C6527" s="51"/>
      <c r="D6527" s="51"/>
    </row>
    <row r="6528" spans="3:4" x14ac:dyDescent="0.35">
      <c r="C6528" s="51"/>
      <c r="D6528" s="51"/>
    </row>
    <row r="6529" spans="3:4" x14ac:dyDescent="0.35">
      <c r="C6529" s="51"/>
      <c r="D6529" s="51"/>
    </row>
    <row r="6530" spans="3:4" x14ac:dyDescent="0.35">
      <c r="C6530" s="51"/>
      <c r="D6530" s="51"/>
    </row>
    <row r="6531" spans="3:4" x14ac:dyDescent="0.35">
      <c r="C6531" s="51"/>
      <c r="D6531" s="51"/>
    </row>
    <row r="6532" spans="3:4" x14ac:dyDescent="0.35">
      <c r="C6532" s="51"/>
      <c r="D6532" s="51"/>
    </row>
    <row r="6533" spans="3:4" x14ac:dyDescent="0.35">
      <c r="C6533" s="51"/>
      <c r="D6533" s="51"/>
    </row>
    <row r="6534" spans="3:4" x14ac:dyDescent="0.35">
      <c r="C6534" s="51"/>
      <c r="D6534" s="51"/>
    </row>
    <row r="6535" spans="3:4" x14ac:dyDescent="0.35">
      <c r="C6535" s="51"/>
      <c r="D6535" s="51"/>
    </row>
    <row r="6536" spans="3:4" x14ac:dyDescent="0.35">
      <c r="C6536" s="51"/>
      <c r="D6536" s="51"/>
    </row>
    <row r="6537" spans="3:4" x14ac:dyDescent="0.35">
      <c r="C6537" s="51"/>
      <c r="D6537" s="51"/>
    </row>
    <row r="6538" spans="3:4" x14ac:dyDescent="0.35">
      <c r="C6538" s="51"/>
      <c r="D6538" s="51"/>
    </row>
    <row r="6539" spans="3:4" x14ac:dyDescent="0.35">
      <c r="C6539" s="51"/>
      <c r="D6539" s="51"/>
    </row>
    <row r="6540" spans="3:4" x14ac:dyDescent="0.35">
      <c r="C6540" s="51"/>
      <c r="D6540" s="51"/>
    </row>
    <row r="6541" spans="3:4" x14ac:dyDescent="0.35">
      <c r="C6541" s="51"/>
      <c r="D6541" s="51"/>
    </row>
    <row r="6542" spans="3:4" x14ac:dyDescent="0.35">
      <c r="C6542" s="51"/>
      <c r="D6542" s="51"/>
    </row>
    <row r="6543" spans="3:4" x14ac:dyDescent="0.35">
      <c r="C6543" s="51"/>
      <c r="D6543" s="51"/>
    </row>
    <row r="6544" spans="3:4" x14ac:dyDescent="0.35">
      <c r="C6544" s="51"/>
      <c r="D6544" s="51"/>
    </row>
    <row r="6545" spans="3:4" x14ac:dyDescent="0.35">
      <c r="C6545" s="51"/>
      <c r="D6545" s="51"/>
    </row>
    <row r="6546" spans="3:4" x14ac:dyDescent="0.35">
      <c r="C6546" s="51"/>
      <c r="D6546" s="51"/>
    </row>
    <row r="6547" spans="3:4" x14ac:dyDescent="0.35">
      <c r="C6547" s="51"/>
      <c r="D6547" s="51"/>
    </row>
    <row r="6548" spans="3:4" x14ac:dyDescent="0.35">
      <c r="C6548" s="51"/>
      <c r="D6548" s="51"/>
    </row>
    <row r="6549" spans="3:4" x14ac:dyDescent="0.35">
      <c r="C6549" s="51"/>
      <c r="D6549" s="51"/>
    </row>
    <row r="6550" spans="3:4" x14ac:dyDescent="0.35">
      <c r="C6550" s="51"/>
      <c r="D6550" s="51"/>
    </row>
    <row r="6551" spans="3:4" x14ac:dyDescent="0.35">
      <c r="C6551" s="51"/>
      <c r="D6551" s="51"/>
    </row>
    <row r="6552" spans="3:4" x14ac:dyDescent="0.35">
      <c r="C6552" s="51"/>
      <c r="D6552" s="51"/>
    </row>
    <row r="6553" spans="3:4" x14ac:dyDescent="0.35">
      <c r="C6553" s="51"/>
      <c r="D6553" s="51"/>
    </row>
    <row r="6554" spans="3:4" x14ac:dyDescent="0.35">
      <c r="C6554" s="51"/>
      <c r="D6554" s="51"/>
    </row>
    <row r="6555" spans="3:4" x14ac:dyDescent="0.35">
      <c r="C6555" s="51"/>
      <c r="D6555" s="51"/>
    </row>
    <row r="6556" spans="3:4" x14ac:dyDescent="0.35">
      <c r="C6556" s="51"/>
      <c r="D6556" s="51"/>
    </row>
    <row r="6557" spans="3:4" x14ac:dyDescent="0.35">
      <c r="C6557" s="51"/>
      <c r="D6557" s="51"/>
    </row>
    <row r="6558" spans="3:4" x14ac:dyDescent="0.35">
      <c r="C6558" s="51"/>
      <c r="D6558" s="51"/>
    </row>
    <row r="6559" spans="3:4" x14ac:dyDescent="0.35">
      <c r="C6559" s="51"/>
      <c r="D6559" s="51"/>
    </row>
    <row r="6560" spans="3:4" x14ac:dyDescent="0.35">
      <c r="C6560" s="51"/>
      <c r="D6560" s="51"/>
    </row>
    <row r="6561" spans="3:4" x14ac:dyDescent="0.35">
      <c r="C6561" s="51"/>
      <c r="D6561" s="51"/>
    </row>
    <row r="6562" spans="3:4" x14ac:dyDescent="0.35">
      <c r="C6562" s="51"/>
      <c r="D6562" s="51"/>
    </row>
    <row r="6563" spans="3:4" x14ac:dyDescent="0.35">
      <c r="C6563" s="51"/>
      <c r="D6563" s="51"/>
    </row>
    <row r="6564" spans="3:4" x14ac:dyDescent="0.35">
      <c r="C6564" s="51"/>
      <c r="D6564" s="51"/>
    </row>
    <row r="6565" spans="3:4" x14ac:dyDescent="0.35">
      <c r="C6565" s="51"/>
      <c r="D6565" s="51"/>
    </row>
    <row r="6566" spans="3:4" x14ac:dyDescent="0.35">
      <c r="C6566" s="51"/>
      <c r="D6566" s="51"/>
    </row>
    <row r="6567" spans="3:4" x14ac:dyDescent="0.35">
      <c r="C6567" s="51"/>
      <c r="D6567" s="51"/>
    </row>
    <row r="6568" spans="3:4" x14ac:dyDescent="0.35">
      <c r="C6568" s="51"/>
      <c r="D6568" s="51"/>
    </row>
    <row r="6569" spans="3:4" x14ac:dyDescent="0.35">
      <c r="C6569" s="51"/>
      <c r="D6569" s="51"/>
    </row>
    <row r="6570" spans="3:4" x14ac:dyDescent="0.35">
      <c r="C6570" s="51"/>
      <c r="D6570" s="51"/>
    </row>
    <row r="6571" spans="3:4" x14ac:dyDescent="0.35">
      <c r="C6571" s="51"/>
      <c r="D6571" s="51"/>
    </row>
    <row r="6572" spans="3:4" x14ac:dyDescent="0.35">
      <c r="C6572" s="51"/>
      <c r="D6572" s="51"/>
    </row>
    <row r="6573" spans="3:4" x14ac:dyDescent="0.35">
      <c r="C6573" s="51"/>
      <c r="D6573" s="51"/>
    </row>
    <row r="6574" spans="3:4" x14ac:dyDescent="0.35">
      <c r="C6574" s="51"/>
      <c r="D6574" s="51"/>
    </row>
    <row r="6575" spans="3:4" x14ac:dyDescent="0.35">
      <c r="C6575" s="51"/>
      <c r="D6575" s="51"/>
    </row>
    <row r="6576" spans="3:4" x14ac:dyDescent="0.35">
      <c r="C6576" s="51"/>
      <c r="D6576" s="51"/>
    </row>
    <row r="6577" spans="3:4" x14ac:dyDescent="0.35">
      <c r="C6577" s="51"/>
      <c r="D6577" s="51"/>
    </row>
    <row r="6578" spans="3:4" x14ac:dyDescent="0.35">
      <c r="C6578" s="51"/>
      <c r="D6578" s="51"/>
    </row>
    <row r="6579" spans="3:4" x14ac:dyDescent="0.35">
      <c r="C6579" s="51"/>
      <c r="D6579" s="51"/>
    </row>
    <row r="6580" spans="3:4" x14ac:dyDescent="0.35">
      <c r="C6580" s="51"/>
      <c r="D6580" s="51"/>
    </row>
    <row r="6581" spans="3:4" x14ac:dyDescent="0.35">
      <c r="C6581" s="51"/>
      <c r="D6581" s="51"/>
    </row>
    <row r="6582" spans="3:4" x14ac:dyDescent="0.35">
      <c r="C6582" s="51"/>
      <c r="D6582" s="51"/>
    </row>
    <row r="6583" spans="3:4" x14ac:dyDescent="0.35">
      <c r="C6583" s="51"/>
      <c r="D6583" s="51"/>
    </row>
    <row r="6584" spans="3:4" x14ac:dyDescent="0.35">
      <c r="C6584" s="51"/>
      <c r="D6584" s="51"/>
    </row>
    <row r="6585" spans="3:4" x14ac:dyDescent="0.35">
      <c r="C6585" s="51"/>
      <c r="D6585" s="51"/>
    </row>
    <row r="6586" spans="3:4" x14ac:dyDescent="0.35">
      <c r="C6586" s="51"/>
      <c r="D6586" s="51"/>
    </row>
    <row r="6587" spans="3:4" x14ac:dyDescent="0.35">
      <c r="C6587" s="51"/>
      <c r="D6587" s="51"/>
    </row>
    <row r="6588" spans="3:4" x14ac:dyDescent="0.35">
      <c r="C6588" s="51"/>
      <c r="D6588" s="51"/>
    </row>
    <row r="6589" spans="3:4" x14ac:dyDescent="0.35">
      <c r="C6589" s="51"/>
      <c r="D6589" s="51"/>
    </row>
    <row r="6590" spans="3:4" x14ac:dyDescent="0.35">
      <c r="C6590" s="51"/>
      <c r="D6590" s="51"/>
    </row>
    <row r="6591" spans="3:4" x14ac:dyDescent="0.35">
      <c r="C6591" s="51"/>
      <c r="D6591" s="51"/>
    </row>
    <row r="6592" spans="3:4" x14ac:dyDescent="0.35">
      <c r="C6592" s="51"/>
      <c r="D6592" s="51"/>
    </row>
    <row r="6593" spans="3:4" x14ac:dyDescent="0.35">
      <c r="C6593" s="51"/>
      <c r="D6593" s="51"/>
    </row>
    <row r="6594" spans="3:4" x14ac:dyDescent="0.35">
      <c r="C6594" s="51"/>
      <c r="D6594" s="51"/>
    </row>
    <row r="6595" spans="3:4" x14ac:dyDescent="0.35">
      <c r="C6595" s="51"/>
      <c r="D6595" s="51"/>
    </row>
    <row r="6596" spans="3:4" x14ac:dyDescent="0.35">
      <c r="C6596" s="51"/>
      <c r="D6596" s="51"/>
    </row>
    <row r="6597" spans="3:4" x14ac:dyDescent="0.35">
      <c r="C6597" s="51"/>
      <c r="D6597" s="51"/>
    </row>
    <row r="6598" spans="3:4" x14ac:dyDescent="0.35">
      <c r="C6598" s="51"/>
      <c r="D6598" s="51"/>
    </row>
    <row r="6599" spans="3:4" x14ac:dyDescent="0.35">
      <c r="C6599" s="51"/>
      <c r="D6599" s="51"/>
    </row>
    <row r="6600" spans="3:4" x14ac:dyDescent="0.35">
      <c r="C6600" s="51"/>
      <c r="D6600" s="51"/>
    </row>
    <row r="6601" spans="3:4" x14ac:dyDescent="0.35">
      <c r="C6601" s="51"/>
      <c r="D6601" s="51"/>
    </row>
    <row r="6602" spans="3:4" x14ac:dyDescent="0.35">
      <c r="C6602" s="51"/>
      <c r="D6602" s="51"/>
    </row>
    <row r="6603" spans="3:4" x14ac:dyDescent="0.35">
      <c r="C6603" s="51"/>
      <c r="D6603" s="51"/>
    </row>
    <row r="6604" spans="3:4" x14ac:dyDescent="0.35">
      <c r="C6604" s="51"/>
      <c r="D6604" s="51"/>
    </row>
    <row r="6605" spans="3:4" x14ac:dyDescent="0.35">
      <c r="C6605" s="51"/>
      <c r="D6605" s="51"/>
    </row>
    <row r="6606" spans="3:4" x14ac:dyDescent="0.35">
      <c r="C6606" s="51"/>
      <c r="D6606" s="51"/>
    </row>
    <row r="6607" spans="3:4" x14ac:dyDescent="0.35">
      <c r="C6607" s="51"/>
      <c r="D6607" s="51"/>
    </row>
    <row r="6608" spans="3:4" x14ac:dyDescent="0.35">
      <c r="C6608" s="51"/>
      <c r="D6608" s="51"/>
    </row>
    <row r="6609" spans="3:4" x14ac:dyDescent="0.35">
      <c r="C6609" s="51"/>
      <c r="D6609" s="51"/>
    </row>
    <row r="6610" spans="3:4" x14ac:dyDescent="0.35">
      <c r="C6610" s="51"/>
      <c r="D6610" s="51"/>
    </row>
    <row r="6611" spans="3:4" x14ac:dyDescent="0.35">
      <c r="C6611" s="51"/>
      <c r="D6611" s="51"/>
    </row>
    <row r="6612" spans="3:4" x14ac:dyDescent="0.35">
      <c r="C6612" s="51"/>
      <c r="D6612" s="51"/>
    </row>
    <row r="6613" spans="3:4" x14ac:dyDescent="0.35">
      <c r="C6613" s="51"/>
      <c r="D6613" s="51"/>
    </row>
    <row r="6614" spans="3:4" x14ac:dyDescent="0.35">
      <c r="C6614" s="51"/>
      <c r="D6614" s="51"/>
    </row>
    <row r="6615" spans="3:4" x14ac:dyDescent="0.35">
      <c r="C6615" s="51"/>
      <c r="D6615" s="51"/>
    </row>
    <row r="6616" spans="3:4" x14ac:dyDescent="0.35">
      <c r="C6616" s="51"/>
      <c r="D6616" s="51"/>
    </row>
    <row r="6617" spans="3:4" x14ac:dyDescent="0.35">
      <c r="C6617" s="51"/>
      <c r="D6617" s="51"/>
    </row>
    <row r="6618" spans="3:4" x14ac:dyDescent="0.35">
      <c r="C6618" s="51"/>
      <c r="D6618" s="51"/>
    </row>
    <row r="6619" spans="3:4" x14ac:dyDescent="0.35">
      <c r="C6619" s="51"/>
      <c r="D6619" s="51"/>
    </row>
    <row r="6620" spans="3:4" x14ac:dyDescent="0.35">
      <c r="C6620" s="51"/>
      <c r="D6620" s="51"/>
    </row>
    <row r="6621" spans="3:4" x14ac:dyDescent="0.35">
      <c r="C6621" s="51"/>
      <c r="D6621" s="51"/>
    </row>
    <row r="6622" spans="3:4" x14ac:dyDescent="0.35">
      <c r="C6622" s="51"/>
      <c r="D6622" s="51"/>
    </row>
    <row r="6623" spans="3:4" x14ac:dyDescent="0.35">
      <c r="C6623" s="51"/>
      <c r="D6623" s="51"/>
    </row>
    <row r="6624" spans="3:4" x14ac:dyDescent="0.35">
      <c r="C6624" s="51"/>
      <c r="D6624" s="51"/>
    </row>
    <row r="6625" spans="3:4" x14ac:dyDescent="0.35">
      <c r="C6625" s="51"/>
      <c r="D6625" s="51"/>
    </row>
    <row r="6626" spans="3:4" x14ac:dyDescent="0.35">
      <c r="C6626" s="51"/>
      <c r="D6626" s="51"/>
    </row>
    <row r="6627" spans="3:4" x14ac:dyDescent="0.35">
      <c r="C6627" s="51"/>
      <c r="D6627" s="51"/>
    </row>
    <row r="6628" spans="3:4" x14ac:dyDescent="0.35">
      <c r="C6628" s="51"/>
      <c r="D6628" s="51"/>
    </row>
    <row r="6629" spans="3:4" x14ac:dyDescent="0.35">
      <c r="C6629" s="51"/>
      <c r="D6629" s="51"/>
    </row>
    <row r="6630" spans="3:4" x14ac:dyDescent="0.35">
      <c r="C6630" s="51"/>
      <c r="D6630" s="51"/>
    </row>
    <row r="6631" spans="3:4" x14ac:dyDescent="0.35">
      <c r="C6631" s="51"/>
      <c r="D6631" s="51"/>
    </row>
    <row r="6632" spans="3:4" x14ac:dyDescent="0.35">
      <c r="C6632" s="51"/>
      <c r="D6632" s="51"/>
    </row>
    <row r="6633" spans="3:4" x14ac:dyDescent="0.35">
      <c r="C6633" s="51"/>
      <c r="D6633" s="51"/>
    </row>
    <row r="6634" spans="3:4" x14ac:dyDescent="0.35">
      <c r="C6634" s="51"/>
      <c r="D6634" s="51"/>
    </row>
    <row r="6635" spans="3:4" x14ac:dyDescent="0.35">
      <c r="C6635" s="51"/>
      <c r="D6635" s="51"/>
    </row>
    <row r="6636" spans="3:4" x14ac:dyDescent="0.35">
      <c r="C6636" s="51"/>
      <c r="D6636" s="51"/>
    </row>
    <row r="6637" spans="3:4" x14ac:dyDescent="0.35">
      <c r="C6637" s="51"/>
      <c r="D6637" s="51"/>
    </row>
    <row r="6638" spans="3:4" x14ac:dyDescent="0.35">
      <c r="C6638" s="51"/>
      <c r="D6638" s="51"/>
    </row>
    <row r="6639" spans="3:4" x14ac:dyDescent="0.35">
      <c r="C6639" s="51"/>
      <c r="D6639" s="51"/>
    </row>
    <row r="6640" spans="3:4" x14ac:dyDescent="0.35">
      <c r="C6640" s="51"/>
      <c r="D6640" s="51"/>
    </row>
    <row r="6641" spans="3:4" x14ac:dyDescent="0.35">
      <c r="C6641" s="51"/>
      <c r="D6641" s="51"/>
    </row>
    <row r="6642" spans="3:4" x14ac:dyDescent="0.35">
      <c r="C6642" s="51"/>
      <c r="D6642" s="51"/>
    </row>
    <row r="6643" spans="3:4" x14ac:dyDescent="0.35">
      <c r="C6643" s="51"/>
      <c r="D6643" s="51"/>
    </row>
    <row r="6644" spans="3:4" x14ac:dyDescent="0.35">
      <c r="C6644" s="51"/>
      <c r="D6644" s="51"/>
    </row>
    <row r="6645" spans="3:4" x14ac:dyDescent="0.35">
      <c r="C6645" s="51"/>
      <c r="D6645" s="51"/>
    </row>
    <row r="6646" spans="3:4" x14ac:dyDescent="0.35">
      <c r="C6646" s="51"/>
      <c r="D6646" s="51"/>
    </row>
    <row r="6647" spans="3:4" x14ac:dyDescent="0.35">
      <c r="C6647" s="51"/>
      <c r="D6647" s="51"/>
    </row>
    <row r="6648" spans="3:4" x14ac:dyDescent="0.35">
      <c r="C6648" s="51"/>
      <c r="D6648" s="51"/>
    </row>
    <row r="6649" spans="3:4" x14ac:dyDescent="0.35">
      <c r="C6649" s="51"/>
      <c r="D6649" s="51"/>
    </row>
    <row r="6650" spans="3:4" x14ac:dyDescent="0.35">
      <c r="C6650" s="51"/>
      <c r="D6650" s="51"/>
    </row>
    <row r="6651" spans="3:4" x14ac:dyDescent="0.35">
      <c r="C6651" s="51"/>
      <c r="D6651" s="51"/>
    </row>
    <row r="6652" spans="3:4" x14ac:dyDescent="0.35">
      <c r="C6652" s="51"/>
      <c r="D6652" s="51"/>
    </row>
    <row r="6653" spans="3:4" x14ac:dyDescent="0.35">
      <c r="C6653" s="51"/>
      <c r="D6653" s="51"/>
    </row>
    <row r="6654" spans="3:4" x14ac:dyDescent="0.35">
      <c r="C6654" s="51"/>
      <c r="D6654" s="51"/>
    </row>
    <row r="6655" spans="3:4" x14ac:dyDescent="0.35">
      <c r="C6655" s="51"/>
      <c r="D6655" s="51"/>
    </row>
    <row r="6656" spans="3:4" x14ac:dyDescent="0.35">
      <c r="C6656" s="51"/>
      <c r="D6656" s="51"/>
    </row>
    <row r="6657" spans="3:4" x14ac:dyDescent="0.35">
      <c r="C6657" s="51"/>
      <c r="D6657" s="51"/>
    </row>
    <row r="6658" spans="3:4" x14ac:dyDescent="0.35">
      <c r="C6658" s="51"/>
      <c r="D6658" s="51"/>
    </row>
    <row r="6659" spans="3:4" x14ac:dyDescent="0.35">
      <c r="C6659" s="51"/>
      <c r="D6659" s="51"/>
    </row>
    <row r="6660" spans="3:4" x14ac:dyDescent="0.35">
      <c r="C6660" s="51"/>
      <c r="D6660" s="51"/>
    </row>
    <row r="6661" spans="3:4" x14ac:dyDescent="0.35">
      <c r="C6661" s="51"/>
      <c r="D6661" s="51"/>
    </row>
    <row r="6662" spans="3:4" x14ac:dyDescent="0.35">
      <c r="C6662" s="51"/>
      <c r="D6662" s="51"/>
    </row>
    <row r="6663" spans="3:4" x14ac:dyDescent="0.35">
      <c r="C6663" s="51"/>
      <c r="D6663" s="51"/>
    </row>
    <row r="6664" spans="3:4" x14ac:dyDescent="0.35">
      <c r="C6664" s="51"/>
      <c r="D6664" s="51"/>
    </row>
    <row r="6665" spans="3:4" x14ac:dyDescent="0.35">
      <c r="C6665" s="51"/>
      <c r="D6665" s="51"/>
    </row>
    <row r="6666" spans="3:4" x14ac:dyDescent="0.35">
      <c r="C6666" s="51"/>
      <c r="D6666" s="51"/>
    </row>
    <row r="6667" spans="3:4" x14ac:dyDescent="0.35">
      <c r="C6667" s="51"/>
      <c r="D6667" s="51"/>
    </row>
    <row r="6668" spans="3:4" x14ac:dyDescent="0.35">
      <c r="C6668" s="51"/>
      <c r="D6668" s="51"/>
    </row>
    <row r="6669" spans="3:4" x14ac:dyDescent="0.35">
      <c r="C6669" s="51"/>
      <c r="D6669" s="51"/>
    </row>
    <row r="6670" spans="3:4" x14ac:dyDescent="0.35">
      <c r="C6670" s="51"/>
      <c r="D6670" s="51"/>
    </row>
    <row r="6671" spans="3:4" x14ac:dyDescent="0.35">
      <c r="C6671" s="51"/>
      <c r="D6671" s="51"/>
    </row>
    <row r="6672" spans="3:4" x14ac:dyDescent="0.35">
      <c r="C6672" s="51"/>
      <c r="D6672" s="51"/>
    </row>
    <row r="6673" spans="3:4" x14ac:dyDescent="0.35">
      <c r="C6673" s="51"/>
      <c r="D6673" s="51"/>
    </row>
    <row r="6674" spans="3:4" x14ac:dyDescent="0.35">
      <c r="C6674" s="51"/>
      <c r="D6674" s="51"/>
    </row>
    <row r="6675" spans="3:4" x14ac:dyDescent="0.35">
      <c r="C6675" s="51"/>
      <c r="D6675" s="51"/>
    </row>
    <row r="6676" spans="3:4" x14ac:dyDescent="0.35">
      <c r="C6676" s="51"/>
      <c r="D6676" s="51"/>
    </row>
    <row r="6677" spans="3:4" x14ac:dyDescent="0.35">
      <c r="C6677" s="51"/>
      <c r="D6677" s="51"/>
    </row>
    <row r="6678" spans="3:4" x14ac:dyDescent="0.35">
      <c r="C6678" s="51"/>
      <c r="D6678" s="51"/>
    </row>
    <row r="6679" spans="3:4" x14ac:dyDescent="0.35">
      <c r="C6679" s="51"/>
      <c r="D6679" s="51"/>
    </row>
    <row r="6680" spans="3:4" x14ac:dyDescent="0.35">
      <c r="C6680" s="51"/>
      <c r="D6680" s="51"/>
    </row>
    <row r="6681" spans="3:4" x14ac:dyDescent="0.35">
      <c r="C6681" s="51"/>
      <c r="D6681" s="51"/>
    </row>
    <row r="6682" spans="3:4" x14ac:dyDescent="0.35">
      <c r="C6682" s="51"/>
      <c r="D6682" s="51"/>
    </row>
    <row r="6683" spans="3:4" x14ac:dyDescent="0.35">
      <c r="C6683" s="51"/>
      <c r="D6683" s="51"/>
    </row>
    <row r="6684" spans="3:4" x14ac:dyDescent="0.35">
      <c r="C6684" s="51"/>
      <c r="D6684" s="51"/>
    </row>
    <row r="6685" spans="3:4" x14ac:dyDescent="0.35">
      <c r="C6685" s="51"/>
      <c r="D6685" s="51"/>
    </row>
    <row r="6686" spans="3:4" x14ac:dyDescent="0.35">
      <c r="C6686" s="51"/>
      <c r="D6686" s="51"/>
    </row>
    <row r="6687" spans="3:4" x14ac:dyDescent="0.35">
      <c r="C6687" s="51"/>
      <c r="D6687" s="51"/>
    </row>
    <row r="6688" spans="3:4" x14ac:dyDescent="0.35">
      <c r="C6688" s="51"/>
      <c r="D6688" s="51"/>
    </row>
    <row r="6689" spans="3:4" x14ac:dyDescent="0.35">
      <c r="C6689" s="51"/>
      <c r="D6689" s="51"/>
    </row>
    <row r="6690" spans="3:4" x14ac:dyDescent="0.35">
      <c r="C6690" s="51"/>
      <c r="D6690" s="51"/>
    </row>
    <row r="6691" spans="3:4" x14ac:dyDescent="0.35">
      <c r="C6691" s="51"/>
      <c r="D6691" s="51"/>
    </row>
    <row r="6692" spans="3:4" x14ac:dyDescent="0.35">
      <c r="C6692" s="51"/>
      <c r="D6692" s="51"/>
    </row>
    <row r="6693" spans="3:4" x14ac:dyDescent="0.35">
      <c r="C6693" s="51"/>
      <c r="D6693" s="51"/>
    </row>
    <row r="6694" spans="3:4" x14ac:dyDescent="0.35">
      <c r="C6694" s="51"/>
      <c r="D6694" s="51"/>
    </row>
    <row r="6695" spans="3:4" x14ac:dyDescent="0.35">
      <c r="C6695" s="51"/>
      <c r="D6695" s="51"/>
    </row>
    <row r="6696" spans="3:4" x14ac:dyDescent="0.35">
      <c r="C6696" s="51"/>
      <c r="D6696" s="51"/>
    </row>
    <row r="6697" spans="3:4" x14ac:dyDescent="0.35">
      <c r="C6697" s="51"/>
      <c r="D6697" s="51"/>
    </row>
    <row r="6698" spans="3:4" x14ac:dyDescent="0.35">
      <c r="C6698" s="51"/>
      <c r="D6698" s="51"/>
    </row>
    <row r="6699" spans="3:4" x14ac:dyDescent="0.35">
      <c r="C6699" s="51"/>
      <c r="D6699" s="51"/>
    </row>
    <row r="6700" spans="3:4" x14ac:dyDescent="0.35">
      <c r="C6700" s="51"/>
      <c r="D6700" s="51"/>
    </row>
    <row r="6701" spans="3:4" x14ac:dyDescent="0.35">
      <c r="C6701" s="51"/>
      <c r="D6701" s="51"/>
    </row>
    <row r="6702" spans="3:4" x14ac:dyDescent="0.35">
      <c r="C6702" s="51"/>
      <c r="D6702" s="51"/>
    </row>
    <row r="6703" spans="3:4" x14ac:dyDescent="0.35">
      <c r="C6703" s="51"/>
      <c r="D6703" s="51"/>
    </row>
    <row r="6704" spans="3:4" x14ac:dyDescent="0.35">
      <c r="C6704" s="51"/>
      <c r="D6704" s="51"/>
    </row>
    <row r="6705" spans="3:4" x14ac:dyDescent="0.35">
      <c r="C6705" s="51"/>
      <c r="D6705" s="51"/>
    </row>
    <row r="6706" spans="3:4" x14ac:dyDescent="0.35">
      <c r="C6706" s="51"/>
      <c r="D6706" s="51"/>
    </row>
    <row r="6707" spans="3:4" x14ac:dyDescent="0.35">
      <c r="C6707" s="51"/>
      <c r="D6707" s="51"/>
    </row>
    <row r="6708" spans="3:4" x14ac:dyDescent="0.35">
      <c r="C6708" s="51"/>
      <c r="D6708" s="51"/>
    </row>
    <row r="6709" spans="3:4" x14ac:dyDescent="0.35">
      <c r="C6709" s="51"/>
      <c r="D6709" s="51"/>
    </row>
    <row r="6710" spans="3:4" x14ac:dyDescent="0.35">
      <c r="C6710" s="51"/>
      <c r="D6710" s="51"/>
    </row>
    <row r="6711" spans="3:4" x14ac:dyDescent="0.35">
      <c r="C6711" s="51"/>
      <c r="D6711" s="51"/>
    </row>
    <row r="6712" spans="3:4" x14ac:dyDescent="0.35">
      <c r="C6712" s="51"/>
      <c r="D6712" s="51"/>
    </row>
    <row r="6713" spans="3:4" x14ac:dyDescent="0.35">
      <c r="C6713" s="51"/>
      <c r="D6713" s="51"/>
    </row>
    <row r="6714" spans="3:4" x14ac:dyDescent="0.35">
      <c r="C6714" s="51"/>
      <c r="D6714" s="51"/>
    </row>
    <row r="6715" spans="3:4" x14ac:dyDescent="0.35">
      <c r="C6715" s="51"/>
      <c r="D6715" s="51"/>
    </row>
    <row r="6716" spans="3:4" x14ac:dyDescent="0.35">
      <c r="C6716" s="51"/>
      <c r="D6716" s="51"/>
    </row>
    <row r="6717" spans="3:4" x14ac:dyDescent="0.35">
      <c r="C6717" s="51"/>
      <c r="D6717" s="51"/>
    </row>
    <row r="6718" spans="3:4" x14ac:dyDescent="0.35">
      <c r="C6718" s="51"/>
      <c r="D6718" s="51"/>
    </row>
    <row r="6719" spans="3:4" x14ac:dyDescent="0.35">
      <c r="C6719" s="51"/>
      <c r="D6719" s="51"/>
    </row>
    <row r="6720" spans="3:4" x14ac:dyDescent="0.35">
      <c r="C6720" s="51"/>
      <c r="D6720" s="51"/>
    </row>
    <row r="6721" spans="3:4" x14ac:dyDescent="0.35">
      <c r="C6721" s="51"/>
      <c r="D6721" s="51"/>
    </row>
    <row r="6722" spans="3:4" x14ac:dyDescent="0.35">
      <c r="C6722" s="51"/>
      <c r="D6722" s="51"/>
    </row>
    <row r="6723" spans="3:4" x14ac:dyDescent="0.35">
      <c r="C6723" s="51"/>
      <c r="D6723" s="51"/>
    </row>
    <row r="6724" spans="3:4" x14ac:dyDescent="0.35">
      <c r="C6724" s="51"/>
      <c r="D6724" s="51"/>
    </row>
    <row r="6725" spans="3:4" x14ac:dyDescent="0.35">
      <c r="C6725" s="51"/>
      <c r="D6725" s="51"/>
    </row>
    <row r="6726" spans="3:4" x14ac:dyDescent="0.35">
      <c r="C6726" s="51"/>
      <c r="D6726" s="51"/>
    </row>
    <row r="6727" spans="3:4" x14ac:dyDescent="0.35">
      <c r="C6727" s="51"/>
      <c r="D6727" s="51"/>
    </row>
    <row r="6728" spans="3:4" x14ac:dyDescent="0.35">
      <c r="C6728" s="51"/>
      <c r="D6728" s="51"/>
    </row>
    <row r="6729" spans="3:4" x14ac:dyDescent="0.35">
      <c r="C6729" s="51"/>
      <c r="D6729" s="51"/>
    </row>
    <row r="6730" spans="3:4" x14ac:dyDescent="0.35">
      <c r="C6730" s="51"/>
      <c r="D6730" s="51"/>
    </row>
    <row r="6731" spans="3:4" x14ac:dyDescent="0.35">
      <c r="C6731" s="51"/>
      <c r="D6731" s="51"/>
    </row>
    <row r="6732" spans="3:4" x14ac:dyDescent="0.35">
      <c r="C6732" s="51"/>
      <c r="D6732" s="51"/>
    </row>
    <row r="6733" spans="3:4" x14ac:dyDescent="0.35">
      <c r="C6733" s="51"/>
      <c r="D6733" s="51"/>
    </row>
    <row r="6734" spans="3:4" x14ac:dyDescent="0.35">
      <c r="C6734" s="51"/>
      <c r="D6734" s="51"/>
    </row>
    <row r="6735" spans="3:4" x14ac:dyDescent="0.35">
      <c r="C6735" s="51"/>
      <c r="D6735" s="51"/>
    </row>
    <row r="6736" spans="3:4" x14ac:dyDescent="0.35">
      <c r="C6736" s="51"/>
      <c r="D6736" s="51"/>
    </row>
    <row r="6737" spans="3:4" x14ac:dyDescent="0.35">
      <c r="C6737" s="51"/>
      <c r="D6737" s="51"/>
    </row>
    <row r="6738" spans="3:4" x14ac:dyDescent="0.35">
      <c r="C6738" s="51"/>
      <c r="D6738" s="51"/>
    </row>
    <row r="6739" spans="3:4" x14ac:dyDescent="0.35">
      <c r="C6739" s="51"/>
      <c r="D6739" s="51"/>
    </row>
    <row r="6740" spans="3:4" x14ac:dyDescent="0.35">
      <c r="C6740" s="51"/>
      <c r="D6740" s="51"/>
    </row>
    <row r="6741" spans="3:4" x14ac:dyDescent="0.35">
      <c r="C6741" s="51"/>
      <c r="D6741" s="51"/>
    </row>
    <row r="6742" spans="3:4" x14ac:dyDescent="0.35">
      <c r="C6742" s="51"/>
      <c r="D6742" s="51"/>
    </row>
    <row r="6743" spans="3:4" x14ac:dyDescent="0.35">
      <c r="C6743" s="51"/>
      <c r="D6743" s="51"/>
    </row>
    <row r="6744" spans="3:4" x14ac:dyDescent="0.35">
      <c r="C6744" s="51"/>
      <c r="D6744" s="51"/>
    </row>
    <row r="6745" spans="3:4" x14ac:dyDescent="0.35">
      <c r="C6745" s="51"/>
      <c r="D6745" s="51"/>
    </row>
    <row r="6746" spans="3:4" x14ac:dyDescent="0.35">
      <c r="C6746" s="51"/>
      <c r="D6746" s="51"/>
    </row>
    <row r="6747" spans="3:4" x14ac:dyDescent="0.35">
      <c r="C6747" s="51"/>
      <c r="D6747" s="51"/>
    </row>
    <row r="6748" spans="3:4" x14ac:dyDescent="0.35">
      <c r="C6748" s="51"/>
      <c r="D6748" s="51"/>
    </row>
    <row r="6749" spans="3:4" x14ac:dyDescent="0.35">
      <c r="C6749" s="51"/>
      <c r="D6749" s="51"/>
    </row>
    <row r="6750" spans="3:4" x14ac:dyDescent="0.35">
      <c r="C6750" s="51"/>
      <c r="D6750" s="51"/>
    </row>
    <row r="6751" spans="3:4" x14ac:dyDescent="0.35">
      <c r="C6751" s="51"/>
      <c r="D6751" s="51"/>
    </row>
    <row r="6752" spans="3:4" x14ac:dyDescent="0.35">
      <c r="C6752" s="51"/>
      <c r="D6752" s="51"/>
    </row>
    <row r="6753" spans="3:4" x14ac:dyDescent="0.35">
      <c r="C6753" s="51"/>
      <c r="D6753" s="51"/>
    </row>
    <row r="6754" spans="3:4" x14ac:dyDescent="0.35">
      <c r="C6754" s="51"/>
      <c r="D6754" s="51"/>
    </row>
    <row r="6755" spans="3:4" x14ac:dyDescent="0.35">
      <c r="C6755" s="51"/>
      <c r="D6755" s="51"/>
    </row>
    <row r="6756" spans="3:4" x14ac:dyDescent="0.35">
      <c r="C6756" s="51"/>
      <c r="D6756" s="51"/>
    </row>
    <row r="6757" spans="3:4" x14ac:dyDescent="0.35">
      <c r="C6757" s="51"/>
      <c r="D6757" s="51"/>
    </row>
    <row r="6758" spans="3:4" x14ac:dyDescent="0.35">
      <c r="C6758" s="51"/>
      <c r="D6758" s="51"/>
    </row>
    <row r="6759" spans="3:4" x14ac:dyDescent="0.35">
      <c r="C6759" s="51"/>
      <c r="D6759" s="51"/>
    </row>
    <row r="6760" spans="3:4" x14ac:dyDescent="0.35">
      <c r="C6760" s="51"/>
      <c r="D6760" s="51"/>
    </row>
    <row r="6761" spans="3:4" x14ac:dyDescent="0.35">
      <c r="C6761" s="51"/>
      <c r="D6761" s="51"/>
    </row>
    <row r="6762" spans="3:4" x14ac:dyDescent="0.35">
      <c r="C6762" s="51"/>
      <c r="D6762" s="51"/>
    </row>
    <row r="6763" spans="3:4" x14ac:dyDescent="0.35">
      <c r="C6763" s="51"/>
      <c r="D6763" s="51"/>
    </row>
    <row r="6764" spans="3:4" x14ac:dyDescent="0.35">
      <c r="C6764" s="51"/>
      <c r="D6764" s="51"/>
    </row>
    <row r="6765" spans="3:4" x14ac:dyDescent="0.35">
      <c r="C6765" s="51"/>
      <c r="D6765" s="51"/>
    </row>
    <row r="6766" spans="3:4" x14ac:dyDescent="0.35">
      <c r="C6766" s="51"/>
      <c r="D6766" s="51"/>
    </row>
    <row r="6767" spans="3:4" x14ac:dyDescent="0.35">
      <c r="C6767" s="51"/>
      <c r="D6767" s="51"/>
    </row>
    <row r="6768" spans="3:4" x14ac:dyDescent="0.35">
      <c r="C6768" s="51"/>
      <c r="D6768" s="51"/>
    </row>
    <row r="6769" spans="3:4" x14ac:dyDescent="0.35">
      <c r="C6769" s="51"/>
      <c r="D6769" s="51"/>
    </row>
    <row r="6770" spans="3:4" x14ac:dyDescent="0.35">
      <c r="C6770" s="51"/>
      <c r="D6770" s="51"/>
    </row>
    <row r="6771" spans="3:4" x14ac:dyDescent="0.35">
      <c r="C6771" s="51"/>
      <c r="D6771" s="51"/>
    </row>
    <row r="6772" spans="3:4" x14ac:dyDescent="0.35">
      <c r="C6772" s="51"/>
      <c r="D6772" s="51"/>
    </row>
    <row r="6773" spans="3:4" x14ac:dyDescent="0.35">
      <c r="C6773" s="51"/>
      <c r="D6773" s="51"/>
    </row>
    <row r="6774" spans="3:4" x14ac:dyDescent="0.35">
      <c r="C6774" s="51"/>
      <c r="D6774" s="51"/>
    </row>
    <row r="6775" spans="3:4" x14ac:dyDescent="0.35">
      <c r="C6775" s="51"/>
      <c r="D6775" s="51"/>
    </row>
    <row r="6776" spans="3:4" x14ac:dyDescent="0.35">
      <c r="C6776" s="51"/>
      <c r="D6776" s="51"/>
    </row>
    <row r="6777" spans="3:4" x14ac:dyDescent="0.35">
      <c r="C6777" s="51"/>
      <c r="D6777" s="51"/>
    </row>
    <row r="6778" spans="3:4" x14ac:dyDescent="0.35">
      <c r="C6778" s="51"/>
      <c r="D6778" s="51"/>
    </row>
    <row r="6779" spans="3:4" x14ac:dyDescent="0.35">
      <c r="C6779" s="51"/>
      <c r="D6779" s="51"/>
    </row>
    <row r="6780" spans="3:4" x14ac:dyDescent="0.35">
      <c r="C6780" s="51"/>
      <c r="D6780" s="51"/>
    </row>
    <row r="6781" spans="3:4" x14ac:dyDescent="0.35">
      <c r="C6781" s="51"/>
      <c r="D6781" s="51"/>
    </row>
    <row r="6782" spans="3:4" x14ac:dyDescent="0.35">
      <c r="C6782" s="51"/>
      <c r="D6782" s="51"/>
    </row>
    <row r="6783" spans="3:4" x14ac:dyDescent="0.35">
      <c r="C6783" s="51"/>
      <c r="D6783" s="51"/>
    </row>
    <row r="6784" spans="3:4" x14ac:dyDescent="0.35">
      <c r="C6784" s="51"/>
      <c r="D6784" s="51"/>
    </row>
    <row r="6785" spans="3:4" x14ac:dyDescent="0.35">
      <c r="C6785" s="51"/>
      <c r="D6785" s="51"/>
    </row>
    <row r="6786" spans="3:4" x14ac:dyDescent="0.35">
      <c r="C6786" s="51"/>
      <c r="D6786" s="51"/>
    </row>
    <row r="6787" spans="3:4" x14ac:dyDescent="0.35">
      <c r="C6787" s="51"/>
      <c r="D6787" s="51"/>
    </row>
    <row r="6788" spans="3:4" x14ac:dyDescent="0.35">
      <c r="C6788" s="51"/>
      <c r="D6788" s="51"/>
    </row>
    <row r="6789" spans="3:4" x14ac:dyDescent="0.35">
      <c r="C6789" s="51"/>
      <c r="D6789" s="51"/>
    </row>
    <row r="6790" spans="3:4" x14ac:dyDescent="0.35">
      <c r="C6790" s="51"/>
      <c r="D6790" s="51"/>
    </row>
    <row r="6791" spans="3:4" x14ac:dyDescent="0.35">
      <c r="C6791" s="51"/>
      <c r="D6791" s="51"/>
    </row>
    <row r="6792" spans="3:4" x14ac:dyDescent="0.35">
      <c r="C6792" s="51"/>
      <c r="D6792" s="51"/>
    </row>
    <row r="6793" spans="3:4" x14ac:dyDescent="0.35">
      <c r="C6793" s="51"/>
      <c r="D6793" s="51"/>
    </row>
    <row r="6794" spans="3:4" x14ac:dyDescent="0.35">
      <c r="C6794" s="51"/>
      <c r="D6794" s="51"/>
    </row>
    <row r="6795" spans="3:4" x14ac:dyDescent="0.35">
      <c r="C6795" s="51"/>
      <c r="D6795" s="51"/>
    </row>
    <row r="6796" spans="3:4" x14ac:dyDescent="0.35">
      <c r="C6796" s="51"/>
      <c r="D6796" s="51"/>
    </row>
    <row r="6797" spans="3:4" x14ac:dyDescent="0.35">
      <c r="C6797" s="51"/>
      <c r="D6797" s="51"/>
    </row>
    <row r="6798" spans="3:4" x14ac:dyDescent="0.35">
      <c r="C6798" s="51"/>
      <c r="D6798" s="51"/>
    </row>
    <row r="6799" spans="3:4" x14ac:dyDescent="0.35">
      <c r="C6799" s="51"/>
      <c r="D6799" s="51"/>
    </row>
    <row r="6800" spans="3:4" x14ac:dyDescent="0.35">
      <c r="C6800" s="51"/>
      <c r="D6800" s="51"/>
    </row>
    <row r="6801" spans="3:4" x14ac:dyDescent="0.35">
      <c r="C6801" s="51"/>
      <c r="D6801" s="51"/>
    </row>
    <row r="6802" spans="3:4" x14ac:dyDescent="0.35">
      <c r="C6802" s="51"/>
      <c r="D6802" s="51"/>
    </row>
    <row r="6803" spans="3:4" x14ac:dyDescent="0.35">
      <c r="C6803" s="51"/>
      <c r="D6803" s="51"/>
    </row>
    <row r="6804" spans="3:4" x14ac:dyDescent="0.35">
      <c r="C6804" s="51"/>
      <c r="D6804" s="51"/>
    </row>
    <row r="6805" spans="3:4" x14ac:dyDescent="0.35">
      <c r="C6805" s="51"/>
      <c r="D6805" s="51"/>
    </row>
    <row r="6806" spans="3:4" x14ac:dyDescent="0.35">
      <c r="C6806" s="51"/>
      <c r="D6806" s="51"/>
    </row>
    <row r="6807" spans="3:4" x14ac:dyDescent="0.35">
      <c r="C6807" s="51"/>
      <c r="D6807" s="51"/>
    </row>
    <row r="6808" spans="3:4" x14ac:dyDescent="0.35">
      <c r="C6808" s="51"/>
      <c r="D6808" s="51"/>
    </row>
    <row r="6809" spans="3:4" x14ac:dyDescent="0.35">
      <c r="C6809" s="51"/>
      <c r="D6809" s="51"/>
    </row>
    <row r="6810" spans="3:4" x14ac:dyDescent="0.35">
      <c r="C6810" s="51"/>
      <c r="D6810" s="51"/>
    </row>
    <row r="6811" spans="3:4" x14ac:dyDescent="0.35">
      <c r="C6811" s="51"/>
      <c r="D6811" s="51"/>
    </row>
    <row r="6812" spans="3:4" x14ac:dyDescent="0.35">
      <c r="C6812" s="51"/>
      <c r="D6812" s="51"/>
    </row>
    <row r="6813" spans="3:4" x14ac:dyDescent="0.35">
      <c r="C6813" s="51"/>
      <c r="D6813" s="51"/>
    </row>
    <row r="6814" spans="3:4" x14ac:dyDescent="0.35">
      <c r="C6814" s="51"/>
      <c r="D6814" s="51"/>
    </row>
    <row r="6815" spans="3:4" x14ac:dyDescent="0.35">
      <c r="C6815" s="51"/>
      <c r="D6815" s="51"/>
    </row>
    <row r="6816" spans="3:4" x14ac:dyDescent="0.35">
      <c r="C6816" s="51"/>
      <c r="D6816" s="51"/>
    </row>
    <row r="6817" spans="3:4" x14ac:dyDescent="0.35">
      <c r="C6817" s="51"/>
      <c r="D6817" s="51"/>
    </row>
    <row r="6818" spans="3:4" x14ac:dyDescent="0.35">
      <c r="C6818" s="51"/>
      <c r="D6818" s="51"/>
    </row>
    <row r="6819" spans="3:4" x14ac:dyDescent="0.35">
      <c r="C6819" s="51"/>
      <c r="D6819" s="51"/>
    </row>
    <row r="6820" spans="3:4" x14ac:dyDescent="0.35">
      <c r="C6820" s="51"/>
      <c r="D6820" s="51"/>
    </row>
    <row r="6821" spans="3:4" x14ac:dyDescent="0.35">
      <c r="C6821" s="51"/>
      <c r="D6821" s="51"/>
    </row>
    <row r="6822" spans="3:4" x14ac:dyDescent="0.35">
      <c r="C6822" s="51"/>
      <c r="D6822" s="51"/>
    </row>
    <row r="6823" spans="3:4" x14ac:dyDescent="0.35">
      <c r="C6823" s="51"/>
      <c r="D6823" s="51"/>
    </row>
    <row r="6824" spans="3:4" x14ac:dyDescent="0.35">
      <c r="C6824" s="51"/>
      <c r="D6824" s="51"/>
    </row>
    <row r="6825" spans="3:4" x14ac:dyDescent="0.35">
      <c r="C6825" s="51"/>
      <c r="D6825" s="51"/>
    </row>
    <row r="6826" spans="3:4" x14ac:dyDescent="0.35">
      <c r="C6826" s="51"/>
      <c r="D6826" s="51"/>
    </row>
    <row r="6827" spans="3:4" x14ac:dyDescent="0.35">
      <c r="C6827" s="51"/>
      <c r="D6827" s="51"/>
    </row>
    <row r="6828" spans="3:4" x14ac:dyDescent="0.35">
      <c r="C6828" s="51"/>
      <c r="D6828" s="51"/>
    </row>
    <row r="6829" spans="3:4" x14ac:dyDescent="0.35">
      <c r="C6829" s="51"/>
      <c r="D6829" s="51"/>
    </row>
    <row r="6830" spans="3:4" x14ac:dyDescent="0.35">
      <c r="C6830" s="51"/>
      <c r="D6830" s="51"/>
    </row>
    <row r="6831" spans="3:4" x14ac:dyDescent="0.35">
      <c r="C6831" s="51"/>
      <c r="D6831" s="51"/>
    </row>
    <row r="6832" spans="3:4" x14ac:dyDescent="0.35">
      <c r="C6832" s="51"/>
      <c r="D6832" s="51"/>
    </row>
    <row r="6833" spans="3:4" x14ac:dyDescent="0.35">
      <c r="C6833" s="51"/>
      <c r="D6833" s="51"/>
    </row>
    <row r="6834" spans="3:4" x14ac:dyDescent="0.35">
      <c r="C6834" s="51"/>
      <c r="D6834" s="51"/>
    </row>
    <row r="6835" spans="3:4" x14ac:dyDescent="0.35">
      <c r="C6835" s="51"/>
      <c r="D6835" s="51"/>
    </row>
    <row r="6836" spans="3:4" x14ac:dyDescent="0.35">
      <c r="C6836" s="51"/>
      <c r="D6836" s="51"/>
    </row>
    <row r="6837" spans="3:4" x14ac:dyDescent="0.35">
      <c r="C6837" s="51"/>
      <c r="D6837" s="51"/>
    </row>
    <row r="6838" spans="3:4" x14ac:dyDescent="0.35">
      <c r="C6838" s="51"/>
      <c r="D6838" s="51"/>
    </row>
    <row r="6839" spans="3:4" x14ac:dyDescent="0.35">
      <c r="C6839" s="51"/>
      <c r="D6839" s="51"/>
    </row>
    <row r="6840" spans="3:4" x14ac:dyDescent="0.35">
      <c r="C6840" s="51"/>
      <c r="D6840" s="51"/>
    </row>
    <row r="6841" spans="3:4" x14ac:dyDescent="0.35">
      <c r="C6841" s="51"/>
      <c r="D6841" s="51"/>
    </row>
    <row r="6842" spans="3:4" x14ac:dyDescent="0.35">
      <c r="C6842" s="51"/>
      <c r="D6842" s="51"/>
    </row>
    <row r="6843" spans="3:4" x14ac:dyDescent="0.35">
      <c r="C6843" s="51"/>
      <c r="D6843" s="51"/>
    </row>
    <row r="6844" spans="3:4" x14ac:dyDescent="0.35">
      <c r="C6844" s="51"/>
      <c r="D6844" s="51"/>
    </row>
    <row r="6845" spans="3:4" x14ac:dyDescent="0.35">
      <c r="C6845" s="51"/>
      <c r="D6845" s="51"/>
    </row>
    <row r="6846" spans="3:4" x14ac:dyDescent="0.35">
      <c r="C6846" s="51"/>
      <c r="D6846" s="51"/>
    </row>
    <row r="6847" spans="3:4" x14ac:dyDescent="0.35">
      <c r="C6847" s="51"/>
      <c r="D6847" s="51"/>
    </row>
    <row r="6848" spans="3:4" x14ac:dyDescent="0.35">
      <c r="C6848" s="51"/>
      <c r="D6848" s="51"/>
    </row>
    <row r="6849" spans="3:4" x14ac:dyDescent="0.35">
      <c r="C6849" s="51"/>
      <c r="D6849" s="51"/>
    </row>
    <row r="6850" spans="3:4" x14ac:dyDescent="0.35">
      <c r="C6850" s="51"/>
      <c r="D6850" s="51"/>
    </row>
    <row r="6851" spans="3:4" x14ac:dyDescent="0.35">
      <c r="C6851" s="51"/>
      <c r="D6851" s="51"/>
    </row>
    <row r="6852" spans="3:4" x14ac:dyDescent="0.35">
      <c r="C6852" s="51"/>
      <c r="D6852" s="51"/>
    </row>
    <row r="6853" spans="3:4" x14ac:dyDescent="0.35">
      <c r="C6853" s="51"/>
      <c r="D6853" s="51"/>
    </row>
    <row r="6854" spans="3:4" x14ac:dyDescent="0.35">
      <c r="C6854" s="51"/>
      <c r="D6854" s="51"/>
    </row>
    <row r="6855" spans="3:4" x14ac:dyDescent="0.35">
      <c r="C6855" s="51"/>
      <c r="D6855" s="51"/>
    </row>
    <row r="6856" spans="3:4" x14ac:dyDescent="0.35">
      <c r="C6856" s="51"/>
      <c r="D6856" s="51"/>
    </row>
    <row r="6857" spans="3:4" x14ac:dyDescent="0.35">
      <c r="C6857" s="51"/>
      <c r="D6857" s="51"/>
    </row>
    <row r="6858" spans="3:4" x14ac:dyDescent="0.35">
      <c r="C6858" s="51"/>
      <c r="D6858" s="51"/>
    </row>
    <row r="6859" spans="3:4" x14ac:dyDescent="0.35">
      <c r="C6859" s="51"/>
      <c r="D6859" s="51"/>
    </row>
    <row r="6860" spans="3:4" x14ac:dyDescent="0.35">
      <c r="C6860" s="51"/>
      <c r="D6860" s="51"/>
    </row>
    <row r="6861" spans="3:4" x14ac:dyDescent="0.35">
      <c r="C6861" s="51"/>
      <c r="D6861" s="51"/>
    </row>
    <row r="6862" spans="3:4" x14ac:dyDescent="0.35">
      <c r="C6862" s="51"/>
      <c r="D6862" s="51"/>
    </row>
    <row r="6863" spans="3:4" x14ac:dyDescent="0.35">
      <c r="C6863" s="51"/>
      <c r="D6863" s="51"/>
    </row>
    <row r="6864" spans="3:4" x14ac:dyDescent="0.35">
      <c r="C6864" s="51"/>
      <c r="D6864" s="51"/>
    </row>
    <row r="6865" spans="3:4" x14ac:dyDescent="0.35">
      <c r="C6865" s="51"/>
      <c r="D6865" s="51"/>
    </row>
    <row r="6866" spans="3:4" x14ac:dyDescent="0.35">
      <c r="C6866" s="51"/>
      <c r="D6866" s="51"/>
    </row>
    <row r="6867" spans="3:4" x14ac:dyDescent="0.35">
      <c r="C6867" s="51"/>
      <c r="D6867" s="51"/>
    </row>
    <row r="6868" spans="3:4" x14ac:dyDescent="0.35">
      <c r="C6868" s="51"/>
      <c r="D6868" s="51"/>
    </row>
    <row r="6869" spans="3:4" x14ac:dyDescent="0.35">
      <c r="C6869" s="51"/>
      <c r="D6869" s="51"/>
    </row>
    <row r="6870" spans="3:4" x14ac:dyDescent="0.35">
      <c r="C6870" s="51"/>
      <c r="D6870" s="51"/>
    </row>
    <row r="6871" spans="3:4" x14ac:dyDescent="0.35">
      <c r="C6871" s="51"/>
      <c r="D6871" s="51"/>
    </row>
    <row r="6872" spans="3:4" x14ac:dyDescent="0.35">
      <c r="C6872" s="51"/>
      <c r="D6872" s="51"/>
    </row>
    <row r="6873" spans="3:4" x14ac:dyDescent="0.35">
      <c r="C6873" s="51"/>
      <c r="D6873" s="51"/>
    </row>
    <row r="6874" spans="3:4" x14ac:dyDescent="0.35">
      <c r="C6874" s="51"/>
      <c r="D6874" s="51"/>
    </row>
    <row r="6875" spans="3:4" x14ac:dyDescent="0.35">
      <c r="C6875" s="51"/>
      <c r="D6875" s="51"/>
    </row>
    <row r="6876" spans="3:4" x14ac:dyDescent="0.35">
      <c r="C6876" s="51"/>
      <c r="D6876" s="51"/>
    </row>
    <row r="6877" spans="3:4" x14ac:dyDescent="0.35">
      <c r="C6877" s="51"/>
      <c r="D6877" s="51"/>
    </row>
    <row r="6878" spans="3:4" x14ac:dyDescent="0.35">
      <c r="C6878" s="51"/>
      <c r="D6878" s="51"/>
    </row>
    <row r="6879" spans="3:4" x14ac:dyDescent="0.35">
      <c r="C6879" s="51"/>
      <c r="D6879" s="51"/>
    </row>
    <row r="6880" spans="3:4" x14ac:dyDescent="0.35">
      <c r="C6880" s="51"/>
      <c r="D6880" s="51"/>
    </row>
    <row r="6881" spans="3:4" x14ac:dyDescent="0.35">
      <c r="C6881" s="51"/>
      <c r="D6881" s="51"/>
    </row>
    <row r="6882" spans="3:4" x14ac:dyDescent="0.35">
      <c r="C6882" s="51"/>
      <c r="D6882" s="51"/>
    </row>
    <row r="6883" spans="3:4" x14ac:dyDescent="0.35">
      <c r="C6883" s="51"/>
      <c r="D6883" s="51"/>
    </row>
    <row r="6884" spans="3:4" x14ac:dyDescent="0.35">
      <c r="C6884" s="51"/>
      <c r="D6884" s="51"/>
    </row>
    <row r="6885" spans="3:4" x14ac:dyDescent="0.35">
      <c r="C6885" s="51"/>
      <c r="D6885" s="51"/>
    </row>
    <row r="6886" spans="3:4" x14ac:dyDescent="0.35">
      <c r="C6886" s="51"/>
      <c r="D6886" s="51"/>
    </row>
    <row r="6887" spans="3:4" x14ac:dyDescent="0.35">
      <c r="C6887" s="51"/>
      <c r="D6887" s="51"/>
    </row>
    <row r="6888" spans="3:4" x14ac:dyDescent="0.35">
      <c r="C6888" s="51"/>
      <c r="D6888" s="51"/>
    </row>
    <row r="6889" spans="3:4" x14ac:dyDescent="0.35">
      <c r="C6889" s="51"/>
      <c r="D6889" s="51"/>
    </row>
    <row r="6890" spans="3:4" x14ac:dyDescent="0.35">
      <c r="C6890" s="51"/>
      <c r="D6890" s="51"/>
    </row>
    <row r="6891" spans="3:4" x14ac:dyDescent="0.35">
      <c r="C6891" s="51"/>
      <c r="D6891" s="51"/>
    </row>
    <row r="6892" spans="3:4" x14ac:dyDescent="0.35">
      <c r="C6892" s="51"/>
      <c r="D6892" s="51"/>
    </row>
    <row r="6893" spans="3:4" x14ac:dyDescent="0.35">
      <c r="C6893" s="51"/>
      <c r="D6893" s="51"/>
    </row>
    <row r="6894" spans="3:4" x14ac:dyDescent="0.35">
      <c r="C6894" s="51"/>
      <c r="D6894" s="51"/>
    </row>
    <row r="6895" spans="3:4" x14ac:dyDescent="0.35">
      <c r="C6895" s="51"/>
      <c r="D6895" s="51"/>
    </row>
    <row r="6896" spans="3:4" x14ac:dyDescent="0.35">
      <c r="C6896" s="51"/>
      <c r="D6896" s="51"/>
    </row>
    <row r="6897" spans="3:4" x14ac:dyDescent="0.35">
      <c r="C6897" s="51"/>
      <c r="D6897" s="51"/>
    </row>
    <row r="6898" spans="3:4" x14ac:dyDescent="0.35">
      <c r="C6898" s="51"/>
      <c r="D6898" s="51"/>
    </row>
    <row r="6899" spans="3:4" x14ac:dyDescent="0.35">
      <c r="C6899" s="51"/>
      <c r="D6899" s="51"/>
    </row>
    <row r="6900" spans="3:4" x14ac:dyDescent="0.35">
      <c r="C6900" s="51"/>
      <c r="D6900" s="51"/>
    </row>
    <row r="6901" spans="3:4" x14ac:dyDescent="0.35">
      <c r="C6901" s="51"/>
      <c r="D6901" s="51"/>
    </row>
    <row r="6902" spans="3:4" x14ac:dyDescent="0.35">
      <c r="C6902" s="51"/>
      <c r="D6902" s="51"/>
    </row>
    <row r="6903" spans="3:4" x14ac:dyDescent="0.35">
      <c r="C6903" s="51"/>
      <c r="D6903" s="51"/>
    </row>
    <row r="6904" spans="3:4" x14ac:dyDescent="0.35">
      <c r="C6904" s="51"/>
      <c r="D6904" s="51"/>
    </row>
    <row r="6905" spans="3:4" x14ac:dyDescent="0.35">
      <c r="C6905" s="51"/>
      <c r="D6905" s="51"/>
    </row>
    <row r="6906" spans="3:4" x14ac:dyDescent="0.35">
      <c r="C6906" s="51"/>
      <c r="D6906" s="51"/>
    </row>
    <row r="6907" spans="3:4" x14ac:dyDescent="0.35">
      <c r="C6907" s="51"/>
      <c r="D6907" s="51"/>
    </row>
    <row r="6908" spans="3:4" x14ac:dyDescent="0.35">
      <c r="C6908" s="51"/>
      <c r="D6908" s="51"/>
    </row>
    <row r="6909" spans="3:4" x14ac:dyDescent="0.35">
      <c r="C6909" s="51"/>
      <c r="D6909" s="51"/>
    </row>
    <row r="6910" spans="3:4" x14ac:dyDescent="0.35">
      <c r="C6910" s="51"/>
      <c r="D6910" s="51"/>
    </row>
    <row r="6911" spans="3:4" x14ac:dyDescent="0.35">
      <c r="C6911" s="51"/>
      <c r="D6911" s="51"/>
    </row>
    <row r="6912" spans="3:4" x14ac:dyDescent="0.35">
      <c r="C6912" s="51"/>
      <c r="D6912" s="51"/>
    </row>
    <row r="6913" spans="3:4" x14ac:dyDescent="0.35">
      <c r="C6913" s="51"/>
      <c r="D6913" s="51"/>
    </row>
    <row r="6914" spans="3:4" x14ac:dyDescent="0.35">
      <c r="C6914" s="51"/>
      <c r="D6914" s="51"/>
    </row>
    <row r="6915" spans="3:4" x14ac:dyDescent="0.35">
      <c r="C6915" s="51"/>
      <c r="D6915" s="51"/>
    </row>
    <row r="6916" spans="3:4" x14ac:dyDescent="0.35">
      <c r="C6916" s="51"/>
      <c r="D6916" s="51"/>
    </row>
    <row r="6917" spans="3:4" x14ac:dyDescent="0.35">
      <c r="C6917" s="51"/>
      <c r="D6917" s="51"/>
    </row>
    <row r="6918" spans="3:4" x14ac:dyDescent="0.35">
      <c r="C6918" s="51"/>
      <c r="D6918" s="51"/>
    </row>
    <row r="6919" spans="3:4" x14ac:dyDescent="0.35">
      <c r="C6919" s="51"/>
      <c r="D6919" s="51"/>
    </row>
    <row r="6920" spans="3:4" x14ac:dyDescent="0.35">
      <c r="C6920" s="51"/>
      <c r="D6920" s="51"/>
    </row>
    <row r="6921" spans="3:4" x14ac:dyDescent="0.35">
      <c r="C6921" s="51"/>
      <c r="D6921" s="51"/>
    </row>
    <row r="6922" spans="3:4" x14ac:dyDescent="0.35">
      <c r="C6922" s="51"/>
      <c r="D6922" s="51"/>
    </row>
    <row r="6923" spans="3:4" x14ac:dyDescent="0.35">
      <c r="C6923" s="51"/>
      <c r="D6923" s="51"/>
    </row>
    <row r="6924" spans="3:4" x14ac:dyDescent="0.35">
      <c r="C6924" s="51"/>
      <c r="D6924" s="51"/>
    </row>
    <row r="6925" spans="3:4" x14ac:dyDescent="0.35">
      <c r="C6925" s="51"/>
      <c r="D6925" s="51"/>
    </row>
    <row r="6926" spans="3:4" x14ac:dyDescent="0.35">
      <c r="C6926" s="51"/>
      <c r="D6926" s="51"/>
    </row>
    <row r="6927" spans="3:4" x14ac:dyDescent="0.35">
      <c r="C6927" s="51"/>
      <c r="D6927" s="51"/>
    </row>
    <row r="6928" spans="3:4" x14ac:dyDescent="0.35">
      <c r="C6928" s="51"/>
      <c r="D6928" s="51"/>
    </row>
    <row r="6929" spans="3:4" x14ac:dyDescent="0.35">
      <c r="C6929" s="51"/>
      <c r="D6929" s="51"/>
    </row>
    <row r="6930" spans="3:4" x14ac:dyDescent="0.35">
      <c r="C6930" s="51"/>
      <c r="D6930" s="51"/>
    </row>
    <row r="6931" spans="3:4" x14ac:dyDescent="0.35">
      <c r="C6931" s="51"/>
      <c r="D6931" s="51"/>
    </row>
    <row r="6932" spans="3:4" x14ac:dyDescent="0.35">
      <c r="C6932" s="51"/>
      <c r="D6932" s="51"/>
    </row>
    <row r="6933" spans="3:4" x14ac:dyDescent="0.35">
      <c r="C6933" s="51"/>
      <c r="D6933" s="51"/>
    </row>
    <row r="6934" spans="3:4" x14ac:dyDescent="0.35">
      <c r="C6934" s="51"/>
      <c r="D6934" s="51"/>
    </row>
    <row r="6935" spans="3:4" x14ac:dyDescent="0.35">
      <c r="C6935" s="51"/>
      <c r="D6935" s="51"/>
    </row>
    <row r="6936" spans="3:4" x14ac:dyDescent="0.35">
      <c r="C6936" s="51"/>
      <c r="D6936" s="51"/>
    </row>
    <row r="6937" spans="3:4" x14ac:dyDescent="0.35">
      <c r="C6937" s="51"/>
      <c r="D6937" s="51"/>
    </row>
    <row r="6938" spans="3:4" x14ac:dyDescent="0.35">
      <c r="C6938" s="51"/>
      <c r="D6938" s="51"/>
    </row>
    <row r="6939" spans="3:4" x14ac:dyDescent="0.35">
      <c r="C6939" s="51"/>
      <c r="D6939" s="51"/>
    </row>
    <row r="6940" spans="3:4" x14ac:dyDescent="0.35">
      <c r="C6940" s="51"/>
      <c r="D6940" s="51"/>
    </row>
    <row r="6941" spans="3:4" x14ac:dyDescent="0.35">
      <c r="C6941" s="51"/>
      <c r="D6941" s="51"/>
    </row>
    <row r="6942" spans="3:4" x14ac:dyDescent="0.35">
      <c r="C6942" s="51"/>
      <c r="D6942" s="51"/>
    </row>
    <row r="6943" spans="3:4" x14ac:dyDescent="0.35">
      <c r="C6943" s="51"/>
      <c r="D6943" s="51"/>
    </row>
    <row r="6944" spans="3:4" x14ac:dyDescent="0.35">
      <c r="C6944" s="51"/>
      <c r="D6944" s="51"/>
    </row>
    <row r="6945" spans="3:4" x14ac:dyDescent="0.35">
      <c r="C6945" s="51"/>
      <c r="D6945" s="51"/>
    </row>
    <row r="6946" spans="3:4" x14ac:dyDescent="0.35">
      <c r="C6946" s="51"/>
      <c r="D6946" s="51"/>
    </row>
    <row r="6947" spans="3:4" x14ac:dyDescent="0.35">
      <c r="C6947" s="51"/>
      <c r="D6947" s="51"/>
    </row>
    <row r="6948" spans="3:4" x14ac:dyDescent="0.35">
      <c r="C6948" s="51"/>
      <c r="D6948" s="51"/>
    </row>
    <row r="6949" spans="3:4" x14ac:dyDescent="0.35">
      <c r="C6949" s="51"/>
      <c r="D6949" s="51"/>
    </row>
    <row r="6950" spans="3:4" x14ac:dyDescent="0.35">
      <c r="C6950" s="51"/>
      <c r="D6950" s="51"/>
    </row>
    <row r="6951" spans="3:4" x14ac:dyDescent="0.35">
      <c r="C6951" s="51"/>
      <c r="D6951" s="51"/>
    </row>
    <row r="6952" spans="3:4" x14ac:dyDescent="0.35">
      <c r="C6952" s="51"/>
      <c r="D6952" s="51"/>
    </row>
    <row r="6953" spans="3:4" x14ac:dyDescent="0.35">
      <c r="C6953" s="51"/>
      <c r="D6953" s="51"/>
    </row>
    <row r="6954" spans="3:4" x14ac:dyDescent="0.35">
      <c r="C6954" s="51"/>
      <c r="D6954" s="51"/>
    </row>
    <row r="6955" spans="3:4" x14ac:dyDescent="0.35">
      <c r="C6955" s="51"/>
      <c r="D6955" s="51"/>
    </row>
    <row r="6956" spans="3:4" x14ac:dyDescent="0.35">
      <c r="C6956" s="51"/>
      <c r="D6956" s="51"/>
    </row>
    <row r="6957" spans="3:4" x14ac:dyDescent="0.35">
      <c r="C6957" s="51"/>
      <c r="D6957" s="51"/>
    </row>
    <row r="6958" spans="3:4" x14ac:dyDescent="0.35">
      <c r="C6958" s="51"/>
      <c r="D6958" s="51"/>
    </row>
    <row r="6959" spans="3:4" x14ac:dyDescent="0.35">
      <c r="C6959" s="51"/>
      <c r="D6959" s="51"/>
    </row>
    <row r="6960" spans="3:4" x14ac:dyDescent="0.35">
      <c r="C6960" s="51"/>
      <c r="D6960" s="51"/>
    </row>
    <row r="6961" spans="3:4" x14ac:dyDescent="0.35">
      <c r="C6961" s="51"/>
      <c r="D6961" s="51"/>
    </row>
    <row r="6962" spans="3:4" x14ac:dyDescent="0.35">
      <c r="C6962" s="51"/>
      <c r="D6962" s="51"/>
    </row>
    <row r="6963" spans="3:4" x14ac:dyDescent="0.35">
      <c r="C6963" s="51"/>
      <c r="D6963" s="51"/>
    </row>
    <row r="6964" spans="3:4" x14ac:dyDescent="0.35">
      <c r="C6964" s="51"/>
      <c r="D6964" s="51"/>
    </row>
    <row r="6965" spans="3:4" x14ac:dyDescent="0.35">
      <c r="C6965" s="51"/>
      <c r="D6965" s="51"/>
    </row>
    <row r="6966" spans="3:4" x14ac:dyDescent="0.35">
      <c r="C6966" s="51"/>
      <c r="D6966" s="51"/>
    </row>
    <row r="6967" spans="3:4" x14ac:dyDescent="0.35">
      <c r="C6967" s="51"/>
      <c r="D6967" s="51"/>
    </row>
    <row r="6968" spans="3:4" x14ac:dyDescent="0.35">
      <c r="C6968" s="51"/>
      <c r="D6968" s="51"/>
    </row>
    <row r="6969" spans="3:4" x14ac:dyDescent="0.35">
      <c r="C6969" s="51"/>
      <c r="D6969" s="51"/>
    </row>
    <row r="6970" spans="3:4" x14ac:dyDescent="0.35">
      <c r="C6970" s="51"/>
      <c r="D6970" s="51"/>
    </row>
    <row r="6971" spans="3:4" x14ac:dyDescent="0.35">
      <c r="C6971" s="51"/>
      <c r="D6971" s="51"/>
    </row>
    <row r="6972" spans="3:4" x14ac:dyDescent="0.35">
      <c r="C6972" s="51"/>
      <c r="D6972" s="51"/>
    </row>
    <row r="6973" spans="3:4" x14ac:dyDescent="0.35">
      <c r="C6973" s="51"/>
      <c r="D6973" s="51"/>
    </row>
    <row r="6974" spans="3:4" x14ac:dyDescent="0.35">
      <c r="C6974" s="51"/>
      <c r="D6974" s="51"/>
    </row>
    <row r="6975" spans="3:4" x14ac:dyDescent="0.35">
      <c r="C6975" s="51"/>
      <c r="D6975" s="51"/>
    </row>
    <row r="6976" spans="3:4" x14ac:dyDescent="0.35">
      <c r="C6976" s="51"/>
      <c r="D6976" s="51"/>
    </row>
    <row r="6977" spans="3:4" x14ac:dyDescent="0.35">
      <c r="C6977" s="51"/>
      <c r="D6977" s="51"/>
    </row>
    <row r="6978" spans="3:4" x14ac:dyDescent="0.35">
      <c r="C6978" s="51"/>
      <c r="D6978" s="51"/>
    </row>
    <row r="6979" spans="3:4" x14ac:dyDescent="0.35">
      <c r="C6979" s="51"/>
      <c r="D6979" s="51"/>
    </row>
    <row r="6980" spans="3:4" x14ac:dyDescent="0.35">
      <c r="C6980" s="51"/>
      <c r="D6980" s="51"/>
    </row>
    <row r="6981" spans="3:4" x14ac:dyDescent="0.35">
      <c r="C6981" s="51"/>
      <c r="D6981" s="51"/>
    </row>
    <row r="6982" spans="3:4" x14ac:dyDescent="0.35">
      <c r="C6982" s="51"/>
      <c r="D6982" s="51"/>
    </row>
    <row r="6983" spans="3:4" x14ac:dyDescent="0.35">
      <c r="C6983" s="51"/>
      <c r="D6983" s="51"/>
    </row>
    <row r="6984" spans="3:4" x14ac:dyDescent="0.35">
      <c r="C6984" s="51"/>
      <c r="D6984" s="51"/>
    </row>
    <row r="6985" spans="3:4" x14ac:dyDescent="0.35">
      <c r="C6985" s="51"/>
      <c r="D6985" s="51"/>
    </row>
    <row r="6986" spans="3:4" x14ac:dyDescent="0.35">
      <c r="C6986" s="51"/>
      <c r="D6986" s="51"/>
    </row>
    <row r="6987" spans="3:4" x14ac:dyDescent="0.35">
      <c r="C6987" s="51"/>
      <c r="D6987" s="51"/>
    </row>
    <row r="6988" spans="3:4" x14ac:dyDescent="0.35">
      <c r="C6988" s="51"/>
      <c r="D6988" s="51"/>
    </row>
    <row r="6989" spans="3:4" x14ac:dyDescent="0.35">
      <c r="C6989" s="51"/>
      <c r="D6989" s="51"/>
    </row>
    <row r="6990" spans="3:4" x14ac:dyDescent="0.35">
      <c r="C6990" s="51"/>
      <c r="D6990" s="51"/>
    </row>
    <row r="6991" spans="3:4" x14ac:dyDescent="0.35">
      <c r="C6991" s="51"/>
      <c r="D6991" s="51"/>
    </row>
    <row r="6992" spans="3:4" x14ac:dyDescent="0.35">
      <c r="C6992" s="51"/>
      <c r="D6992" s="51"/>
    </row>
    <row r="6993" spans="3:4" x14ac:dyDescent="0.35">
      <c r="C6993" s="51"/>
      <c r="D6993" s="51"/>
    </row>
    <row r="6994" spans="3:4" x14ac:dyDescent="0.35">
      <c r="C6994" s="51"/>
      <c r="D6994" s="51"/>
    </row>
    <row r="6995" spans="3:4" x14ac:dyDescent="0.35">
      <c r="C6995" s="51"/>
      <c r="D6995" s="51"/>
    </row>
    <row r="6996" spans="3:4" x14ac:dyDescent="0.35">
      <c r="C6996" s="51"/>
      <c r="D6996" s="51"/>
    </row>
    <row r="6997" spans="3:4" x14ac:dyDescent="0.35">
      <c r="C6997" s="51"/>
      <c r="D6997" s="51"/>
    </row>
    <row r="6998" spans="3:4" x14ac:dyDescent="0.35">
      <c r="C6998" s="51"/>
      <c r="D6998" s="51"/>
    </row>
    <row r="6999" spans="3:4" x14ac:dyDescent="0.35">
      <c r="C6999" s="51"/>
      <c r="D6999" s="51"/>
    </row>
    <row r="7000" spans="3:4" x14ac:dyDescent="0.35">
      <c r="C7000" s="51"/>
      <c r="D7000" s="51"/>
    </row>
    <row r="7001" spans="3:4" x14ac:dyDescent="0.35">
      <c r="C7001" s="51"/>
      <c r="D7001" s="51"/>
    </row>
    <row r="7002" spans="3:4" x14ac:dyDescent="0.35">
      <c r="C7002" s="51"/>
      <c r="D7002" s="51"/>
    </row>
    <row r="7003" spans="3:4" x14ac:dyDescent="0.35">
      <c r="C7003" s="51"/>
      <c r="D7003" s="51"/>
    </row>
    <row r="7004" spans="3:4" x14ac:dyDescent="0.35">
      <c r="C7004" s="51"/>
      <c r="D7004" s="51"/>
    </row>
    <row r="7005" spans="3:4" x14ac:dyDescent="0.35">
      <c r="C7005" s="51"/>
      <c r="D7005" s="51"/>
    </row>
    <row r="7006" spans="3:4" x14ac:dyDescent="0.35">
      <c r="C7006" s="51"/>
      <c r="D7006" s="51"/>
    </row>
    <row r="7007" spans="3:4" x14ac:dyDescent="0.35">
      <c r="C7007" s="51"/>
      <c r="D7007" s="51"/>
    </row>
    <row r="7008" spans="3:4" x14ac:dyDescent="0.35">
      <c r="C7008" s="51"/>
      <c r="D7008" s="51"/>
    </row>
    <row r="7009" spans="3:4" x14ac:dyDescent="0.35">
      <c r="C7009" s="51"/>
      <c r="D7009" s="51"/>
    </row>
    <row r="7010" spans="3:4" x14ac:dyDescent="0.35">
      <c r="C7010" s="51"/>
      <c r="D7010" s="51"/>
    </row>
    <row r="7011" spans="3:4" x14ac:dyDescent="0.35">
      <c r="C7011" s="51"/>
      <c r="D7011" s="51"/>
    </row>
    <row r="7012" spans="3:4" x14ac:dyDescent="0.35">
      <c r="C7012" s="51"/>
      <c r="D7012" s="51"/>
    </row>
    <row r="7013" spans="3:4" x14ac:dyDescent="0.35">
      <c r="C7013" s="51"/>
      <c r="D7013" s="51"/>
    </row>
    <row r="7014" spans="3:4" x14ac:dyDescent="0.35">
      <c r="C7014" s="51"/>
      <c r="D7014" s="51"/>
    </row>
    <row r="7015" spans="3:4" x14ac:dyDescent="0.35">
      <c r="C7015" s="51"/>
      <c r="D7015" s="51"/>
    </row>
    <row r="7016" spans="3:4" x14ac:dyDescent="0.35">
      <c r="C7016" s="51"/>
      <c r="D7016" s="51"/>
    </row>
    <row r="7017" spans="3:4" x14ac:dyDescent="0.35">
      <c r="C7017" s="51"/>
      <c r="D7017" s="51"/>
    </row>
    <row r="7018" spans="3:4" x14ac:dyDescent="0.35">
      <c r="C7018" s="51"/>
      <c r="D7018" s="51"/>
    </row>
    <row r="7019" spans="3:4" x14ac:dyDescent="0.35">
      <c r="C7019" s="51"/>
      <c r="D7019" s="51"/>
    </row>
    <row r="7020" spans="3:4" x14ac:dyDescent="0.35">
      <c r="C7020" s="51"/>
      <c r="D7020" s="51"/>
    </row>
    <row r="7021" spans="3:4" x14ac:dyDescent="0.35">
      <c r="C7021" s="51"/>
      <c r="D7021" s="51"/>
    </row>
    <row r="7022" spans="3:4" x14ac:dyDescent="0.35">
      <c r="C7022" s="51"/>
      <c r="D7022" s="51"/>
    </row>
    <row r="7023" spans="3:4" x14ac:dyDescent="0.35">
      <c r="C7023" s="51"/>
      <c r="D7023" s="51"/>
    </row>
    <row r="7024" spans="3:4" x14ac:dyDescent="0.35">
      <c r="C7024" s="51"/>
      <c r="D7024" s="51"/>
    </row>
    <row r="7025" spans="3:4" x14ac:dyDescent="0.35">
      <c r="C7025" s="51"/>
      <c r="D7025" s="51"/>
    </row>
    <row r="7026" spans="3:4" x14ac:dyDescent="0.35">
      <c r="C7026" s="51"/>
      <c r="D7026" s="51"/>
    </row>
    <row r="7027" spans="3:4" x14ac:dyDescent="0.35">
      <c r="C7027" s="51"/>
      <c r="D7027" s="51"/>
    </row>
    <row r="7028" spans="3:4" x14ac:dyDescent="0.35">
      <c r="C7028" s="51"/>
      <c r="D7028" s="51"/>
    </row>
    <row r="7029" spans="3:4" x14ac:dyDescent="0.35">
      <c r="C7029" s="51"/>
      <c r="D7029" s="51"/>
    </row>
    <row r="7030" spans="3:4" x14ac:dyDescent="0.35">
      <c r="C7030" s="51"/>
      <c r="D7030" s="51"/>
    </row>
    <row r="7031" spans="3:4" x14ac:dyDescent="0.35">
      <c r="C7031" s="51"/>
      <c r="D7031" s="51"/>
    </row>
    <row r="7032" spans="3:4" x14ac:dyDescent="0.35">
      <c r="C7032" s="51"/>
      <c r="D7032" s="51"/>
    </row>
    <row r="7033" spans="3:4" x14ac:dyDescent="0.35">
      <c r="C7033" s="51"/>
      <c r="D7033" s="51"/>
    </row>
    <row r="7034" spans="3:4" x14ac:dyDescent="0.35">
      <c r="C7034" s="51"/>
      <c r="D7034" s="51"/>
    </row>
    <row r="7035" spans="3:4" x14ac:dyDescent="0.35">
      <c r="C7035" s="51"/>
      <c r="D7035" s="51"/>
    </row>
    <row r="7036" spans="3:4" x14ac:dyDescent="0.35">
      <c r="C7036" s="51"/>
      <c r="D7036" s="51"/>
    </row>
    <row r="7037" spans="3:4" x14ac:dyDescent="0.35">
      <c r="C7037" s="51"/>
      <c r="D7037" s="51"/>
    </row>
    <row r="7038" spans="3:4" x14ac:dyDescent="0.35">
      <c r="C7038" s="51"/>
      <c r="D7038" s="51"/>
    </row>
    <row r="7039" spans="3:4" x14ac:dyDescent="0.35">
      <c r="C7039" s="51"/>
      <c r="D7039" s="51"/>
    </row>
    <row r="7040" spans="3:4" x14ac:dyDescent="0.35">
      <c r="C7040" s="51"/>
      <c r="D7040" s="51"/>
    </row>
    <row r="7041" spans="3:4" x14ac:dyDescent="0.35">
      <c r="C7041" s="51"/>
      <c r="D7041" s="51"/>
    </row>
    <row r="7042" spans="3:4" x14ac:dyDescent="0.35">
      <c r="C7042" s="51"/>
      <c r="D7042" s="51"/>
    </row>
    <row r="7043" spans="3:4" x14ac:dyDescent="0.35">
      <c r="C7043" s="51"/>
      <c r="D7043" s="51"/>
    </row>
    <row r="7044" spans="3:4" x14ac:dyDescent="0.35">
      <c r="C7044" s="51"/>
      <c r="D7044" s="51"/>
    </row>
    <row r="7045" spans="3:4" x14ac:dyDescent="0.35">
      <c r="C7045" s="51"/>
      <c r="D7045" s="51"/>
    </row>
    <row r="7046" spans="3:4" x14ac:dyDescent="0.35">
      <c r="C7046" s="51"/>
      <c r="D7046" s="51"/>
    </row>
    <row r="7047" spans="3:4" x14ac:dyDescent="0.35">
      <c r="C7047" s="51"/>
      <c r="D7047" s="51"/>
    </row>
    <row r="7048" spans="3:4" x14ac:dyDescent="0.35">
      <c r="C7048" s="51"/>
      <c r="D7048" s="51"/>
    </row>
    <row r="7049" spans="3:4" x14ac:dyDescent="0.35">
      <c r="C7049" s="51"/>
      <c r="D7049" s="51"/>
    </row>
    <row r="7050" spans="3:4" x14ac:dyDescent="0.35">
      <c r="C7050" s="51"/>
      <c r="D7050" s="51"/>
    </row>
    <row r="7051" spans="3:4" x14ac:dyDescent="0.35">
      <c r="C7051" s="51"/>
      <c r="D7051" s="51"/>
    </row>
    <row r="7052" spans="3:4" x14ac:dyDescent="0.35">
      <c r="C7052" s="51"/>
      <c r="D7052" s="51"/>
    </row>
    <row r="7053" spans="3:4" x14ac:dyDescent="0.35">
      <c r="C7053" s="51"/>
      <c r="D7053" s="51"/>
    </row>
    <row r="7054" spans="3:4" x14ac:dyDescent="0.35">
      <c r="C7054" s="51"/>
      <c r="D7054" s="51"/>
    </row>
    <row r="7055" spans="3:4" x14ac:dyDescent="0.35">
      <c r="C7055" s="51"/>
      <c r="D7055" s="51"/>
    </row>
    <row r="7056" spans="3:4" x14ac:dyDescent="0.35">
      <c r="C7056" s="51"/>
      <c r="D7056" s="51"/>
    </row>
    <row r="7057" spans="3:4" x14ac:dyDescent="0.35">
      <c r="C7057" s="51"/>
      <c r="D7057" s="51"/>
    </row>
    <row r="7058" spans="3:4" x14ac:dyDescent="0.35">
      <c r="C7058" s="51"/>
      <c r="D7058" s="51"/>
    </row>
    <row r="7059" spans="3:4" x14ac:dyDescent="0.35">
      <c r="C7059" s="51"/>
      <c r="D7059" s="51"/>
    </row>
    <row r="7060" spans="3:4" x14ac:dyDescent="0.35">
      <c r="C7060" s="51"/>
      <c r="D7060" s="51"/>
    </row>
    <row r="7061" spans="3:4" x14ac:dyDescent="0.35">
      <c r="C7061" s="51"/>
      <c r="D7061" s="51"/>
    </row>
    <row r="7062" spans="3:4" x14ac:dyDescent="0.35">
      <c r="C7062" s="51"/>
      <c r="D7062" s="51"/>
    </row>
    <row r="7063" spans="3:4" x14ac:dyDescent="0.35">
      <c r="C7063" s="51"/>
      <c r="D7063" s="51"/>
    </row>
    <row r="7064" spans="3:4" x14ac:dyDescent="0.35">
      <c r="C7064" s="51"/>
      <c r="D7064" s="51"/>
    </row>
    <row r="7065" spans="3:4" x14ac:dyDescent="0.35">
      <c r="C7065" s="51"/>
      <c r="D7065" s="51"/>
    </row>
    <row r="7066" spans="3:4" x14ac:dyDescent="0.35">
      <c r="C7066" s="51"/>
      <c r="D7066" s="51"/>
    </row>
    <row r="7067" spans="3:4" x14ac:dyDescent="0.35">
      <c r="C7067" s="51"/>
      <c r="D7067" s="51"/>
    </row>
    <row r="7068" spans="3:4" x14ac:dyDescent="0.35">
      <c r="C7068" s="51"/>
      <c r="D7068" s="51"/>
    </row>
    <row r="7069" spans="3:4" x14ac:dyDescent="0.35">
      <c r="C7069" s="51"/>
      <c r="D7069" s="51"/>
    </row>
    <row r="7070" spans="3:4" x14ac:dyDescent="0.35">
      <c r="C7070" s="51"/>
      <c r="D7070" s="51"/>
    </row>
    <row r="7071" spans="3:4" x14ac:dyDescent="0.35">
      <c r="C7071" s="51"/>
      <c r="D7071" s="51"/>
    </row>
    <row r="7072" spans="3:4" x14ac:dyDescent="0.35">
      <c r="C7072" s="51"/>
      <c r="D7072" s="51"/>
    </row>
    <row r="7073" spans="3:4" x14ac:dyDescent="0.35">
      <c r="C7073" s="51"/>
      <c r="D7073" s="51"/>
    </row>
    <row r="7074" spans="3:4" x14ac:dyDescent="0.35">
      <c r="C7074" s="51"/>
      <c r="D7074" s="51"/>
    </row>
    <row r="7075" spans="3:4" x14ac:dyDescent="0.35">
      <c r="C7075" s="51"/>
      <c r="D7075" s="51"/>
    </row>
    <row r="7076" spans="3:4" x14ac:dyDescent="0.35">
      <c r="C7076" s="51"/>
      <c r="D7076" s="51"/>
    </row>
    <row r="7077" spans="3:4" x14ac:dyDescent="0.35">
      <c r="C7077" s="51"/>
      <c r="D7077" s="51"/>
    </row>
    <row r="7078" spans="3:4" x14ac:dyDescent="0.35">
      <c r="C7078" s="51"/>
      <c r="D7078" s="51"/>
    </row>
    <row r="7079" spans="3:4" x14ac:dyDescent="0.35">
      <c r="C7079" s="51"/>
      <c r="D7079" s="51"/>
    </row>
    <row r="7080" spans="3:4" x14ac:dyDescent="0.35">
      <c r="C7080" s="51"/>
      <c r="D7080" s="51"/>
    </row>
    <row r="7081" spans="3:4" x14ac:dyDescent="0.35">
      <c r="C7081" s="51"/>
      <c r="D7081" s="51"/>
    </row>
    <row r="7082" spans="3:4" x14ac:dyDescent="0.35">
      <c r="C7082" s="51"/>
      <c r="D7082" s="51"/>
    </row>
    <row r="7083" spans="3:4" x14ac:dyDescent="0.35">
      <c r="C7083" s="51"/>
      <c r="D7083" s="51"/>
    </row>
    <row r="7084" spans="3:4" x14ac:dyDescent="0.35">
      <c r="C7084" s="51"/>
      <c r="D7084" s="51"/>
    </row>
    <row r="7085" spans="3:4" x14ac:dyDescent="0.35">
      <c r="C7085" s="51"/>
      <c r="D7085" s="51"/>
    </row>
    <row r="7086" spans="3:4" x14ac:dyDescent="0.35">
      <c r="C7086" s="51"/>
      <c r="D7086" s="51"/>
    </row>
    <row r="7087" spans="3:4" x14ac:dyDescent="0.35">
      <c r="C7087" s="51"/>
      <c r="D7087" s="51"/>
    </row>
    <row r="7088" spans="3:4" x14ac:dyDescent="0.35">
      <c r="C7088" s="51"/>
      <c r="D7088" s="51"/>
    </row>
    <row r="7089" spans="3:4" x14ac:dyDescent="0.35">
      <c r="C7089" s="51"/>
      <c r="D7089" s="51"/>
    </row>
    <row r="7090" spans="3:4" x14ac:dyDescent="0.35">
      <c r="C7090" s="51"/>
      <c r="D7090" s="51"/>
    </row>
    <row r="7091" spans="3:4" x14ac:dyDescent="0.35">
      <c r="C7091" s="51"/>
      <c r="D7091" s="51"/>
    </row>
    <row r="7092" spans="3:4" x14ac:dyDescent="0.35">
      <c r="C7092" s="51"/>
      <c r="D7092" s="51"/>
    </row>
    <row r="7093" spans="3:4" x14ac:dyDescent="0.35">
      <c r="C7093" s="51"/>
      <c r="D7093" s="51"/>
    </row>
    <row r="7094" spans="3:4" x14ac:dyDescent="0.35">
      <c r="C7094" s="51"/>
      <c r="D7094" s="51"/>
    </row>
    <row r="7095" spans="3:4" x14ac:dyDescent="0.35">
      <c r="C7095" s="51"/>
      <c r="D7095" s="51"/>
    </row>
    <row r="7096" spans="3:4" x14ac:dyDescent="0.35">
      <c r="C7096" s="51"/>
      <c r="D7096" s="51"/>
    </row>
    <row r="7097" spans="3:4" x14ac:dyDescent="0.35">
      <c r="C7097" s="51"/>
      <c r="D7097" s="51"/>
    </row>
    <row r="7098" spans="3:4" x14ac:dyDescent="0.35">
      <c r="C7098" s="51"/>
      <c r="D7098" s="51"/>
    </row>
    <row r="7099" spans="3:4" x14ac:dyDescent="0.35">
      <c r="C7099" s="51"/>
      <c r="D7099" s="51"/>
    </row>
    <row r="7100" spans="3:4" x14ac:dyDescent="0.35">
      <c r="C7100" s="51"/>
      <c r="D7100" s="51"/>
    </row>
    <row r="7101" spans="3:4" x14ac:dyDescent="0.35">
      <c r="C7101" s="51"/>
      <c r="D7101" s="51"/>
    </row>
    <row r="7102" spans="3:4" x14ac:dyDescent="0.35">
      <c r="C7102" s="51"/>
      <c r="D7102" s="51"/>
    </row>
    <row r="7103" spans="3:4" x14ac:dyDescent="0.35">
      <c r="C7103" s="51"/>
      <c r="D7103" s="51"/>
    </row>
    <row r="7104" spans="3:4" x14ac:dyDescent="0.35">
      <c r="C7104" s="51"/>
      <c r="D7104" s="51"/>
    </row>
    <row r="7105" spans="3:4" x14ac:dyDescent="0.35">
      <c r="C7105" s="51"/>
      <c r="D7105" s="51"/>
    </row>
    <row r="7106" spans="3:4" x14ac:dyDescent="0.35">
      <c r="C7106" s="51"/>
      <c r="D7106" s="51"/>
    </row>
    <row r="7107" spans="3:4" x14ac:dyDescent="0.35">
      <c r="C7107" s="51"/>
      <c r="D7107" s="51"/>
    </row>
    <row r="7108" spans="3:4" x14ac:dyDescent="0.35">
      <c r="C7108" s="51"/>
      <c r="D7108" s="51"/>
    </row>
    <row r="7109" spans="3:4" x14ac:dyDescent="0.35">
      <c r="C7109" s="51"/>
      <c r="D7109" s="51"/>
    </row>
    <row r="7110" spans="3:4" x14ac:dyDescent="0.35">
      <c r="C7110" s="51"/>
      <c r="D7110" s="51"/>
    </row>
    <row r="7111" spans="3:4" x14ac:dyDescent="0.35">
      <c r="C7111" s="51"/>
      <c r="D7111" s="51"/>
    </row>
    <row r="7112" spans="3:4" x14ac:dyDescent="0.35">
      <c r="C7112" s="51"/>
      <c r="D7112" s="51"/>
    </row>
    <row r="7113" spans="3:4" x14ac:dyDescent="0.35">
      <c r="C7113" s="51"/>
      <c r="D7113" s="51"/>
    </row>
    <row r="7114" spans="3:4" x14ac:dyDescent="0.35">
      <c r="C7114" s="51"/>
      <c r="D7114" s="51"/>
    </row>
    <row r="7115" spans="3:4" x14ac:dyDescent="0.35">
      <c r="C7115" s="51"/>
      <c r="D7115" s="51"/>
    </row>
    <row r="7116" spans="3:4" x14ac:dyDescent="0.35">
      <c r="C7116" s="51"/>
      <c r="D7116" s="51"/>
    </row>
    <row r="7117" spans="3:4" x14ac:dyDescent="0.35">
      <c r="C7117" s="51"/>
      <c r="D7117" s="51"/>
    </row>
    <row r="7118" spans="3:4" x14ac:dyDescent="0.35">
      <c r="C7118" s="51"/>
      <c r="D7118" s="51"/>
    </row>
    <row r="7119" spans="3:4" x14ac:dyDescent="0.35">
      <c r="C7119" s="51"/>
      <c r="D7119" s="51"/>
    </row>
    <row r="7120" spans="3:4" x14ac:dyDescent="0.35">
      <c r="C7120" s="51"/>
      <c r="D7120" s="51"/>
    </row>
    <row r="7121" spans="3:4" x14ac:dyDescent="0.35">
      <c r="C7121" s="51"/>
      <c r="D7121" s="51"/>
    </row>
    <row r="7122" spans="3:4" x14ac:dyDescent="0.35">
      <c r="C7122" s="51"/>
      <c r="D7122" s="51"/>
    </row>
    <row r="7123" spans="3:4" x14ac:dyDescent="0.35">
      <c r="C7123" s="51"/>
      <c r="D7123" s="51"/>
    </row>
    <row r="7124" spans="3:4" x14ac:dyDescent="0.35">
      <c r="C7124" s="51"/>
      <c r="D7124" s="51"/>
    </row>
    <row r="7125" spans="3:4" x14ac:dyDescent="0.35">
      <c r="C7125" s="51"/>
      <c r="D7125" s="51"/>
    </row>
    <row r="7126" spans="3:4" x14ac:dyDescent="0.35">
      <c r="C7126" s="51"/>
      <c r="D7126" s="51"/>
    </row>
    <row r="7127" spans="3:4" x14ac:dyDescent="0.35">
      <c r="C7127" s="51"/>
      <c r="D7127" s="51"/>
    </row>
    <row r="7128" spans="3:4" x14ac:dyDescent="0.35">
      <c r="C7128" s="51"/>
      <c r="D7128" s="51"/>
    </row>
    <row r="7129" spans="3:4" x14ac:dyDescent="0.35">
      <c r="C7129" s="51"/>
      <c r="D7129" s="51"/>
    </row>
    <row r="7130" spans="3:4" x14ac:dyDescent="0.35">
      <c r="C7130" s="51"/>
      <c r="D7130" s="51"/>
    </row>
    <row r="7131" spans="3:4" x14ac:dyDescent="0.35">
      <c r="C7131" s="51"/>
      <c r="D7131" s="51"/>
    </row>
    <row r="7132" spans="3:4" x14ac:dyDescent="0.35">
      <c r="C7132" s="51"/>
      <c r="D7132" s="51"/>
    </row>
    <row r="7133" spans="3:4" x14ac:dyDescent="0.35">
      <c r="C7133" s="51"/>
      <c r="D7133" s="51"/>
    </row>
    <row r="7134" spans="3:4" x14ac:dyDescent="0.35">
      <c r="C7134" s="51"/>
      <c r="D7134" s="51"/>
    </row>
    <row r="7135" spans="3:4" x14ac:dyDescent="0.35">
      <c r="C7135" s="51"/>
      <c r="D7135" s="51"/>
    </row>
    <row r="7136" spans="3:4" x14ac:dyDescent="0.35">
      <c r="C7136" s="51"/>
      <c r="D7136" s="51"/>
    </row>
    <row r="7137" spans="3:4" x14ac:dyDescent="0.35">
      <c r="C7137" s="51"/>
      <c r="D7137" s="51"/>
    </row>
    <row r="7138" spans="3:4" x14ac:dyDescent="0.35">
      <c r="C7138" s="51"/>
      <c r="D7138" s="51"/>
    </row>
    <row r="7139" spans="3:4" x14ac:dyDescent="0.35">
      <c r="C7139" s="51"/>
      <c r="D7139" s="51"/>
    </row>
    <row r="7140" spans="3:4" x14ac:dyDescent="0.35">
      <c r="C7140" s="51"/>
      <c r="D7140" s="51"/>
    </row>
    <row r="7141" spans="3:4" x14ac:dyDescent="0.35">
      <c r="C7141" s="51"/>
      <c r="D7141" s="51"/>
    </row>
    <row r="7142" spans="3:4" x14ac:dyDescent="0.35">
      <c r="C7142" s="51"/>
      <c r="D7142" s="51"/>
    </row>
    <row r="7143" spans="3:4" x14ac:dyDescent="0.35">
      <c r="C7143" s="51"/>
      <c r="D7143" s="51"/>
    </row>
    <row r="7144" spans="3:4" x14ac:dyDescent="0.35">
      <c r="C7144" s="51"/>
      <c r="D7144" s="51"/>
    </row>
    <row r="7145" spans="3:4" x14ac:dyDescent="0.35">
      <c r="C7145" s="51"/>
      <c r="D7145" s="51"/>
    </row>
    <row r="7146" spans="3:4" x14ac:dyDescent="0.35">
      <c r="C7146" s="51"/>
      <c r="D7146" s="51"/>
    </row>
    <row r="7147" spans="3:4" x14ac:dyDescent="0.35">
      <c r="C7147" s="51"/>
      <c r="D7147" s="51"/>
    </row>
    <row r="7148" spans="3:4" x14ac:dyDescent="0.35">
      <c r="C7148" s="51"/>
      <c r="D7148" s="51"/>
    </row>
    <row r="7149" spans="3:4" x14ac:dyDescent="0.35">
      <c r="C7149" s="51"/>
      <c r="D7149" s="51"/>
    </row>
    <row r="7150" spans="3:4" x14ac:dyDescent="0.35">
      <c r="C7150" s="51"/>
      <c r="D7150" s="51"/>
    </row>
    <row r="7151" spans="3:4" x14ac:dyDescent="0.35">
      <c r="C7151" s="51"/>
      <c r="D7151" s="51"/>
    </row>
    <row r="7152" spans="3:4" x14ac:dyDescent="0.35">
      <c r="C7152" s="51"/>
      <c r="D7152" s="51"/>
    </row>
    <row r="7153" spans="3:4" x14ac:dyDescent="0.35">
      <c r="C7153" s="51"/>
      <c r="D7153" s="51"/>
    </row>
    <row r="7154" spans="3:4" x14ac:dyDescent="0.35">
      <c r="C7154" s="51"/>
      <c r="D7154" s="51"/>
    </row>
    <row r="7155" spans="3:4" x14ac:dyDescent="0.35">
      <c r="C7155" s="51"/>
      <c r="D7155" s="51"/>
    </row>
    <row r="7156" spans="3:4" x14ac:dyDescent="0.35">
      <c r="C7156" s="51"/>
      <c r="D7156" s="51"/>
    </row>
    <row r="7157" spans="3:4" x14ac:dyDescent="0.35">
      <c r="C7157" s="51"/>
      <c r="D7157" s="51"/>
    </row>
    <row r="7158" spans="3:4" x14ac:dyDescent="0.35">
      <c r="C7158" s="51"/>
      <c r="D7158" s="51"/>
    </row>
    <row r="7159" spans="3:4" x14ac:dyDescent="0.35">
      <c r="C7159" s="51"/>
      <c r="D7159" s="51"/>
    </row>
    <row r="7160" spans="3:4" x14ac:dyDescent="0.35">
      <c r="C7160" s="51"/>
      <c r="D7160" s="51"/>
    </row>
    <row r="7161" spans="3:4" x14ac:dyDescent="0.35">
      <c r="C7161" s="51"/>
      <c r="D7161" s="51"/>
    </row>
    <row r="7162" spans="3:4" x14ac:dyDescent="0.35">
      <c r="C7162" s="51"/>
      <c r="D7162" s="51"/>
    </row>
    <row r="7163" spans="3:4" x14ac:dyDescent="0.35">
      <c r="C7163" s="51"/>
      <c r="D7163" s="51"/>
    </row>
    <row r="7164" spans="3:4" x14ac:dyDescent="0.35">
      <c r="C7164" s="51"/>
      <c r="D7164" s="51"/>
    </row>
    <row r="7165" spans="3:4" x14ac:dyDescent="0.35">
      <c r="C7165" s="51"/>
      <c r="D7165" s="51"/>
    </row>
    <row r="7166" spans="3:4" x14ac:dyDescent="0.35">
      <c r="C7166" s="51"/>
      <c r="D7166" s="51"/>
    </row>
    <row r="7167" spans="3:4" x14ac:dyDescent="0.35">
      <c r="C7167" s="51"/>
      <c r="D7167" s="51"/>
    </row>
    <row r="7168" spans="3:4" x14ac:dyDescent="0.35">
      <c r="C7168" s="51"/>
      <c r="D7168" s="51"/>
    </row>
    <row r="7169" spans="3:4" x14ac:dyDescent="0.35">
      <c r="C7169" s="51"/>
      <c r="D7169" s="51"/>
    </row>
    <row r="7170" spans="3:4" x14ac:dyDescent="0.35">
      <c r="C7170" s="51"/>
      <c r="D7170" s="51"/>
    </row>
    <row r="7171" spans="3:4" x14ac:dyDescent="0.35">
      <c r="C7171" s="51"/>
      <c r="D7171" s="51"/>
    </row>
    <row r="7172" spans="3:4" x14ac:dyDescent="0.35">
      <c r="C7172" s="51"/>
      <c r="D7172" s="51"/>
    </row>
    <row r="7173" spans="3:4" x14ac:dyDescent="0.35">
      <c r="C7173" s="51"/>
      <c r="D7173" s="51"/>
    </row>
    <row r="7174" spans="3:4" x14ac:dyDescent="0.35">
      <c r="C7174" s="51"/>
      <c r="D7174" s="51"/>
    </row>
    <row r="7175" spans="3:4" x14ac:dyDescent="0.35">
      <c r="C7175" s="51"/>
      <c r="D7175" s="51"/>
    </row>
    <row r="7176" spans="3:4" x14ac:dyDescent="0.35">
      <c r="C7176" s="51"/>
      <c r="D7176" s="51"/>
    </row>
    <row r="7177" spans="3:4" x14ac:dyDescent="0.35">
      <c r="C7177" s="51"/>
      <c r="D7177" s="51"/>
    </row>
    <row r="7178" spans="3:4" x14ac:dyDescent="0.35">
      <c r="C7178" s="51"/>
      <c r="D7178" s="51"/>
    </row>
    <row r="7179" spans="3:4" x14ac:dyDescent="0.35">
      <c r="C7179" s="51"/>
      <c r="D7179" s="51"/>
    </row>
    <row r="7180" spans="3:4" x14ac:dyDescent="0.35">
      <c r="C7180" s="51"/>
      <c r="D7180" s="51"/>
    </row>
    <row r="7181" spans="3:4" x14ac:dyDescent="0.35">
      <c r="C7181" s="51"/>
      <c r="D7181" s="51"/>
    </row>
    <row r="7182" spans="3:4" x14ac:dyDescent="0.35">
      <c r="C7182" s="51"/>
      <c r="D7182" s="51"/>
    </row>
    <row r="7183" spans="3:4" x14ac:dyDescent="0.35">
      <c r="C7183" s="51"/>
      <c r="D7183" s="51"/>
    </row>
    <row r="7184" spans="3:4" x14ac:dyDescent="0.35">
      <c r="C7184" s="51"/>
      <c r="D7184" s="51"/>
    </row>
    <row r="7185" spans="3:4" x14ac:dyDescent="0.35">
      <c r="C7185" s="51"/>
      <c r="D7185" s="51"/>
    </row>
    <row r="7186" spans="3:4" x14ac:dyDescent="0.35">
      <c r="C7186" s="51"/>
      <c r="D7186" s="51"/>
    </row>
    <row r="7187" spans="3:4" x14ac:dyDescent="0.35">
      <c r="C7187" s="51"/>
      <c r="D7187" s="51"/>
    </row>
    <row r="7188" spans="3:4" x14ac:dyDescent="0.35">
      <c r="C7188" s="51"/>
      <c r="D7188" s="51"/>
    </row>
    <row r="7189" spans="3:4" x14ac:dyDescent="0.35">
      <c r="C7189" s="51"/>
      <c r="D7189" s="51"/>
    </row>
    <row r="7190" spans="3:4" x14ac:dyDescent="0.35">
      <c r="C7190" s="51"/>
      <c r="D7190" s="51"/>
    </row>
    <row r="7191" spans="3:4" x14ac:dyDescent="0.35">
      <c r="C7191" s="51"/>
      <c r="D7191" s="51"/>
    </row>
    <row r="7192" spans="3:4" x14ac:dyDescent="0.35">
      <c r="C7192" s="51"/>
      <c r="D7192" s="51"/>
    </row>
    <row r="7193" spans="3:4" x14ac:dyDescent="0.35">
      <c r="C7193" s="51"/>
      <c r="D7193" s="51"/>
    </row>
    <row r="7194" spans="3:4" x14ac:dyDescent="0.35">
      <c r="C7194" s="51"/>
      <c r="D7194" s="51"/>
    </row>
    <row r="7195" spans="3:4" x14ac:dyDescent="0.35">
      <c r="C7195" s="51"/>
      <c r="D7195" s="51"/>
    </row>
    <row r="7196" spans="3:4" x14ac:dyDescent="0.35">
      <c r="C7196" s="51"/>
      <c r="D7196" s="51"/>
    </row>
    <row r="7197" spans="3:4" x14ac:dyDescent="0.35">
      <c r="C7197" s="51"/>
      <c r="D7197" s="51"/>
    </row>
    <row r="7198" spans="3:4" x14ac:dyDescent="0.35">
      <c r="C7198" s="51"/>
      <c r="D7198" s="51"/>
    </row>
    <row r="7199" spans="3:4" x14ac:dyDescent="0.35">
      <c r="C7199" s="51"/>
      <c r="D7199" s="51"/>
    </row>
    <row r="7200" spans="3:4" x14ac:dyDescent="0.35">
      <c r="C7200" s="51"/>
      <c r="D7200" s="51"/>
    </row>
    <row r="7201" spans="3:4" x14ac:dyDescent="0.35">
      <c r="C7201" s="51"/>
      <c r="D7201" s="51"/>
    </row>
    <row r="7202" spans="3:4" x14ac:dyDescent="0.35">
      <c r="C7202" s="51"/>
      <c r="D7202" s="51"/>
    </row>
    <row r="7203" spans="3:4" x14ac:dyDescent="0.35">
      <c r="C7203" s="51"/>
      <c r="D7203" s="51"/>
    </row>
    <row r="7204" spans="3:4" x14ac:dyDescent="0.35">
      <c r="C7204" s="51"/>
      <c r="D7204" s="51"/>
    </row>
    <row r="7205" spans="3:4" x14ac:dyDescent="0.35">
      <c r="C7205" s="51"/>
      <c r="D7205" s="51"/>
    </row>
    <row r="7206" spans="3:4" x14ac:dyDescent="0.35">
      <c r="C7206" s="51"/>
      <c r="D7206" s="51"/>
    </row>
    <row r="7207" spans="3:4" x14ac:dyDescent="0.35">
      <c r="C7207" s="51"/>
      <c r="D7207" s="51"/>
    </row>
    <row r="7208" spans="3:4" x14ac:dyDescent="0.35">
      <c r="C7208" s="51"/>
      <c r="D7208" s="51"/>
    </row>
    <row r="7209" spans="3:4" x14ac:dyDescent="0.35">
      <c r="C7209" s="51"/>
      <c r="D7209" s="51"/>
    </row>
    <row r="7210" spans="3:4" x14ac:dyDescent="0.35">
      <c r="C7210" s="51"/>
      <c r="D7210" s="51"/>
    </row>
    <row r="7211" spans="3:4" x14ac:dyDescent="0.35">
      <c r="C7211" s="51"/>
      <c r="D7211" s="51"/>
    </row>
    <row r="7212" spans="3:4" x14ac:dyDescent="0.35">
      <c r="C7212" s="51"/>
      <c r="D7212" s="51"/>
    </row>
    <row r="7213" spans="3:4" x14ac:dyDescent="0.35">
      <c r="C7213" s="51"/>
      <c r="D7213" s="51"/>
    </row>
    <row r="7214" spans="3:4" x14ac:dyDescent="0.35">
      <c r="C7214" s="51"/>
      <c r="D7214" s="51"/>
    </row>
    <row r="7215" spans="3:4" x14ac:dyDescent="0.35">
      <c r="C7215" s="51"/>
      <c r="D7215" s="51"/>
    </row>
    <row r="7216" spans="3:4" x14ac:dyDescent="0.35">
      <c r="C7216" s="51"/>
      <c r="D7216" s="51"/>
    </row>
    <row r="7217" spans="3:4" x14ac:dyDescent="0.35">
      <c r="C7217" s="51"/>
      <c r="D7217" s="51"/>
    </row>
    <row r="7218" spans="3:4" x14ac:dyDescent="0.35">
      <c r="C7218" s="51"/>
      <c r="D7218" s="51"/>
    </row>
    <row r="7219" spans="3:4" x14ac:dyDescent="0.35">
      <c r="C7219" s="51"/>
      <c r="D7219" s="51"/>
    </row>
    <row r="7220" spans="3:4" x14ac:dyDescent="0.35">
      <c r="C7220" s="51"/>
      <c r="D7220" s="51"/>
    </row>
    <row r="7221" spans="3:4" x14ac:dyDescent="0.35">
      <c r="C7221" s="51"/>
      <c r="D7221" s="51"/>
    </row>
    <row r="7222" spans="3:4" x14ac:dyDescent="0.35">
      <c r="C7222" s="51"/>
      <c r="D7222" s="51"/>
    </row>
    <row r="7223" spans="3:4" x14ac:dyDescent="0.35">
      <c r="C7223" s="51"/>
      <c r="D7223" s="51"/>
    </row>
    <row r="7224" spans="3:4" x14ac:dyDescent="0.35">
      <c r="C7224" s="51"/>
      <c r="D7224" s="51"/>
    </row>
    <row r="7225" spans="3:4" x14ac:dyDescent="0.35">
      <c r="C7225" s="51"/>
      <c r="D7225" s="51"/>
    </row>
    <row r="7226" spans="3:4" x14ac:dyDescent="0.35">
      <c r="C7226" s="51"/>
      <c r="D7226" s="51"/>
    </row>
    <row r="7227" spans="3:4" x14ac:dyDescent="0.35">
      <c r="C7227" s="51"/>
      <c r="D7227" s="51"/>
    </row>
    <row r="7228" spans="3:4" x14ac:dyDescent="0.35">
      <c r="C7228" s="51"/>
      <c r="D7228" s="51"/>
    </row>
    <row r="7229" spans="3:4" x14ac:dyDescent="0.35">
      <c r="C7229" s="51"/>
      <c r="D7229" s="51"/>
    </row>
    <row r="7230" spans="3:4" x14ac:dyDescent="0.35">
      <c r="C7230" s="51"/>
      <c r="D7230" s="51"/>
    </row>
    <row r="7231" spans="3:4" x14ac:dyDescent="0.35">
      <c r="C7231" s="51"/>
      <c r="D7231" s="51"/>
    </row>
    <row r="7232" spans="3:4" x14ac:dyDescent="0.35">
      <c r="C7232" s="51"/>
      <c r="D7232" s="51"/>
    </row>
    <row r="7233" spans="3:4" x14ac:dyDescent="0.35">
      <c r="C7233" s="51"/>
      <c r="D7233" s="51"/>
    </row>
    <row r="7234" spans="3:4" x14ac:dyDescent="0.35">
      <c r="C7234" s="51"/>
      <c r="D7234" s="51"/>
    </row>
    <row r="7235" spans="3:4" x14ac:dyDescent="0.35">
      <c r="C7235" s="51"/>
      <c r="D7235" s="51"/>
    </row>
    <row r="7236" spans="3:4" x14ac:dyDescent="0.35">
      <c r="C7236" s="51"/>
      <c r="D7236" s="51"/>
    </row>
    <row r="7237" spans="3:4" x14ac:dyDescent="0.35">
      <c r="C7237" s="51"/>
      <c r="D7237" s="51"/>
    </row>
    <row r="7238" spans="3:4" x14ac:dyDescent="0.35">
      <c r="C7238" s="51"/>
      <c r="D7238" s="51"/>
    </row>
    <row r="7239" spans="3:4" x14ac:dyDescent="0.35">
      <c r="C7239" s="51"/>
      <c r="D7239" s="51"/>
    </row>
    <row r="7240" spans="3:4" x14ac:dyDescent="0.35">
      <c r="C7240" s="51"/>
      <c r="D7240" s="51"/>
    </row>
    <row r="7241" spans="3:4" x14ac:dyDescent="0.35">
      <c r="C7241" s="51"/>
      <c r="D7241" s="51"/>
    </row>
    <row r="7242" spans="3:4" x14ac:dyDescent="0.35">
      <c r="C7242" s="51"/>
      <c r="D7242" s="51"/>
    </row>
    <row r="7243" spans="3:4" x14ac:dyDescent="0.35">
      <c r="C7243" s="51"/>
      <c r="D7243" s="51"/>
    </row>
    <row r="7244" spans="3:4" x14ac:dyDescent="0.35">
      <c r="C7244" s="51"/>
      <c r="D7244" s="51"/>
    </row>
    <row r="7245" spans="3:4" x14ac:dyDescent="0.35">
      <c r="C7245" s="51"/>
      <c r="D7245" s="51"/>
    </row>
    <row r="7246" spans="3:4" x14ac:dyDescent="0.35">
      <c r="C7246" s="51"/>
      <c r="D7246" s="51"/>
    </row>
    <row r="7247" spans="3:4" x14ac:dyDescent="0.35">
      <c r="C7247" s="51"/>
      <c r="D7247" s="51"/>
    </row>
    <row r="7248" spans="3:4" x14ac:dyDescent="0.35">
      <c r="C7248" s="51"/>
      <c r="D7248" s="51"/>
    </row>
    <row r="7249" spans="3:4" x14ac:dyDescent="0.35">
      <c r="C7249" s="51"/>
      <c r="D7249" s="51"/>
    </row>
    <row r="7250" spans="3:4" x14ac:dyDescent="0.35">
      <c r="C7250" s="51"/>
      <c r="D7250" s="51"/>
    </row>
    <row r="7251" spans="3:4" x14ac:dyDescent="0.35">
      <c r="C7251" s="51"/>
      <c r="D7251" s="51"/>
    </row>
    <row r="7252" spans="3:4" x14ac:dyDescent="0.35">
      <c r="C7252" s="51"/>
      <c r="D7252" s="51"/>
    </row>
    <row r="7253" spans="3:4" x14ac:dyDescent="0.35">
      <c r="C7253" s="51"/>
      <c r="D7253" s="51"/>
    </row>
    <row r="7254" spans="3:4" x14ac:dyDescent="0.35">
      <c r="C7254" s="51"/>
      <c r="D7254" s="51"/>
    </row>
    <row r="7255" spans="3:4" x14ac:dyDescent="0.35">
      <c r="C7255" s="51"/>
      <c r="D7255" s="51"/>
    </row>
    <row r="7256" spans="3:4" x14ac:dyDescent="0.35">
      <c r="C7256" s="51"/>
      <c r="D7256" s="51"/>
    </row>
    <row r="7257" spans="3:4" x14ac:dyDescent="0.35">
      <c r="C7257" s="51"/>
      <c r="D7257" s="51"/>
    </row>
    <row r="7258" spans="3:4" x14ac:dyDescent="0.35">
      <c r="C7258" s="51"/>
      <c r="D7258" s="51"/>
    </row>
    <row r="7259" spans="3:4" x14ac:dyDescent="0.35">
      <c r="C7259" s="51"/>
      <c r="D7259" s="51"/>
    </row>
    <row r="7260" spans="3:4" x14ac:dyDescent="0.35">
      <c r="C7260" s="51"/>
      <c r="D7260" s="51"/>
    </row>
    <row r="7261" spans="3:4" x14ac:dyDescent="0.35">
      <c r="C7261" s="51"/>
      <c r="D7261" s="51"/>
    </row>
    <row r="7262" spans="3:4" x14ac:dyDescent="0.35">
      <c r="C7262" s="51"/>
      <c r="D7262" s="51"/>
    </row>
    <row r="7263" spans="3:4" x14ac:dyDescent="0.35">
      <c r="C7263" s="51"/>
      <c r="D7263" s="51"/>
    </row>
    <row r="7264" spans="3:4" x14ac:dyDescent="0.35">
      <c r="C7264" s="51"/>
      <c r="D7264" s="51"/>
    </row>
    <row r="7265" spans="3:4" x14ac:dyDescent="0.35">
      <c r="C7265" s="51"/>
      <c r="D7265" s="51"/>
    </row>
    <row r="7266" spans="3:4" x14ac:dyDescent="0.35">
      <c r="C7266" s="51"/>
      <c r="D7266" s="51"/>
    </row>
    <row r="7267" spans="3:4" x14ac:dyDescent="0.35">
      <c r="C7267" s="51"/>
      <c r="D7267" s="51"/>
    </row>
    <row r="7268" spans="3:4" x14ac:dyDescent="0.35">
      <c r="C7268" s="51"/>
      <c r="D7268" s="51"/>
    </row>
    <row r="7269" spans="3:4" x14ac:dyDescent="0.35">
      <c r="C7269" s="51"/>
      <c r="D7269" s="51"/>
    </row>
    <row r="7270" spans="3:4" x14ac:dyDescent="0.35">
      <c r="C7270" s="51"/>
      <c r="D7270" s="51"/>
    </row>
    <row r="7271" spans="3:4" x14ac:dyDescent="0.35">
      <c r="C7271" s="51"/>
      <c r="D7271" s="51"/>
    </row>
    <row r="7272" spans="3:4" x14ac:dyDescent="0.35">
      <c r="C7272" s="51"/>
      <c r="D7272" s="51"/>
    </row>
    <row r="7273" spans="3:4" x14ac:dyDescent="0.35">
      <c r="C7273" s="51"/>
      <c r="D7273" s="51"/>
    </row>
    <row r="7274" spans="3:4" x14ac:dyDescent="0.35">
      <c r="C7274" s="51"/>
      <c r="D7274" s="51"/>
    </row>
    <row r="7275" spans="3:4" x14ac:dyDescent="0.35">
      <c r="C7275" s="51"/>
      <c r="D7275" s="51"/>
    </row>
    <row r="7276" spans="3:4" x14ac:dyDescent="0.35">
      <c r="C7276" s="51"/>
      <c r="D7276" s="51"/>
    </row>
    <row r="7277" spans="3:4" x14ac:dyDescent="0.35">
      <c r="C7277" s="51"/>
      <c r="D7277" s="51"/>
    </row>
    <row r="7278" spans="3:4" x14ac:dyDescent="0.35">
      <c r="C7278" s="51"/>
      <c r="D7278" s="51"/>
    </row>
    <row r="7279" spans="3:4" x14ac:dyDescent="0.35">
      <c r="C7279" s="51"/>
      <c r="D7279" s="51"/>
    </row>
    <row r="7280" spans="3:4" x14ac:dyDescent="0.35">
      <c r="C7280" s="51"/>
      <c r="D7280" s="51"/>
    </row>
    <row r="7281" spans="3:4" x14ac:dyDescent="0.35">
      <c r="C7281" s="51"/>
      <c r="D7281" s="51"/>
    </row>
    <row r="7282" spans="3:4" x14ac:dyDescent="0.35">
      <c r="C7282" s="51"/>
      <c r="D7282" s="51"/>
    </row>
    <row r="7283" spans="3:4" x14ac:dyDescent="0.35">
      <c r="C7283" s="51"/>
      <c r="D7283" s="51"/>
    </row>
    <row r="7284" spans="3:4" x14ac:dyDescent="0.35">
      <c r="C7284" s="51"/>
      <c r="D7284" s="51"/>
    </row>
    <row r="7285" spans="3:4" x14ac:dyDescent="0.35">
      <c r="C7285" s="51"/>
      <c r="D7285" s="51"/>
    </row>
    <row r="7286" spans="3:4" x14ac:dyDescent="0.35">
      <c r="C7286" s="51"/>
      <c r="D7286" s="51"/>
    </row>
    <row r="7287" spans="3:4" x14ac:dyDescent="0.35">
      <c r="C7287" s="51"/>
      <c r="D7287" s="51"/>
    </row>
    <row r="7288" spans="3:4" x14ac:dyDescent="0.35">
      <c r="C7288" s="51"/>
      <c r="D7288" s="51"/>
    </row>
    <row r="7289" spans="3:4" x14ac:dyDescent="0.35">
      <c r="C7289" s="51"/>
      <c r="D7289" s="51"/>
    </row>
    <row r="7290" spans="3:4" x14ac:dyDescent="0.35">
      <c r="C7290" s="51"/>
      <c r="D7290" s="51"/>
    </row>
    <row r="7291" spans="3:4" x14ac:dyDescent="0.35">
      <c r="C7291" s="51"/>
      <c r="D7291" s="51"/>
    </row>
    <row r="7292" spans="3:4" x14ac:dyDescent="0.35">
      <c r="C7292" s="51"/>
      <c r="D7292" s="51"/>
    </row>
    <row r="7293" spans="3:4" x14ac:dyDescent="0.35">
      <c r="C7293" s="51"/>
      <c r="D7293" s="51"/>
    </row>
    <row r="7294" spans="3:4" x14ac:dyDescent="0.35">
      <c r="C7294" s="51"/>
      <c r="D7294" s="51"/>
    </row>
    <row r="7295" spans="3:4" x14ac:dyDescent="0.35">
      <c r="C7295" s="51"/>
      <c r="D7295" s="51"/>
    </row>
    <row r="7296" spans="3:4" x14ac:dyDescent="0.35">
      <c r="C7296" s="51"/>
      <c r="D7296" s="51"/>
    </row>
    <row r="7297" spans="3:4" x14ac:dyDescent="0.35">
      <c r="C7297" s="51"/>
      <c r="D7297" s="51"/>
    </row>
    <row r="7298" spans="3:4" x14ac:dyDescent="0.35">
      <c r="C7298" s="51"/>
      <c r="D7298" s="51"/>
    </row>
    <row r="7299" spans="3:4" x14ac:dyDescent="0.35">
      <c r="C7299" s="51"/>
      <c r="D7299" s="51"/>
    </row>
    <row r="7300" spans="3:4" x14ac:dyDescent="0.35">
      <c r="C7300" s="51"/>
      <c r="D7300" s="51"/>
    </row>
    <row r="7301" spans="3:4" x14ac:dyDescent="0.35">
      <c r="C7301" s="51"/>
      <c r="D7301" s="51"/>
    </row>
    <row r="7302" spans="3:4" x14ac:dyDescent="0.35">
      <c r="C7302" s="51"/>
      <c r="D7302" s="51"/>
    </row>
    <row r="7303" spans="3:4" x14ac:dyDescent="0.35">
      <c r="C7303" s="51"/>
      <c r="D7303" s="51"/>
    </row>
    <row r="7304" spans="3:4" x14ac:dyDescent="0.35">
      <c r="C7304" s="51"/>
      <c r="D7304" s="51"/>
    </row>
    <row r="7305" spans="3:4" x14ac:dyDescent="0.35">
      <c r="C7305" s="51"/>
      <c r="D7305" s="51"/>
    </row>
    <row r="7306" spans="3:4" x14ac:dyDescent="0.35">
      <c r="C7306" s="51"/>
      <c r="D7306" s="51"/>
    </row>
    <row r="7307" spans="3:4" x14ac:dyDescent="0.35">
      <c r="C7307" s="51"/>
      <c r="D7307" s="51"/>
    </row>
    <row r="7308" spans="3:4" x14ac:dyDescent="0.35">
      <c r="C7308" s="51"/>
      <c r="D7308" s="51"/>
    </row>
    <row r="7309" spans="3:4" x14ac:dyDescent="0.35">
      <c r="C7309" s="51"/>
      <c r="D7309" s="51"/>
    </row>
    <row r="7310" spans="3:4" x14ac:dyDescent="0.35">
      <c r="C7310" s="51"/>
      <c r="D7310" s="51"/>
    </row>
    <row r="7311" spans="3:4" x14ac:dyDescent="0.35">
      <c r="C7311" s="51"/>
      <c r="D7311" s="51"/>
    </row>
    <row r="7312" spans="3:4" x14ac:dyDescent="0.35">
      <c r="C7312" s="51"/>
      <c r="D7312" s="51"/>
    </row>
    <row r="7313" spans="3:4" x14ac:dyDescent="0.35">
      <c r="C7313" s="51"/>
      <c r="D7313" s="51"/>
    </row>
    <row r="7314" spans="3:4" x14ac:dyDescent="0.35">
      <c r="C7314" s="51"/>
      <c r="D7314" s="51"/>
    </row>
    <row r="7315" spans="3:4" x14ac:dyDescent="0.35">
      <c r="C7315" s="51"/>
      <c r="D7315" s="51"/>
    </row>
    <row r="7316" spans="3:4" x14ac:dyDescent="0.35">
      <c r="C7316" s="51"/>
      <c r="D7316" s="51"/>
    </row>
    <row r="7317" spans="3:4" x14ac:dyDescent="0.35">
      <c r="C7317" s="51"/>
      <c r="D7317" s="51"/>
    </row>
    <row r="7318" spans="3:4" x14ac:dyDescent="0.35">
      <c r="C7318" s="51"/>
      <c r="D7318" s="51"/>
    </row>
    <row r="7319" spans="3:4" x14ac:dyDescent="0.35">
      <c r="C7319" s="51"/>
      <c r="D7319" s="51"/>
    </row>
    <row r="7320" spans="3:4" x14ac:dyDescent="0.35">
      <c r="C7320" s="51"/>
      <c r="D7320" s="51"/>
    </row>
    <row r="7321" spans="3:4" x14ac:dyDescent="0.35">
      <c r="C7321" s="51"/>
      <c r="D7321" s="51"/>
    </row>
    <row r="7322" spans="3:4" x14ac:dyDescent="0.35">
      <c r="C7322" s="51"/>
      <c r="D7322" s="51"/>
    </row>
    <row r="7323" spans="3:4" x14ac:dyDescent="0.35">
      <c r="C7323" s="51"/>
      <c r="D7323" s="51"/>
    </row>
    <row r="7324" spans="3:4" x14ac:dyDescent="0.35">
      <c r="C7324" s="51"/>
      <c r="D7324" s="51"/>
    </row>
    <row r="7325" spans="3:4" x14ac:dyDescent="0.35">
      <c r="C7325" s="51"/>
      <c r="D7325" s="51"/>
    </row>
    <row r="7326" spans="3:4" x14ac:dyDescent="0.35">
      <c r="C7326" s="51"/>
      <c r="D7326" s="51"/>
    </row>
    <row r="7327" spans="3:4" x14ac:dyDescent="0.35">
      <c r="C7327" s="51"/>
      <c r="D7327" s="51"/>
    </row>
    <row r="7328" spans="3:4" x14ac:dyDescent="0.35">
      <c r="C7328" s="51"/>
      <c r="D7328" s="51"/>
    </row>
    <row r="7329" spans="3:4" x14ac:dyDescent="0.35">
      <c r="C7329" s="51"/>
      <c r="D7329" s="51"/>
    </row>
    <row r="7330" spans="3:4" x14ac:dyDescent="0.35">
      <c r="C7330" s="51"/>
      <c r="D7330" s="51"/>
    </row>
    <row r="7331" spans="3:4" x14ac:dyDescent="0.35">
      <c r="C7331" s="51"/>
      <c r="D7331" s="51"/>
    </row>
    <row r="7332" spans="3:4" x14ac:dyDescent="0.35">
      <c r="C7332" s="51"/>
      <c r="D7332" s="51"/>
    </row>
    <row r="7333" spans="3:4" x14ac:dyDescent="0.35">
      <c r="C7333" s="51"/>
      <c r="D7333" s="51"/>
    </row>
    <row r="7334" spans="3:4" x14ac:dyDescent="0.35">
      <c r="C7334" s="51"/>
      <c r="D7334" s="51"/>
    </row>
    <row r="7335" spans="3:4" x14ac:dyDescent="0.35">
      <c r="C7335" s="51"/>
      <c r="D7335" s="51"/>
    </row>
    <row r="7336" spans="3:4" x14ac:dyDescent="0.35">
      <c r="C7336" s="51"/>
      <c r="D7336" s="51"/>
    </row>
    <row r="7337" spans="3:4" x14ac:dyDescent="0.35">
      <c r="C7337" s="51"/>
      <c r="D7337" s="51"/>
    </row>
    <row r="7338" spans="3:4" x14ac:dyDescent="0.35">
      <c r="C7338" s="51"/>
      <c r="D7338" s="51"/>
    </row>
    <row r="7339" spans="3:4" x14ac:dyDescent="0.35">
      <c r="C7339" s="51"/>
      <c r="D7339" s="51"/>
    </row>
    <row r="7340" spans="3:4" x14ac:dyDescent="0.35">
      <c r="C7340" s="51"/>
      <c r="D7340" s="51"/>
    </row>
    <row r="7341" spans="3:4" x14ac:dyDescent="0.35">
      <c r="C7341" s="51"/>
      <c r="D7341" s="51"/>
    </row>
    <row r="7342" spans="3:4" x14ac:dyDescent="0.35">
      <c r="C7342" s="51"/>
      <c r="D7342" s="51"/>
    </row>
    <row r="7343" spans="3:4" x14ac:dyDescent="0.35">
      <c r="C7343" s="51"/>
      <c r="D7343" s="51"/>
    </row>
    <row r="7344" spans="3:4" x14ac:dyDescent="0.35">
      <c r="C7344" s="51"/>
      <c r="D7344" s="51"/>
    </row>
    <row r="7345" spans="3:4" x14ac:dyDescent="0.35">
      <c r="C7345" s="51"/>
      <c r="D7345" s="51"/>
    </row>
    <row r="7346" spans="3:4" x14ac:dyDescent="0.35">
      <c r="C7346" s="51"/>
      <c r="D7346" s="51"/>
    </row>
    <row r="7347" spans="3:4" x14ac:dyDescent="0.35">
      <c r="C7347" s="51"/>
      <c r="D7347" s="51"/>
    </row>
    <row r="7348" spans="3:4" x14ac:dyDescent="0.35">
      <c r="C7348" s="51"/>
      <c r="D7348" s="51"/>
    </row>
    <row r="7349" spans="3:4" x14ac:dyDescent="0.35">
      <c r="C7349" s="51"/>
      <c r="D7349" s="51"/>
    </row>
    <row r="7350" spans="3:4" x14ac:dyDescent="0.35">
      <c r="C7350" s="51"/>
      <c r="D7350" s="51"/>
    </row>
    <row r="7351" spans="3:4" x14ac:dyDescent="0.35">
      <c r="C7351" s="51"/>
      <c r="D7351" s="51"/>
    </row>
    <row r="7352" spans="3:4" x14ac:dyDescent="0.35">
      <c r="C7352" s="51"/>
      <c r="D7352" s="51"/>
    </row>
    <row r="7353" spans="3:4" x14ac:dyDescent="0.35">
      <c r="C7353" s="51"/>
      <c r="D7353" s="51"/>
    </row>
    <row r="7354" spans="3:4" x14ac:dyDescent="0.35">
      <c r="C7354" s="51"/>
      <c r="D7354" s="51"/>
    </row>
    <row r="7355" spans="3:4" x14ac:dyDescent="0.35">
      <c r="C7355" s="51"/>
      <c r="D7355" s="51"/>
    </row>
    <row r="7356" spans="3:4" x14ac:dyDescent="0.35">
      <c r="C7356" s="51"/>
      <c r="D7356" s="51"/>
    </row>
    <row r="7357" spans="3:4" x14ac:dyDescent="0.35">
      <c r="C7357" s="51"/>
      <c r="D7357" s="51"/>
    </row>
    <row r="7358" spans="3:4" x14ac:dyDescent="0.35">
      <c r="C7358" s="51"/>
      <c r="D7358" s="51"/>
    </row>
    <row r="7359" spans="3:4" x14ac:dyDescent="0.35">
      <c r="C7359" s="51"/>
      <c r="D7359" s="51"/>
    </row>
    <row r="7360" spans="3:4" x14ac:dyDescent="0.35">
      <c r="C7360" s="51"/>
      <c r="D7360" s="51"/>
    </row>
    <row r="7361" spans="3:4" x14ac:dyDescent="0.35">
      <c r="C7361" s="51"/>
      <c r="D7361" s="51"/>
    </row>
    <row r="7362" spans="3:4" x14ac:dyDescent="0.35">
      <c r="C7362" s="51"/>
      <c r="D7362" s="51"/>
    </row>
    <row r="7363" spans="3:4" x14ac:dyDescent="0.35">
      <c r="C7363" s="51"/>
      <c r="D7363" s="51"/>
    </row>
    <row r="7364" spans="3:4" x14ac:dyDescent="0.35">
      <c r="C7364" s="51"/>
      <c r="D7364" s="51"/>
    </row>
    <row r="7365" spans="3:4" x14ac:dyDescent="0.35">
      <c r="C7365" s="51"/>
      <c r="D7365" s="51"/>
    </row>
    <row r="7366" spans="3:4" x14ac:dyDescent="0.35">
      <c r="C7366" s="51"/>
      <c r="D7366" s="51"/>
    </row>
    <row r="7367" spans="3:4" x14ac:dyDescent="0.35">
      <c r="C7367" s="51"/>
      <c r="D7367" s="51"/>
    </row>
    <row r="7368" spans="3:4" x14ac:dyDescent="0.35">
      <c r="C7368" s="51"/>
      <c r="D7368" s="51"/>
    </row>
    <row r="7369" spans="3:4" x14ac:dyDescent="0.35">
      <c r="C7369" s="51"/>
      <c r="D7369" s="51"/>
    </row>
    <row r="7370" spans="3:4" x14ac:dyDescent="0.35">
      <c r="C7370" s="51"/>
      <c r="D7370" s="51"/>
    </row>
    <row r="7371" spans="3:4" x14ac:dyDescent="0.35">
      <c r="C7371" s="51"/>
      <c r="D7371" s="51"/>
    </row>
    <row r="7372" spans="3:4" x14ac:dyDescent="0.35">
      <c r="C7372" s="51"/>
      <c r="D7372" s="51"/>
    </row>
    <row r="7373" spans="3:4" x14ac:dyDescent="0.35">
      <c r="C7373" s="51"/>
      <c r="D7373" s="51"/>
    </row>
    <row r="7374" spans="3:4" x14ac:dyDescent="0.35">
      <c r="C7374" s="51"/>
      <c r="D7374" s="51"/>
    </row>
    <row r="7375" spans="3:4" x14ac:dyDescent="0.35">
      <c r="C7375" s="51"/>
      <c r="D7375" s="51"/>
    </row>
    <row r="7376" spans="3:4" x14ac:dyDescent="0.35">
      <c r="C7376" s="51"/>
      <c r="D7376" s="51"/>
    </row>
    <row r="7377" spans="3:4" x14ac:dyDescent="0.35">
      <c r="C7377" s="51"/>
      <c r="D7377" s="51"/>
    </row>
    <row r="7378" spans="3:4" x14ac:dyDescent="0.35">
      <c r="C7378" s="51"/>
      <c r="D7378" s="51"/>
    </row>
    <row r="7379" spans="3:4" x14ac:dyDescent="0.35">
      <c r="C7379" s="51"/>
      <c r="D7379" s="51"/>
    </row>
    <row r="7380" spans="3:4" x14ac:dyDescent="0.35">
      <c r="C7380" s="51"/>
      <c r="D7380" s="51"/>
    </row>
    <row r="7381" spans="3:4" x14ac:dyDescent="0.35">
      <c r="C7381" s="51"/>
      <c r="D7381" s="51"/>
    </row>
    <row r="7382" spans="3:4" x14ac:dyDescent="0.35">
      <c r="C7382" s="51"/>
      <c r="D7382" s="51"/>
    </row>
    <row r="7383" spans="3:4" x14ac:dyDescent="0.35">
      <c r="C7383" s="51"/>
      <c r="D7383" s="51"/>
    </row>
    <row r="7384" spans="3:4" x14ac:dyDescent="0.35">
      <c r="C7384" s="51"/>
      <c r="D7384" s="51"/>
    </row>
    <row r="7385" spans="3:4" x14ac:dyDescent="0.35">
      <c r="C7385" s="51"/>
      <c r="D7385" s="51"/>
    </row>
    <row r="7386" spans="3:4" x14ac:dyDescent="0.35">
      <c r="C7386" s="51"/>
      <c r="D7386" s="51"/>
    </row>
    <row r="7387" spans="3:4" x14ac:dyDescent="0.35">
      <c r="C7387" s="51"/>
      <c r="D7387" s="51"/>
    </row>
    <row r="7388" spans="3:4" x14ac:dyDescent="0.35">
      <c r="C7388" s="51"/>
      <c r="D7388" s="51"/>
    </row>
    <row r="7389" spans="3:4" x14ac:dyDescent="0.35">
      <c r="C7389" s="51"/>
      <c r="D7389" s="51"/>
    </row>
    <row r="7390" spans="3:4" x14ac:dyDescent="0.35">
      <c r="C7390" s="51"/>
      <c r="D7390" s="51"/>
    </row>
    <row r="7391" spans="3:4" x14ac:dyDescent="0.35">
      <c r="C7391" s="51"/>
      <c r="D7391" s="51"/>
    </row>
    <row r="7392" spans="3:4" x14ac:dyDescent="0.35">
      <c r="C7392" s="51"/>
      <c r="D7392" s="51"/>
    </row>
    <row r="7393" spans="3:4" x14ac:dyDescent="0.35">
      <c r="C7393" s="51"/>
      <c r="D7393" s="51"/>
    </row>
    <row r="7394" spans="3:4" x14ac:dyDescent="0.35">
      <c r="C7394" s="51"/>
      <c r="D7394" s="51"/>
    </row>
    <row r="7395" spans="3:4" x14ac:dyDescent="0.35">
      <c r="C7395" s="51"/>
      <c r="D7395" s="51"/>
    </row>
    <row r="7396" spans="3:4" x14ac:dyDescent="0.35">
      <c r="C7396" s="51"/>
      <c r="D7396" s="51"/>
    </row>
    <row r="7397" spans="3:4" x14ac:dyDescent="0.35">
      <c r="C7397" s="51"/>
      <c r="D7397" s="51"/>
    </row>
    <row r="7398" spans="3:4" x14ac:dyDescent="0.35">
      <c r="C7398" s="51"/>
      <c r="D7398" s="51"/>
    </row>
    <row r="7399" spans="3:4" x14ac:dyDescent="0.35">
      <c r="C7399" s="51"/>
      <c r="D7399" s="51"/>
    </row>
    <row r="7400" spans="3:4" x14ac:dyDescent="0.35">
      <c r="C7400" s="51"/>
      <c r="D7400" s="51"/>
    </row>
    <row r="7401" spans="3:4" x14ac:dyDescent="0.35">
      <c r="C7401" s="51"/>
      <c r="D7401" s="51"/>
    </row>
    <row r="7402" spans="3:4" x14ac:dyDescent="0.35">
      <c r="C7402" s="51"/>
      <c r="D7402" s="51"/>
    </row>
    <row r="7403" spans="3:4" x14ac:dyDescent="0.35">
      <c r="C7403" s="51"/>
      <c r="D7403" s="51"/>
    </row>
    <row r="7404" spans="3:4" x14ac:dyDescent="0.35">
      <c r="C7404" s="51"/>
      <c r="D7404" s="51"/>
    </row>
    <row r="7405" spans="3:4" x14ac:dyDescent="0.35">
      <c r="C7405" s="51"/>
      <c r="D7405" s="51"/>
    </row>
    <row r="7406" spans="3:4" x14ac:dyDescent="0.35">
      <c r="C7406" s="51"/>
      <c r="D7406" s="51"/>
    </row>
    <row r="7407" spans="3:4" x14ac:dyDescent="0.35">
      <c r="C7407" s="51"/>
      <c r="D7407" s="51"/>
    </row>
    <row r="7408" spans="3:4" x14ac:dyDescent="0.35">
      <c r="C7408" s="51"/>
      <c r="D7408" s="51"/>
    </row>
    <row r="7409" spans="3:4" x14ac:dyDescent="0.35">
      <c r="C7409" s="51"/>
      <c r="D7409" s="51"/>
    </row>
    <row r="7410" spans="3:4" x14ac:dyDescent="0.35">
      <c r="C7410" s="51"/>
      <c r="D7410" s="51"/>
    </row>
    <row r="7411" spans="3:4" x14ac:dyDescent="0.35">
      <c r="C7411" s="51"/>
      <c r="D7411" s="51"/>
    </row>
    <row r="7412" spans="3:4" x14ac:dyDescent="0.35">
      <c r="C7412" s="51"/>
      <c r="D7412" s="51"/>
    </row>
    <row r="7413" spans="3:4" x14ac:dyDescent="0.35">
      <c r="C7413" s="51"/>
      <c r="D7413" s="51"/>
    </row>
    <row r="7414" spans="3:4" x14ac:dyDescent="0.35">
      <c r="C7414" s="51"/>
      <c r="D7414" s="51"/>
    </row>
    <row r="7415" spans="3:4" x14ac:dyDescent="0.35">
      <c r="C7415" s="51"/>
      <c r="D7415" s="51"/>
    </row>
    <row r="7416" spans="3:4" x14ac:dyDescent="0.35">
      <c r="C7416" s="51"/>
      <c r="D7416" s="51"/>
    </row>
    <row r="7417" spans="3:4" x14ac:dyDescent="0.35">
      <c r="C7417" s="51"/>
      <c r="D7417" s="51"/>
    </row>
    <row r="7418" spans="3:4" x14ac:dyDescent="0.35">
      <c r="C7418" s="51"/>
      <c r="D7418" s="51"/>
    </row>
    <row r="7419" spans="3:4" x14ac:dyDescent="0.35">
      <c r="C7419" s="51"/>
      <c r="D7419" s="51"/>
    </row>
    <row r="7420" spans="3:4" x14ac:dyDescent="0.35">
      <c r="C7420" s="51"/>
      <c r="D7420" s="51"/>
    </row>
    <row r="7421" spans="3:4" x14ac:dyDescent="0.35">
      <c r="C7421" s="51"/>
      <c r="D7421" s="51"/>
    </row>
    <row r="7422" spans="3:4" x14ac:dyDescent="0.35">
      <c r="C7422" s="51"/>
      <c r="D7422" s="51"/>
    </row>
    <row r="7423" spans="3:4" x14ac:dyDescent="0.35">
      <c r="C7423" s="51"/>
      <c r="D7423" s="51"/>
    </row>
    <row r="7424" spans="3:4" x14ac:dyDescent="0.35">
      <c r="C7424" s="51"/>
      <c r="D7424" s="51"/>
    </row>
    <row r="7425" spans="3:4" x14ac:dyDescent="0.35">
      <c r="C7425" s="51"/>
      <c r="D7425" s="51"/>
    </row>
    <row r="7426" spans="3:4" x14ac:dyDescent="0.35">
      <c r="C7426" s="51"/>
      <c r="D7426" s="51"/>
    </row>
    <row r="7427" spans="3:4" x14ac:dyDescent="0.35">
      <c r="C7427" s="51"/>
      <c r="D7427" s="51"/>
    </row>
    <row r="7428" spans="3:4" x14ac:dyDescent="0.35">
      <c r="C7428" s="51"/>
      <c r="D7428" s="51"/>
    </row>
    <row r="7429" spans="3:4" x14ac:dyDescent="0.35">
      <c r="C7429" s="51"/>
      <c r="D7429" s="51"/>
    </row>
    <row r="7430" spans="3:4" x14ac:dyDescent="0.35">
      <c r="C7430" s="51"/>
      <c r="D7430" s="51"/>
    </row>
    <row r="7431" spans="3:4" x14ac:dyDescent="0.35">
      <c r="C7431" s="51"/>
      <c r="D7431" s="51"/>
    </row>
    <row r="7432" spans="3:4" x14ac:dyDescent="0.35">
      <c r="C7432" s="51"/>
      <c r="D7432" s="51"/>
    </row>
    <row r="7433" spans="3:4" x14ac:dyDescent="0.35">
      <c r="C7433" s="51"/>
      <c r="D7433" s="51"/>
    </row>
    <row r="7434" spans="3:4" x14ac:dyDescent="0.35">
      <c r="C7434" s="51"/>
      <c r="D7434" s="51"/>
    </row>
    <row r="7435" spans="3:4" x14ac:dyDescent="0.35">
      <c r="C7435" s="51"/>
      <c r="D7435" s="51"/>
    </row>
    <row r="7436" spans="3:4" x14ac:dyDescent="0.35">
      <c r="C7436" s="51"/>
      <c r="D7436" s="51"/>
    </row>
    <row r="7437" spans="3:4" x14ac:dyDescent="0.35">
      <c r="C7437" s="51"/>
      <c r="D7437" s="51"/>
    </row>
    <row r="7438" spans="3:4" x14ac:dyDescent="0.35">
      <c r="C7438" s="51"/>
      <c r="D7438" s="51"/>
    </row>
    <row r="7439" spans="3:4" x14ac:dyDescent="0.35">
      <c r="C7439" s="51"/>
      <c r="D7439" s="51"/>
    </row>
    <row r="7440" spans="3:4" x14ac:dyDescent="0.35">
      <c r="C7440" s="51"/>
      <c r="D7440" s="51"/>
    </row>
    <row r="7441" spans="3:4" x14ac:dyDescent="0.35">
      <c r="C7441" s="51"/>
      <c r="D7441" s="51"/>
    </row>
    <row r="7442" spans="3:4" x14ac:dyDescent="0.35">
      <c r="C7442" s="51"/>
      <c r="D7442" s="51"/>
    </row>
    <row r="7443" spans="3:4" x14ac:dyDescent="0.35">
      <c r="C7443" s="51"/>
      <c r="D7443" s="51"/>
    </row>
    <row r="7444" spans="3:4" x14ac:dyDescent="0.35">
      <c r="C7444" s="51"/>
      <c r="D7444" s="51"/>
    </row>
    <row r="7445" spans="3:4" x14ac:dyDescent="0.35">
      <c r="C7445" s="51"/>
      <c r="D7445" s="51"/>
    </row>
    <row r="7446" spans="3:4" x14ac:dyDescent="0.35">
      <c r="C7446" s="51"/>
      <c r="D7446" s="51"/>
    </row>
    <row r="7447" spans="3:4" x14ac:dyDescent="0.35">
      <c r="C7447" s="51"/>
      <c r="D7447" s="51"/>
    </row>
    <row r="7448" spans="3:4" x14ac:dyDescent="0.35">
      <c r="C7448" s="51"/>
      <c r="D7448" s="51"/>
    </row>
    <row r="7449" spans="3:4" x14ac:dyDescent="0.35">
      <c r="C7449" s="51"/>
      <c r="D7449" s="51"/>
    </row>
    <row r="7450" spans="3:4" x14ac:dyDescent="0.35">
      <c r="C7450" s="51"/>
      <c r="D7450" s="51"/>
    </row>
    <row r="7451" spans="3:4" x14ac:dyDescent="0.35">
      <c r="C7451" s="51"/>
      <c r="D7451" s="51"/>
    </row>
    <row r="7452" spans="3:4" x14ac:dyDescent="0.35">
      <c r="C7452" s="51"/>
      <c r="D7452" s="51"/>
    </row>
    <row r="7453" spans="3:4" x14ac:dyDescent="0.35">
      <c r="C7453" s="51"/>
      <c r="D7453" s="51"/>
    </row>
    <row r="7454" spans="3:4" x14ac:dyDescent="0.35">
      <c r="C7454" s="51"/>
      <c r="D7454" s="51"/>
    </row>
    <row r="7455" spans="3:4" x14ac:dyDescent="0.35">
      <c r="C7455" s="51"/>
      <c r="D7455" s="51"/>
    </row>
    <row r="7456" spans="3:4" x14ac:dyDescent="0.35">
      <c r="C7456" s="51"/>
      <c r="D7456" s="51"/>
    </row>
    <row r="7457" spans="3:4" x14ac:dyDescent="0.35">
      <c r="C7457" s="51"/>
      <c r="D7457" s="51"/>
    </row>
    <row r="7458" spans="3:4" x14ac:dyDescent="0.35">
      <c r="C7458" s="51"/>
      <c r="D7458" s="51"/>
    </row>
    <row r="7459" spans="3:4" x14ac:dyDescent="0.35">
      <c r="C7459" s="51"/>
      <c r="D7459" s="51"/>
    </row>
    <row r="7460" spans="3:4" x14ac:dyDescent="0.35">
      <c r="C7460" s="51"/>
      <c r="D7460" s="51"/>
    </row>
    <row r="7461" spans="3:4" x14ac:dyDescent="0.35">
      <c r="C7461" s="51"/>
      <c r="D7461" s="51"/>
    </row>
    <row r="7462" spans="3:4" x14ac:dyDescent="0.35">
      <c r="C7462" s="51"/>
      <c r="D7462" s="51"/>
    </row>
    <row r="7463" spans="3:4" x14ac:dyDescent="0.35">
      <c r="C7463" s="51"/>
      <c r="D7463" s="51"/>
    </row>
    <row r="7464" spans="3:4" x14ac:dyDescent="0.35">
      <c r="C7464" s="51"/>
      <c r="D7464" s="51"/>
    </row>
    <row r="7465" spans="3:4" x14ac:dyDescent="0.35">
      <c r="C7465" s="51"/>
      <c r="D7465" s="51"/>
    </row>
    <row r="7466" spans="3:4" x14ac:dyDescent="0.35">
      <c r="C7466" s="51"/>
      <c r="D7466" s="51"/>
    </row>
    <row r="7467" spans="3:4" x14ac:dyDescent="0.35">
      <c r="C7467" s="51"/>
      <c r="D7467" s="51"/>
    </row>
    <row r="7468" spans="3:4" x14ac:dyDescent="0.35">
      <c r="C7468" s="51"/>
      <c r="D7468" s="51"/>
    </row>
    <row r="7469" spans="3:4" x14ac:dyDescent="0.35">
      <c r="C7469" s="51"/>
      <c r="D7469" s="51"/>
    </row>
    <row r="7470" spans="3:4" x14ac:dyDescent="0.35">
      <c r="C7470" s="51"/>
      <c r="D7470" s="51"/>
    </row>
    <row r="7471" spans="3:4" x14ac:dyDescent="0.35">
      <c r="C7471" s="51"/>
      <c r="D7471" s="51"/>
    </row>
    <row r="7472" spans="3:4" x14ac:dyDescent="0.35">
      <c r="C7472" s="51"/>
      <c r="D7472" s="51"/>
    </row>
    <row r="7473" spans="3:4" x14ac:dyDescent="0.35">
      <c r="C7473" s="51"/>
      <c r="D7473" s="51"/>
    </row>
    <row r="7474" spans="3:4" x14ac:dyDescent="0.35">
      <c r="C7474" s="51"/>
      <c r="D7474" s="51"/>
    </row>
    <row r="7475" spans="3:4" x14ac:dyDescent="0.35">
      <c r="C7475" s="51"/>
      <c r="D7475" s="51"/>
    </row>
    <row r="7476" spans="3:4" x14ac:dyDescent="0.35">
      <c r="C7476" s="51"/>
      <c r="D7476" s="51"/>
    </row>
    <row r="7477" spans="3:4" x14ac:dyDescent="0.35">
      <c r="C7477" s="51"/>
      <c r="D7477" s="51"/>
    </row>
    <row r="7478" spans="3:4" x14ac:dyDescent="0.35">
      <c r="C7478" s="51"/>
      <c r="D7478" s="51"/>
    </row>
    <row r="7479" spans="3:4" x14ac:dyDescent="0.35">
      <c r="C7479" s="51"/>
      <c r="D7479" s="51"/>
    </row>
    <row r="7480" spans="3:4" x14ac:dyDescent="0.35">
      <c r="C7480" s="51"/>
      <c r="D7480" s="51"/>
    </row>
    <row r="7481" spans="3:4" x14ac:dyDescent="0.35">
      <c r="C7481" s="51"/>
      <c r="D7481" s="51"/>
    </row>
    <row r="7482" spans="3:4" x14ac:dyDescent="0.35">
      <c r="C7482" s="51"/>
      <c r="D7482" s="51"/>
    </row>
    <row r="7483" spans="3:4" x14ac:dyDescent="0.35">
      <c r="C7483" s="51"/>
      <c r="D7483" s="51"/>
    </row>
    <row r="7484" spans="3:4" x14ac:dyDescent="0.35">
      <c r="C7484" s="51"/>
      <c r="D7484" s="51"/>
    </row>
    <row r="7485" spans="3:4" x14ac:dyDescent="0.35">
      <c r="C7485" s="51"/>
      <c r="D7485" s="51"/>
    </row>
    <row r="7486" spans="3:4" x14ac:dyDescent="0.35">
      <c r="C7486" s="51"/>
      <c r="D7486" s="51"/>
    </row>
    <row r="7487" spans="3:4" x14ac:dyDescent="0.35">
      <c r="C7487" s="51"/>
      <c r="D7487" s="51"/>
    </row>
    <row r="7488" spans="3:4" x14ac:dyDescent="0.35">
      <c r="C7488" s="51"/>
      <c r="D7488" s="51"/>
    </row>
    <row r="7489" spans="3:4" x14ac:dyDescent="0.35">
      <c r="C7489" s="51"/>
      <c r="D7489" s="51"/>
    </row>
    <row r="7490" spans="3:4" x14ac:dyDescent="0.35">
      <c r="C7490" s="51"/>
      <c r="D7490" s="51"/>
    </row>
    <row r="7491" spans="3:4" x14ac:dyDescent="0.35">
      <c r="C7491" s="51"/>
      <c r="D7491" s="51"/>
    </row>
    <row r="7492" spans="3:4" x14ac:dyDescent="0.35">
      <c r="C7492" s="51"/>
      <c r="D7492" s="51"/>
    </row>
    <row r="7493" spans="3:4" x14ac:dyDescent="0.35">
      <c r="C7493" s="51"/>
      <c r="D7493" s="51"/>
    </row>
    <row r="7494" spans="3:4" x14ac:dyDescent="0.35">
      <c r="C7494" s="51"/>
      <c r="D7494" s="51"/>
    </row>
    <row r="7495" spans="3:4" x14ac:dyDescent="0.35">
      <c r="C7495" s="51"/>
      <c r="D7495" s="51"/>
    </row>
    <row r="7496" spans="3:4" x14ac:dyDescent="0.35">
      <c r="C7496" s="51"/>
      <c r="D7496" s="51"/>
    </row>
    <row r="7497" spans="3:4" x14ac:dyDescent="0.35">
      <c r="C7497" s="51"/>
      <c r="D7497" s="51"/>
    </row>
    <row r="7498" spans="3:4" x14ac:dyDescent="0.35">
      <c r="C7498" s="51"/>
      <c r="D7498" s="51"/>
    </row>
    <row r="7499" spans="3:4" x14ac:dyDescent="0.35">
      <c r="C7499" s="51"/>
      <c r="D7499" s="51"/>
    </row>
    <row r="7500" spans="3:4" x14ac:dyDescent="0.35">
      <c r="C7500" s="51"/>
      <c r="D7500" s="51"/>
    </row>
    <row r="7501" spans="3:4" x14ac:dyDescent="0.35">
      <c r="C7501" s="51"/>
      <c r="D7501" s="51"/>
    </row>
    <row r="7502" spans="3:4" x14ac:dyDescent="0.35">
      <c r="C7502" s="51"/>
      <c r="D7502" s="51"/>
    </row>
    <row r="7503" spans="3:4" x14ac:dyDescent="0.35">
      <c r="C7503" s="51"/>
      <c r="D7503" s="51"/>
    </row>
    <row r="7504" spans="3:4" x14ac:dyDescent="0.35">
      <c r="C7504" s="51"/>
      <c r="D7504" s="51"/>
    </row>
    <row r="7505" spans="3:4" x14ac:dyDescent="0.35">
      <c r="C7505" s="51"/>
      <c r="D7505" s="51"/>
    </row>
    <row r="7506" spans="3:4" x14ac:dyDescent="0.35">
      <c r="C7506" s="51"/>
      <c r="D7506" s="51"/>
    </row>
    <row r="7507" spans="3:4" x14ac:dyDescent="0.35">
      <c r="C7507" s="51"/>
      <c r="D7507" s="51"/>
    </row>
    <row r="7508" spans="3:4" x14ac:dyDescent="0.35">
      <c r="C7508" s="51"/>
      <c r="D7508" s="51"/>
    </row>
    <row r="7509" spans="3:4" x14ac:dyDescent="0.35">
      <c r="C7509" s="51"/>
      <c r="D7509" s="51"/>
    </row>
    <row r="7510" spans="3:4" x14ac:dyDescent="0.35">
      <c r="C7510" s="51"/>
      <c r="D7510" s="51"/>
    </row>
    <row r="7511" spans="3:4" x14ac:dyDescent="0.35">
      <c r="C7511" s="51"/>
      <c r="D7511" s="51"/>
    </row>
    <row r="7512" spans="3:4" x14ac:dyDescent="0.35">
      <c r="C7512" s="51"/>
      <c r="D7512" s="51"/>
    </row>
    <row r="7513" spans="3:4" x14ac:dyDescent="0.35">
      <c r="C7513" s="51"/>
      <c r="D7513" s="51"/>
    </row>
    <row r="7514" spans="3:4" x14ac:dyDescent="0.35">
      <c r="C7514" s="51"/>
      <c r="D7514" s="51"/>
    </row>
    <row r="7515" spans="3:4" x14ac:dyDescent="0.35">
      <c r="C7515" s="51"/>
      <c r="D7515" s="51"/>
    </row>
    <row r="7516" spans="3:4" x14ac:dyDescent="0.35">
      <c r="C7516" s="51"/>
      <c r="D7516" s="51"/>
    </row>
    <row r="7517" spans="3:4" x14ac:dyDescent="0.35">
      <c r="C7517" s="51"/>
      <c r="D7517" s="51"/>
    </row>
    <row r="7518" spans="3:4" x14ac:dyDescent="0.35">
      <c r="C7518" s="51"/>
      <c r="D7518" s="51"/>
    </row>
    <row r="7519" spans="3:4" x14ac:dyDescent="0.35">
      <c r="C7519" s="51"/>
      <c r="D7519" s="51"/>
    </row>
    <row r="7520" spans="3:4" x14ac:dyDescent="0.35">
      <c r="C7520" s="51"/>
      <c r="D7520" s="51"/>
    </row>
    <row r="7521" spans="3:4" x14ac:dyDescent="0.35">
      <c r="C7521" s="51"/>
      <c r="D7521" s="51"/>
    </row>
    <row r="7522" spans="3:4" x14ac:dyDescent="0.35">
      <c r="C7522" s="51"/>
      <c r="D7522" s="51"/>
    </row>
    <row r="7523" spans="3:4" x14ac:dyDescent="0.35">
      <c r="C7523" s="51"/>
      <c r="D7523" s="51"/>
    </row>
    <row r="7524" spans="3:4" x14ac:dyDescent="0.35">
      <c r="C7524" s="51"/>
      <c r="D7524" s="51"/>
    </row>
    <row r="7525" spans="3:4" x14ac:dyDescent="0.35">
      <c r="C7525" s="51"/>
      <c r="D7525" s="51"/>
    </row>
    <row r="7526" spans="3:4" x14ac:dyDescent="0.35">
      <c r="C7526" s="51"/>
      <c r="D7526" s="51"/>
    </row>
    <row r="7527" spans="3:4" x14ac:dyDescent="0.35">
      <c r="C7527" s="51"/>
      <c r="D7527" s="51"/>
    </row>
    <row r="7528" spans="3:4" x14ac:dyDescent="0.35">
      <c r="C7528" s="51"/>
      <c r="D7528" s="51"/>
    </row>
    <row r="7529" spans="3:4" x14ac:dyDescent="0.35">
      <c r="C7529" s="51"/>
      <c r="D7529" s="51"/>
    </row>
    <row r="7530" spans="3:4" x14ac:dyDescent="0.35">
      <c r="C7530" s="51"/>
      <c r="D7530" s="51"/>
    </row>
    <row r="7531" spans="3:4" x14ac:dyDescent="0.35">
      <c r="C7531" s="51"/>
      <c r="D7531" s="51"/>
    </row>
    <row r="7532" spans="3:4" x14ac:dyDescent="0.35">
      <c r="C7532" s="51"/>
      <c r="D7532" s="51"/>
    </row>
    <row r="7533" spans="3:4" x14ac:dyDescent="0.35">
      <c r="C7533" s="51"/>
      <c r="D7533" s="51"/>
    </row>
    <row r="7534" spans="3:4" x14ac:dyDescent="0.35">
      <c r="C7534" s="51"/>
      <c r="D7534" s="51"/>
    </row>
    <row r="7535" spans="3:4" x14ac:dyDescent="0.35">
      <c r="C7535" s="51"/>
      <c r="D7535" s="51"/>
    </row>
    <row r="7536" spans="3:4" x14ac:dyDescent="0.35">
      <c r="C7536" s="51"/>
      <c r="D7536" s="51"/>
    </row>
    <row r="7537" spans="3:4" x14ac:dyDescent="0.35">
      <c r="C7537" s="51"/>
      <c r="D7537" s="51"/>
    </row>
    <row r="7538" spans="3:4" x14ac:dyDescent="0.35">
      <c r="C7538" s="51"/>
      <c r="D7538" s="51"/>
    </row>
    <row r="7539" spans="3:4" x14ac:dyDescent="0.35">
      <c r="C7539" s="51"/>
      <c r="D7539" s="51"/>
    </row>
    <row r="7540" spans="3:4" x14ac:dyDescent="0.35">
      <c r="C7540" s="51"/>
      <c r="D7540" s="51"/>
    </row>
    <row r="7541" spans="3:4" x14ac:dyDescent="0.35">
      <c r="C7541" s="51"/>
      <c r="D7541" s="51"/>
    </row>
    <row r="7542" spans="3:4" x14ac:dyDescent="0.35">
      <c r="C7542" s="51"/>
      <c r="D7542" s="51"/>
    </row>
    <row r="7543" spans="3:4" x14ac:dyDescent="0.35">
      <c r="C7543" s="51"/>
      <c r="D7543" s="51"/>
    </row>
    <row r="7544" spans="3:4" x14ac:dyDescent="0.35">
      <c r="C7544" s="51"/>
      <c r="D7544" s="51"/>
    </row>
    <row r="7545" spans="3:4" x14ac:dyDescent="0.35">
      <c r="C7545" s="51"/>
      <c r="D7545" s="51"/>
    </row>
    <row r="7546" spans="3:4" x14ac:dyDescent="0.35">
      <c r="C7546" s="51"/>
      <c r="D7546" s="51"/>
    </row>
    <row r="7547" spans="3:4" x14ac:dyDescent="0.35">
      <c r="C7547" s="51"/>
      <c r="D7547" s="51"/>
    </row>
    <row r="7548" spans="3:4" x14ac:dyDescent="0.35">
      <c r="C7548" s="51"/>
      <c r="D7548" s="51"/>
    </row>
    <row r="7549" spans="3:4" x14ac:dyDescent="0.35">
      <c r="C7549" s="51"/>
      <c r="D7549" s="51"/>
    </row>
    <row r="7550" spans="3:4" x14ac:dyDescent="0.35">
      <c r="C7550" s="51"/>
      <c r="D7550" s="51"/>
    </row>
    <row r="7551" spans="3:4" x14ac:dyDescent="0.35">
      <c r="C7551" s="51"/>
      <c r="D7551" s="51"/>
    </row>
    <row r="7552" spans="3:4" x14ac:dyDescent="0.35">
      <c r="C7552" s="51"/>
      <c r="D7552" s="51"/>
    </row>
    <row r="7553" spans="3:4" x14ac:dyDescent="0.35">
      <c r="C7553" s="51"/>
      <c r="D7553" s="51"/>
    </row>
    <row r="7554" spans="3:4" x14ac:dyDescent="0.35">
      <c r="C7554" s="51"/>
      <c r="D7554" s="51"/>
    </row>
    <row r="7555" spans="3:4" x14ac:dyDescent="0.35">
      <c r="C7555" s="51"/>
      <c r="D7555" s="51"/>
    </row>
    <row r="7556" spans="3:4" x14ac:dyDescent="0.35">
      <c r="C7556" s="51"/>
      <c r="D7556" s="51"/>
    </row>
    <row r="7557" spans="3:4" x14ac:dyDescent="0.35">
      <c r="C7557" s="51"/>
      <c r="D7557" s="51"/>
    </row>
    <row r="7558" spans="3:4" x14ac:dyDescent="0.35">
      <c r="C7558" s="51"/>
      <c r="D7558" s="51"/>
    </row>
    <row r="7559" spans="3:4" x14ac:dyDescent="0.35">
      <c r="C7559" s="51"/>
      <c r="D7559" s="51"/>
    </row>
    <row r="7560" spans="3:4" x14ac:dyDescent="0.35">
      <c r="C7560" s="51"/>
      <c r="D7560" s="51"/>
    </row>
    <row r="7561" spans="3:4" x14ac:dyDescent="0.35">
      <c r="C7561" s="51"/>
      <c r="D7561" s="51"/>
    </row>
    <row r="7562" spans="3:4" x14ac:dyDescent="0.35">
      <c r="C7562" s="51"/>
      <c r="D7562" s="51"/>
    </row>
    <row r="7563" spans="3:4" x14ac:dyDescent="0.35">
      <c r="C7563" s="51"/>
      <c r="D7563" s="51"/>
    </row>
    <row r="7564" spans="3:4" x14ac:dyDescent="0.35">
      <c r="C7564" s="51"/>
      <c r="D7564" s="51"/>
    </row>
    <row r="7565" spans="3:4" x14ac:dyDescent="0.35">
      <c r="C7565" s="51"/>
      <c r="D7565" s="51"/>
    </row>
    <row r="7566" spans="3:4" x14ac:dyDescent="0.35">
      <c r="C7566" s="51"/>
      <c r="D7566" s="51"/>
    </row>
    <row r="7567" spans="3:4" x14ac:dyDescent="0.35">
      <c r="C7567" s="51"/>
      <c r="D7567" s="51"/>
    </row>
    <row r="7568" spans="3:4" x14ac:dyDescent="0.35">
      <c r="C7568" s="51"/>
      <c r="D7568" s="51"/>
    </row>
    <row r="7569" spans="3:4" x14ac:dyDescent="0.35">
      <c r="C7569" s="51"/>
      <c r="D7569" s="51"/>
    </row>
    <row r="7570" spans="3:4" x14ac:dyDescent="0.35">
      <c r="C7570" s="51"/>
      <c r="D7570" s="51"/>
    </row>
    <row r="7571" spans="3:4" x14ac:dyDescent="0.35">
      <c r="C7571" s="51"/>
      <c r="D7571" s="51"/>
    </row>
    <row r="7572" spans="3:4" x14ac:dyDescent="0.35">
      <c r="C7572" s="51"/>
      <c r="D7572" s="51"/>
    </row>
    <row r="7573" spans="3:4" x14ac:dyDescent="0.35">
      <c r="C7573" s="51"/>
      <c r="D7573" s="51"/>
    </row>
    <row r="7574" spans="3:4" x14ac:dyDescent="0.35">
      <c r="C7574" s="51"/>
      <c r="D7574" s="51"/>
    </row>
    <row r="7575" spans="3:4" x14ac:dyDescent="0.35">
      <c r="C7575" s="51"/>
      <c r="D7575" s="51"/>
    </row>
    <row r="7576" spans="3:4" x14ac:dyDescent="0.35">
      <c r="C7576" s="51"/>
      <c r="D7576" s="51"/>
    </row>
    <row r="7577" spans="3:4" x14ac:dyDescent="0.35">
      <c r="C7577" s="51"/>
      <c r="D7577" s="51"/>
    </row>
    <row r="7578" spans="3:4" x14ac:dyDescent="0.35">
      <c r="C7578" s="51"/>
      <c r="D7578" s="51"/>
    </row>
    <row r="7579" spans="3:4" x14ac:dyDescent="0.35">
      <c r="C7579" s="51"/>
      <c r="D7579" s="51"/>
    </row>
    <row r="7580" spans="3:4" x14ac:dyDescent="0.35">
      <c r="C7580" s="51"/>
      <c r="D7580" s="51"/>
    </row>
    <row r="7581" spans="3:4" x14ac:dyDescent="0.35">
      <c r="C7581" s="51"/>
      <c r="D7581" s="51"/>
    </row>
    <row r="7582" spans="3:4" x14ac:dyDescent="0.35">
      <c r="C7582" s="51"/>
      <c r="D7582" s="51"/>
    </row>
    <row r="7583" spans="3:4" x14ac:dyDescent="0.35">
      <c r="C7583" s="51"/>
      <c r="D7583" s="51"/>
    </row>
    <row r="7584" spans="3:4" x14ac:dyDescent="0.35">
      <c r="C7584" s="51"/>
      <c r="D7584" s="51"/>
    </row>
    <row r="7585" spans="3:4" x14ac:dyDescent="0.35">
      <c r="C7585" s="51"/>
      <c r="D7585" s="51"/>
    </row>
    <row r="7586" spans="3:4" x14ac:dyDescent="0.35">
      <c r="C7586" s="51"/>
      <c r="D7586" s="51"/>
    </row>
    <row r="7587" spans="3:4" x14ac:dyDescent="0.35">
      <c r="C7587" s="51"/>
      <c r="D7587" s="51"/>
    </row>
    <row r="7588" spans="3:4" x14ac:dyDescent="0.35">
      <c r="C7588" s="51"/>
      <c r="D7588" s="51"/>
    </row>
    <row r="7589" spans="3:4" x14ac:dyDescent="0.35">
      <c r="C7589" s="51"/>
      <c r="D7589" s="51"/>
    </row>
    <row r="7590" spans="3:4" x14ac:dyDescent="0.35">
      <c r="C7590" s="51"/>
      <c r="D7590" s="51"/>
    </row>
    <row r="7591" spans="3:4" x14ac:dyDescent="0.35">
      <c r="C7591" s="51"/>
      <c r="D7591" s="51"/>
    </row>
    <row r="7592" spans="3:4" x14ac:dyDescent="0.35">
      <c r="C7592" s="51"/>
      <c r="D7592" s="51"/>
    </row>
    <row r="7593" spans="3:4" x14ac:dyDescent="0.35">
      <c r="C7593" s="51"/>
      <c r="D7593" s="51"/>
    </row>
    <row r="7594" spans="3:4" x14ac:dyDescent="0.35">
      <c r="C7594" s="51"/>
      <c r="D7594" s="51"/>
    </row>
    <row r="7595" spans="3:4" x14ac:dyDescent="0.35">
      <c r="C7595" s="51"/>
      <c r="D7595" s="51"/>
    </row>
    <row r="7596" spans="3:4" x14ac:dyDescent="0.35">
      <c r="C7596" s="51"/>
      <c r="D7596" s="51"/>
    </row>
    <row r="7597" spans="3:4" x14ac:dyDescent="0.35">
      <c r="C7597" s="51"/>
      <c r="D7597" s="51"/>
    </row>
    <row r="7598" spans="3:4" x14ac:dyDescent="0.35">
      <c r="C7598" s="51"/>
      <c r="D7598" s="51"/>
    </row>
    <row r="7599" spans="3:4" x14ac:dyDescent="0.35">
      <c r="C7599" s="51"/>
      <c r="D7599" s="51"/>
    </row>
    <row r="7600" spans="3:4" x14ac:dyDescent="0.35">
      <c r="C7600" s="51"/>
      <c r="D7600" s="51"/>
    </row>
    <row r="7601" spans="3:4" x14ac:dyDescent="0.35">
      <c r="C7601" s="51"/>
      <c r="D7601" s="51"/>
    </row>
    <row r="7602" spans="3:4" x14ac:dyDescent="0.35">
      <c r="C7602" s="51"/>
      <c r="D7602" s="51"/>
    </row>
    <row r="7603" spans="3:4" x14ac:dyDescent="0.35">
      <c r="C7603" s="51"/>
      <c r="D7603" s="51"/>
    </row>
    <row r="7604" spans="3:4" x14ac:dyDescent="0.35">
      <c r="C7604" s="51"/>
      <c r="D7604" s="51"/>
    </row>
    <row r="7605" spans="3:4" x14ac:dyDescent="0.35">
      <c r="C7605" s="51"/>
      <c r="D7605" s="51"/>
    </row>
    <row r="7606" spans="3:4" x14ac:dyDescent="0.35">
      <c r="C7606" s="51"/>
      <c r="D7606" s="51"/>
    </row>
    <row r="7607" spans="3:4" x14ac:dyDescent="0.35">
      <c r="C7607" s="51"/>
      <c r="D7607" s="51"/>
    </row>
    <row r="7608" spans="3:4" x14ac:dyDescent="0.35">
      <c r="C7608" s="51"/>
      <c r="D7608" s="51"/>
    </row>
    <row r="7609" spans="3:4" x14ac:dyDescent="0.35">
      <c r="C7609" s="51"/>
      <c r="D7609" s="51"/>
    </row>
    <row r="7610" spans="3:4" x14ac:dyDescent="0.35">
      <c r="C7610" s="51"/>
      <c r="D7610" s="51"/>
    </row>
    <row r="7611" spans="3:4" x14ac:dyDescent="0.35">
      <c r="C7611" s="51"/>
      <c r="D7611" s="51"/>
    </row>
    <row r="7612" spans="3:4" x14ac:dyDescent="0.35">
      <c r="C7612" s="51"/>
      <c r="D7612" s="51"/>
    </row>
    <row r="7613" spans="3:4" x14ac:dyDescent="0.35">
      <c r="C7613" s="51"/>
      <c r="D7613" s="51"/>
    </row>
    <row r="7614" spans="3:4" x14ac:dyDescent="0.35">
      <c r="C7614" s="51"/>
      <c r="D7614" s="51"/>
    </row>
    <row r="7615" spans="3:4" x14ac:dyDescent="0.35">
      <c r="C7615" s="51"/>
      <c r="D7615" s="51"/>
    </row>
    <row r="7616" spans="3:4" x14ac:dyDescent="0.35">
      <c r="C7616" s="51"/>
      <c r="D7616" s="51"/>
    </row>
    <row r="7617" spans="3:4" x14ac:dyDescent="0.35">
      <c r="C7617" s="51"/>
      <c r="D7617" s="51"/>
    </row>
    <row r="7618" spans="3:4" x14ac:dyDescent="0.35">
      <c r="C7618" s="51"/>
      <c r="D7618" s="51"/>
    </row>
    <row r="7619" spans="3:4" x14ac:dyDescent="0.35">
      <c r="C7619" s="51"/>
      <c r="D7619" s="51"/>
    </row>
    <row r="7620" spans="3:4" x14ac:dyDescent="0.35">
      <c r="C7620" s="51"/>
      <c r="D7620" s="51"/>
    </row>
    <row r="7621" spans="3:4" x14ac:dyDescent="0.35">
      <c r="C7621" s="51"/>
      <c r="D7621" s="51"/>
    </row>
    <row r="7622" spans="3:4" x14ac:dyDescent="0.35">
      <c r="C7622" s="51"/>
      <c r="D7622" s="51"/>
    </row>
    <row r="7623" spans="3:4" x14ac:dyDescent="0.35">
      <c r="C7623" s="51"/>
      <c r="D7623" s="51"/>
    </row>
    <row r="7624" spans="3:4" x14ac:dyDescent="0.35">
      <c r="C7624" s="51"/>
      <c r="D7624" s="51"/>
    </row>
    <row r="7625" spans="3:4" x14ac:dyDescent="0.35">
      <c r="C7625" s="51"/>
      <c r="D7625" s="51"/>
    </row>
    <row r="7626" spans="3:4" x14ac:dyDescent="0.35">
      <c r="C7626" s="51"/>
      <c r="D7626" s="51"/>
    </row>
    <row r="7627" spans="3:4" x14ac:dyDescent="0.35">
      <c r="C7627" s="51"/>
      <c r="D7627" s="51"/>
    </row>
    <row r="7628" spans="3:4" x14ac:dyDescent="0.35">
      <c r="C7628" s="51"/>
      <c r="D7628" s="51"/>
    </row>
    <row r="7629" spans="3:4" x14ac:dyDescent="0.35">
      <c r="C7629" s="51"/>
      <c r="D7629" s="51"/>
    </row>
    <row r="7630" spans="3:4" x14ac:dyDescent="0.35">
      <c r="C7630" s="51"/>
      <c r="D7630" s="51"/>
    </row>
    <row r="7631" spans="3:4" x14ac:dyDescent="0.35">
      <c r="C7631" s="51"/>
      <c r="D7631" s="51"/>
    </row>
    <row r="7632" spans="3:4" x14ac:dyDescent="0.35">
      <c r="C7632" s="51"/>
      <c r="D7632" s="51"/>
    </row>
    <row r="7633" spans="3:4" x14ac:dyDescent="0.35">
      <c r="C7633" s="51"/>
      <c r="D7633" s="51"/>
    </row>
    <row r="7634" spans="3:4" x14ac:dyDescent="0.35">
      <c r="C7634" s="51"/>
      <c r="D7634" s="51"/>
    </row>
    <row r="7635" spans="3:4" x14ac:dyDescent="0.35">
      <c r="C7635" s="51"/>
      <c r="D7635" s="51"/>
    </row>
    <row r="7636" spans="3:4" x14ac:dyDescent="0.35">
      <c r="C7636" s="51"/>
      <c r="D7636" s="51"/>
    </row>
    <row r="7637" spans="3:4" x14ac:dyDescent="0.35">
      <c r="C7637" s="51"/>
      <c r="D7637" s="51"/>
    </row>
    <row r="7638" spans="3:4" x14ac:dyDescent="0.35">
      <c r="C7638" s="51"/>
      <c r="D7638" s="51"/>
    </row>
    <row r="7639" spans="3:4" x14ac:dyDescent="0.35">
      <c r="C7639" s="51"/>
      <c r="D7639" s="51"/>
    </row>
    <row r="7640" spans="3:4" x14ac:dyDescent="0.35">
      <c r="C7640" s="51"/>
      <c r="D7640" s="51"/>
    </row>
    <row r="7641" spans="3:4" x14ac:dyDescent="0.35">
      <c r="C7641" s="51"/>
      <c r="D7641" s="51"/>
    </row>
    <row r="7642" spans="3:4" x14ac:dyDescent="0.35">
      <c r="C7642" s="51"/>
      <c r="D7642" s="51"/>
    </row>
    <row r="7643" spans="3:4" x14ac:dyDescent="0.35">
      <c r="C7643" s="51"/>
      <c r="D7643" s="51"/>
    </row>
    <row r="7644" spans="3:4" x14ac:dyDescent="0.35">
      <c r="C7644" s="51"/>
      <c r="D7644" s="51"/>
    </row>
    <row r="7645" spans="3:4" x14ac:dyDescent="0.35">
      <c r="C7645" s="51"/>
      <c r="D7645" s="51"/>
    </row>
    <row r="7646" spans="3:4" x14ac:dyDescent="0.35">
      <c r="C7646" s="51"/>
      <c r="D7646" s="51"/>
    </row>
    <row r="7647" spans="3:4" x14ac:dyDescent="0.35">
      <c r="C7647" s="51"/>
      <c r="D7647" s="51"/>
    </row>
    <row r="7648" spans="3:4" x14ac:dyDescent="0.35">
      <c r="C7648" s="51"/>
      <c r="D7648" s="51"/>
    </row>
    <row r="7649" spans="3:4" x14ac:dyDescent="0.35">
      <c r="C7649" s="51"/>
      <c r="D7649" s="51"/>
    </row>
    <row r="7650" spans="3:4" x14ac:dyDescent="0.35">
      <c r="C7650" s="51"/>
      <c r="D7650" s="51"/>
    </row>
    <row r="7651" spans="3:4" x14ac:dyDescent="0.35">
      <c r="C7651" s="51"/>
      <c r="D7651" s="51"/>
    </row>
    <row r="7652" spans="3:4" x14ac:dyDescent="0.35">
      <c r="C7652" s="51"/>
      <c r="D7652" s="51"/>
    </row>
    <row r="7653" spans="3:4" x14ac:dyDescent="0.35">
      <c r="C7653" s="51"/>
      <c r="D7653" s="51"/>
    </row>
    <row r="7654" spans="3:4" x14ac:dyDescent="0.35">
      <c r="C7654" s="51"/>
      <c r="D7654" s="51"/>
    </row>
    <row r="7655" spans="3:4" x14ac:dyDescent="0.35">
      <c r="C7655" s="51"/>
      <c r="D7655" s="51"/>
    </row>
    <row r="7656" spans="3:4" x14ac:dyDescent="0.35">
      <c r="C7656" s="51"/>
      <c r="D7656" s="51"/>
    </row>
    <row r="7657" spans="3:4" x14ac:dyDescent="0.35">
      <c r="C7657" s="51"/>
      <c r="D7657" s="51"/>
    </row>
    <row r="7658" spans="3:4" x14ac:dyDescent="0.35">
      <c r="C7658" s="51"/>
      <c r="D7658" s="51"/>
    </row>
    <row r="7659" spans="3:4" x14ac:dyDescent="0.35">
      <c r="C7659" s="51"/>
      <c r="D7659" s="51"/>
    </row>
    <row r="7660" spans="3:4" x14ac:dyDescent="0.35">
      <c r="C7660" s="51"/>
      <c r="D7660" s="51"/>
    </row>
    <row r="7661" spans="3:4" x14ac:dyDescent="0.35">
      <c r="C7661" s="51"/>
      <c r="D7661" s="51"/>
    </row>
    <row r="7662" spans="3:4" x14ac:dyDescent="0.35">
      <c r="C7662" s="51"/>
      <c r="D7662" s="51"/>
    </row>
    <row r="7663" spans="3:4" x14ac:dyDescent="0.35">
      <c r="C7663" s="51"/>
      <c r="D7663" s="51"/>
    </row>
    <row r="7664" spans="3:4" x14ac:dyDescent="0.35">
      <c r="C7664" s="51"/>
      <c r="D7664" s="51"/>
    </row>
    <row r="7665" spans="3:4" x14ac:dyDescent="0.35">
      <c r="C7665" s="51"/>
      <c r="D7665" s="51"/>
    </row>
    <row r="7666" spans="3:4" x14ac:dyDescent="0.35">
      <c r="C7666" s="51"/>
      <c r="D7666" s="51"/>
    </row>
    <row r="7667" spans="3:4" x14ac:dyDescent="0.35">
      <c r="C7667" s="51"/>
      <c r="D7667" s="51"/>
    </row>
    <row r="7668" spans="3:4" x14ac:dyDescent="0.35">
      <c r="C7668" s="51"/>
      <c r="D7668" s="51"/>
    </row>
    <row r="7669" spans="3:4" x14ac:dyDescent="0.35">
      <c r="C7669" s="51"/>
      <c r="D7669" s="51"/>
    </row>
    <row r="7670" spans="3:4" x14ac:dyDescent="0.35">
      <c r="C7670" s="51"/>
      <c r="D7670" s="51"/>
    </row>
    <row r="7671" spans="3:4" x14ac:dyDescent="0.35">
      <c r="C7671" s="51"/>
      <c r="D7671" s="51"/>
    </row>
    <row r="7672" spans="3:4" x14ac:dyDescent="0.35">
      <c r="C7672" s="51"/>
      <c r="D7672" s="51"/>
    </row>
    <row r="7673" spans="3:4" x14ac:dyDescent="0.35">
      <c r="C7673" s="51"/>
      <c r="D7673" s="51"/>
    </row>
    <row r="7674" spans="3:4" x14ac:dyDescent="0.35">
      <c r="C7674" s="51"/>
      <c r="D7674" s="51"/>
    </row>
    <row r="7675" spans="3:4" x14ac:dyDescent="0.35">
      <c r="C7675" s="51"/>
      <c r="D7675" s="51"/>
    </row>
    <row r="7676" spans="3:4" x14ac:dyDescent="0.35">
      <c r="C7676" s="51"/>
      <c r="D7676" s="51"/>
    </row>
    <row r="7677" spans="3:4" x14ac:dyDescent="0.35">
      <c r="C7677" s="51"/>
      <c r="D7677" s="51"/>
    </row>
    <row r="7678" spans="3:4" x14ac:dyDescent="0.35">
      <c r="C7678" s="51"/>
      <c r="D7678" s="51"/>
    </row>
    <row r="7679" spans="3:4" x14ac:dyDescent="0.35">
      <c r="C7679" s="51"/>
      <c r="D7679" s="51"/>
    </row>
    <row r="7680" spans="3:4" x14ac:dyDescent="0.35">
      <c r="C7680" s="51"/>
      <c r="D7680" s="51"/>
    </row>
    <row r="7681" spans="3:4" x14ac:dyDescent="0.35">
      <c r="C7681" s="51"/>
      <c r="D7681" s="51"/>
    </row>
    <row r="7682" spans="3:4" x14ac:dyDescent="0.35">
      <c r="C7682" s="51"/>
      <c r="D7682" s="51"/>
    </row>
    <row r="7683" spans="3:4" x14ac:dyDescent="0.35">
      <c r="C7683" s="51"/>
      <c r="D7683" s="51"/>
    </row>
    <row r="7684" spans="3:4" x14ac:dyDescent="0.35">
      <c r="C7684" s="51"/>
      <c r="D7684" s="51"/>
    </row>
    <row r="7685" spans="3:4" x14ac:dyDescent="0.35">
      <c r="C7685" s="51"/>
      <c r="D7685" s="51"/>
    </row>
    <row r="7686" spans="3:4" x14ac:dyDescent="0.35">
      <c r="C7686" s="51"/>
      <c r="D7686" s="51"/>
    </row>
    <row r="7687" spans="3:4" x14ac:dyDescent="0.35">
      <c r="C7687" s="51"/>
      <c r="D7687" s="51"/>
    </row>
    <row r="7688" spans="3:4" x14ac:dyDescent="0.35">
      <c r="C7688" s="51"/>
      <c r="D7688" s="51"/>
    </row>
    <row r="7689" spans="3:4" x14ac:dyDescent="0.35">
      <c r="C7689" s="51"/>
      <c r="D7689" s="51"/>
    </row>
    <row r="7690" spans="3:4" x14ac:dyDescent="0.35">
      <c r="C7690" s="51"/>
      <c r="D7690" s="51"/>
    </row>
    <row r="7691" spans="3:4" x14ac:dyDescent="0.35">
      <c r="C7691" s="51"/>
      <c r="D7691" s="51"/>
    </row>
    <row r="7692" spans="3:4" x14ac:dyDescent="0.35">
      <c r="C7692" s="51"/>
      <c r="D7692" s="51"/>
    </row>
    <row r="7693" spans="3:4" x14ac:dyDescent="0.35">
      <c r="C7693" s="51"/>
      <c r="D7693" s="51"/>
    </row>
    <row r="7694" spans="3:4" x14ac:dyDescent="0.35">
      <c r="C7694" s="51"/>
      <c r="D7694" s="51"/>
    </row>
    <row r="7695" spans="3:4" x14ac:dyDescent="0.35">
      <c r="C7695" s="51"/>
      <c r="D7695" s="51"/>
    </row>
    <row r="7696" spans="3:4" x14ac:dyDescent="0.35">
      <c r="C7696" s="51"/>
      <c r="D7696" s="51"/>
    </row>
    <row r="7697" spans="3:4" x14ac:dyDescent="0.35">
      <c r="C7697" s="51"/>
      <c r="D7697" s="51"/>
    </row>
    <row r="7698" spans="3:4" x14ac:dyDescent="0.35">
      <c r="C7698" s="51"/>
      <c r="D7698" s="51"/>
    </row>
    <row r="7699" spans="3:4" x14ac:dyDescent="0.35">
      <c r="C7699" s="51"/>
      <c r="D7699" s="51"/>
    </row>
    <row r="7700" spans="3:4" x14ac:dyDescent="0.35">
      <c r="C7700" s="51"/>
      <c r="D7700" s="51"/>
    </row>
    <row r="7701" spans="3:4" x14ac:dyDescent="0.35">
      <c r="C7701" s="51"/>
      <c r="D7701" s="51"/>
    </row>
    <row r="7702" spans="3:4" x14ac:dyDescent="0.35">
      <c r="C7702" s="51"/>
      <c r="D7702" s="51"/>
    </row>
    <row r="7703" spans="3:4" x14ac:dyDescent="0.35">
      <c r="C7703" s="51"/>
      <c r="D7703" s="51"/>
    </row>
    <row r="7704" spans="3:4" x14ac:dyDescent="0.35">
      <c r="C7704" s="51"/>
      <c r="D7704" s="51"/>
    </row>
    <row r="7705" spans="3:4" x14ac:dyDescent="0.35">
      <c r="C7705" s="51"/>
      <c r="D7705" s="51"/>
    </row>
    <row r="7706" spans="3:4" x14ac:dyDescent="0.35">
      <c r="C7706" s="51"/>
      <c r="D7706" s="51"/>
    </row>
    <row r="7707" spans="3:4" x14ac:dyDescent="0.35">
      <c r="C7707" s="51"/>
      <c r="D7707" s="51"/>
    </row>
    <row r="7708" spans="3:4" x14ac:dyDescent="0.35">
      <c r="C7708" s="51"/>
      <c r="D7708" s="51"/>
    </row>
    <row r="7709" spans="3:4" x14ac:dyDescent="0.35">
      <c r="C7709" s="51"/>
      <c r="D7709" s="51"/>
    </row>
    <row r="7710" spans="3:4" x14ac:dyDescent="0.35">
      <c r="C7710" s="51"/>
      <c r="D7710" s="51"/>
    </row>
    <row r="7711" spans="3:4" x14ac:dyDescent="0.35">
      <c r="C7711" s="51"/>
      <c r="D7711" s="51"/>
    </row>
    <row r="7712" spans="3:4" x14ac:dyDescent="0.35">
      <c r="C7712" s="51"/>
      <c r="D7712" s="51"/>
    </row>
    <row r="7713" spans="3:4" x14ac:dyDescent="0.35">
      <c r="C7713" s="51"/>
      <c r="D7713" s="51"/>
    </row>
    <row r="7714" spans="3:4" x14ac:dyDescent="0.35">
      <c r="C7714" s="51"/>
      <c r="D7714" s="51"/>
    </row>
    <row r="7715" spans="3:4" x14ac:dyDescent="0.35">
      <c r="C7715" s="51"/>
      <c r="D7715" s="51"/>
    </row>
    <row r="7716" spans="3:4" x14ac:dyDescent="0.35">
      <c r="C7716" s="51"/>
      <c r="D7716" s="51"/>
    </row>
    <row r="7717" spans="3:4" x14ac:dyDescent="0.35">
      <c r="C7717" s="51"/>
      <c r="D7717" s="51"/>
    </row>
    <row r="7718" spans="3:4" x14ac:dyDescent="0.35">
      <c r="C7718" s="51"/>
      <c r="D7718" s="51"/>
    </row>
    <row r="7719" spans="3:4" x14ac:dyDescent="0.35">
      <c r="C7719" s="51"/>
      <c r="D7719" s="51"/>
    </row>
    <row r="7720" spans="3:4" x14ac:dyDescent="0.35">
      <c r="C7720" s="51"/>
      <c r="D7720" s="51"/>
    </row>
    <row r="7721" spans="3:4" x14ac:dyDescent="0.35">
      <c r="C7721" s="51"/>
      <c r="D7721" s="51"/>
    </row>
    <row r="7722" spans="3:4" x14ac:dyDescent="0.35">
      <c r="C7722" s="51"/>
      <c r="D7722" s="51"/>
    </row>
    <row r="7723" spans="3:4" x14ac:dyDescent="0.35">
      <c r="C7723" s="51"/>
      <c r="D7723" s="51"/>
    </row>
    <row r="7724" spans="3:4" x14ac:dyDescent="0.35">
      <c r="C7724" s="51"/>
      <c r="D7724" s="51"/>
    </row>
    <row r="7725" spans="3:4" x14ac:dyDescent="0.35">
      <c r="C7725" s="51"/>
      <c r="D7725" s="51"/>
    </row>
    <row r="7726" spans="3:4" x14ac:dyDescent="0.35">
      <c r="C7726" s="51"/>
      <c r="D7726" s="51"/>
    </row>
    <row r="7727" spans="3:4" x14ac:dyDescent="0.35">
      <c r="C7727" s="51"/>
      <c r="D7727" s="51"/>
    </row>
    <row r="7728" spans="3:4" x14ac:dyDescent="0.35">
      <c r="C7728" s="51"/>
      <c r="D7728" s="51"/>
    </row>
    <row r="7729" spans="3:4" x14ac:dyDescent="0.35">
      <c r="C7729" s="51"/>
      <c r="D7729" s="51"/>
    </row>
    <row r="7730" spans="3:4" x14ac:dyDescent="0.35">
      <c r="C7730" s="51"/>
      <c r="D7730" s="51"/>
    </row>
    <row r="7731" spans="3:4" x14ac:dyDescent="0.35">
      <c r="C7731" s="51"/>
      <c r="D7731" s="51"/>
    </row>
    <row r="7732" spans="3:4" x14ac:dyDescent="0.35">
      <c r="C7732" s="51"/>
      <c r="D7732" s="51"/>
    </row>
    <row r="7733" spans="3:4" x14ac:dyDescent="0.35">
      <c r="C7733" s="51"/>
      <c r="D7733" s="51"/>
    </row>
    <row r="7734" spans="3:4" x14ac:dyDescent="0.35">
      <c r="C7734" s="51"/>
      <c r="D7734" s="51"/>
    </row>
    <row r="7735" spans="3:4" x14ac:dyDescent="0.35">
      <c r="C7735" s="51"/>
      <c r="D7735" s="51"/>
    </row>
    <row r="7736" spans="3:4" x14ac:dyDescent="0.35">
      <c r="C7736" s="51"/>
      <c r="D7736" s="51"/>
    </row>
    <row r="7737" spans="3:4" x14ac:dyDescent="0.35">
      <c r="C7737" s="51"/>
      <c r="D7737" s="51"/>
    </row>
    <row r="7738" spans="3:4" x14ac:dyDescent="0.35">
      <c r="C7738" s="51"/>
      <c r="D7738" s="51"/>
    </row>
    <row r="7739" spans="3:4" x14ac:dyDescent="0.35">
      <c r="C7739" s="51"/>
      <c r="D7739" s="51"/>
    </row>
    <row r="7740" spans="3:4" x14ac:dyDescent="0.35">
      <c r="C7740" s="51"/>
      <c r="D7740" s="51"/>
    </row>
    <row r="7741" spans="3:4" x14ac:dyDescent="0.35">
      <c r="C7741" s="51"/>
      <c r="D7741" s="51"/>
    </row>
    <row r="7742" spans="3:4" x14ac:dyDescent="0.35">
      <c r="C7742" s="51"/>
      <c r="D7742" s="51"/>
    </row>
    <row r="7743" spans="3:4" x14ac:dyDescent="0.35">
      <c r="C7743" s="51"/>
      <c r="D7743" s="51"/>
    </row>
    <row r="7744" spans="3:4" x14ac:dyDescent="0.35">
      <c r="C7744" s="51"/>
      <c r="D7744" s="51"/>
    </row>
    <row r="7745" spans="3:4" x14ac:dyDescent="0.35">
      <c r="C7745" s="51"/>
      <c r="D7745" s="51"/>
    </row>
    <row r="7746" spans="3:4" x14ac:dyDescent="0.35">
      <c r="C7746" s="51"/>
      <c r="D7746" s="51"/>
    </row>
    <row r="7747" spans="3:4" x14ac:dyDescent="0.35">
      <c r="C7747" s="51"/>
      <c r="D7747" s="51"/>
    </row>
    <row r="7748" spans="3:4" x14ac:dyDescent="0.35">
      <c r="C7748" s="51"/>
      <c r="D7748" s="51"/>
    </row>
    <row r="7749" spans="3:4" x14ac:dyDescent="0.35">
      <c r="C7749" s="51"/>
      <c r="D7749" s="51"/>
    </row>
    <row r="7750" spans="3:4" x14ac:dyDescent="0.35">
      <c r="C7750" s="51"/>
      <c r="D7750" s="51"/>
    </row>
    <row r="7751" spans="3:4" x14ac:dyDescent="0.35">
      <c r="C7751" s="51"/>
      <c r="D7751" s="51"/>
    </row>
    <row r="7752" spans="3:4" x14ac:dyDescent="0.35">
      <c r="C7752" s="51"/>
      <c r="D7752" s="51"/>
    </row>
    <row r="7753" spans="3:4" x14ac:dyDescent="0.35">
      <c r="C7753" s="51"/>
      <c r="D7753" s="51"/>
    </row>
    <row r="7754" spans="3:4" x14ac:dyDescent="0.35">
      <c r="C7754" s="51"/>
      <c r="D7754" s="51"/>
    </row>
    <row r="7755" spans="3:4" x14ac:dyDescent="0.35">
      <c r="C7755" s="51"/>
      <c r="D7755" s="51"/>
    </row>
    <row r="7756" spans="3:4" x14ac:dyDescent="0.35">
      <c r="C7756" s="51"/>
      <c r="D7756" s="51"/>
    </row>
    <row r="7757" spans="3:4" x14ac:dyDescent="0.35">
      <c r="C7757" s="51"/>
      <c r="D7757" s="51"/>
    </row>
    <row r="7758" spans="3:4" x14ac:dyDescent="0.35">
      <c r="C7758" s="51"/>
      <c r="D7758" s="51"/>
    </row>
    <row r="7759" spans="3:4" x14ac:dyDescent="0.35">
      <c r="C7759" s="51"/>
      <c r="D7759" s="51"/>
    </row>
    <row r="7760" spans="3:4" x14ac:dyDescent="0.35">
      <c r="C7760" s="51"/>
      <c r="D7760" s="51"/>
    </row>
    <row r="7761" spans="3:4" x14ac:dyDescent="0.35">
      <c r="C7761" s="51"/>
      <c r="D7761" s="51"/>
    </row>
    <row r="7762" spans="3:4" x14ac:dyDescent="0.35">
      <c r="C7762" s="51"/>
      <c r="D7762" s="51"/>
    </row>
    <row r="7763" spans="3:4" x14ac:dyDescent="0.35">
      <c r="C7763" s="51"/>
      <c r="D7763" s="51"/>
    </row>
    <row r="7764" spans="3:4" x14ac:dyDescent="0.35">
      <c r="C7764" s="51"/>
      <c r="D7764" s="51"/>
    </row>
    <row r="7765" spans="3:4" x14ac:dyDescent="0.35">
      <c r="C7765" s="51"/>
      <c r="D7765" s="51"/>
    </row>
    <row r="7766" spans="3:4" x14ac:dyDescent="0.35">
      <c r="C7766" s="51"/>
      <c r="D7766" s="51"/>
    </row>
    <row r="7767" spans="3:4" x14ac:dyDescent="0.35">
      <c r="C7767" s="51"/>
      <c r="D7767" s="51"/>
    </row>
    <row r="7768" spans="3:4" x14ac:dyDescent="0.35">
      <c r="C7768" s="51"/>
      <c r="D7768" s="51"/>
    </row>
    <row r="7769" spans="3:4" x14ac:dyDescent="0.35">
      <c r="C7769" s="51"/>
      <c r="D7769" s="51"/>
    </row>
    <row r="7770" spans="3:4" x14ac:dyDescent="0.35">
      <c r="C7770" s="51"/>
      <c r="D7770" s="51"/>
    </row>
    <row r="7771" spans="3:4" x14ac:dyDescent="0.35">
      <c r="C7771" s="51"/>
      <c r="D7771" s="51"/>
    </row>
    <row r="7772" spans="3:4" x14ac:dyDescent="0.35">
      <c r="C7772" s="51"/>
      <c r="D7772" s="51"/>
    </row>
    <row r="7773" spans="3:4" x14ac:dyDescent="0.35">
      <c r="C7773" s="51"/>
      <c r="D7773" s="51"/>
    </row>
    <row r="7774" spans="3:4" x14ac:dyDescent="0.35">
      <c r="C7774" s="51"/>
      <c r="D7774" s="51"/>
    </row>
    <row r="7775" spans="3:4" x14ac:dyDescent="0.35">
      <c r="C7775" s="51"/>
      <c r="D7775" s="51"/>
    </row>
    <row r="7776" spans="3:4" x14ac:dyDescent="0.35">
      <c r="C7776" s="51"/>
      <c r="D7776" s="51"/>
    </row>
    <row r="7777" spans="3:4" x14ac:dyDescent="0.35">
      <c r="C7777" s="51"/>
      <c r="D7777" s="51"/>
    </row>
    <row r="7778" spans="3:4" x14ac:dyDescent="0.35">
      <c r="C7778" s="51"/>
      <c r="D7778" s="51"/>
    </row>
    <row r="7779" spans="3:4" x14ac:dyDescent="0.35">
      <c r="C7779" s="51"/>
      <c r="D7779" s="51"/>
    </row>
    <row r="7780" spans="3:4" x14ac:dyDescent="0.35">
      <c r="C7780" s="51"/>
      <c r="D7780" s="51"/>
    </row>
    <row r="7781" spans="3:4" x14ac:dyDescent="0.35">
      <c r="C7781" s="51"/>
      <c r="D7781" s="51"/>
    </row>
    <row r="7782" spans="3:4" x14ac:dyDescent="0.35">
      <c r="C7782" s="51"/>
      <c r="D7782" s="51"/>
    </row>
    <row r="7783" spans="3:4" x14ac:dyDescent="0.35">
      <c r="C7783" s="51"/>
      <c r="D7783" s="51"/>
    </row>
    <row r="7784" spans="3:4" x14ac:dyDescent="0.35">
      <c r="C7784" s="51"/>
      <c r="D7784" s="51"/>
    </row>
    <row r="7785" spans="3:4" x14ac:dyDescent="0.35">
      <c r="C7785" s="51"/>
      <c r="D7785" s="51"/>
    </row>
    <row r="7786" spans="3:4" x14ac:dyDescent="0.35">
      <c r="C7786" s="51"/>
      <c r="D7786" s="51"/>
    </row>
    <row r="7787" spans="3:4" x14ac:dyDescent="0.35">
      <c r="C7787" s="51"/>
      <c r="D7787" s="51"/>
    </row>
    <row r="7788" spans="3:4" x14ac:dyDescent="0.35">
      <c r="C7788" s="51"/>
      <c r="D7788" s="51"/>
    </row>
    <row r="7789" spans="3:4" x14ac:dyDescent="0.35">
      <c r="C7789" s="51"/>
      <c r="D7789" s="51"/>
    </row>
    <row r="7790" spans="3:4" x14ac:dyDescent="0.35">
      <c r="C7790" s="51"/>
      <c r="D7790" s="51"/>
    </row>
    <row r="7791" spans="3:4" x14ac:dyDescent="0.35">
      <c r="C7791" s="51"/>
      <c r="D7791" s="51"/>
    </row>
    <row r="7792" spans="3:4" x14ac:dyDescent="0.35">
      <c r="C7792" s="51"/>
      <c r="D7792" s="51"/>
    </row>
    <row r="7793" spans="3:4" x14ac:dyDescent="0.35">
      <c r="C7793" s="51"/>
      <c r="D7793" s="51"/>
    </row>
    <row r="7794" spans="3:4" x14ac:dyDescent="0.35">
      <c r="C7794" s="51"/>
      <c r="D7794" s="51"/>
    </row>
    <row r="7795" spans="3:4" x14ac:dyDescent="0.35">
      <c r="C7795" s="51"/>
      <c r="D7795" s="51"/>
    </row>
    <row r="7796" spans="3:4" x14ac:dyDescent="0.35">
      <c r="C7796" s="51"/>
      <c r="D7796" s="51"/>
    </row>
    <row r="7797" spans="3:4" x14ac:dyDescent="0.35">
      <c r="C7797" s="51"/>
      <c r="D7797" s="51"/>
    </row>
    <row r="7798" spans="3:4" x14ac:dyDescent="0.35">
      <c r="C7798" s="51"/>
      <c r="D7798" s="51"/>
    </row>
    <row r="7799" spans="3:4" x14ac:dyDescent="0.35">
      <c r="C7799" s="51"/>
      <c r="D7799" s="51"/>
    </row>
    <row r="7800" spans="3:4" x14ac:dyDescent="0.35">
      <c r="C7800" s="51"/>
      <c r="D7800" s="51"/>
    </row>
    <row r="7801" spans="3:4" x14ac:dyDescent="0.35">
      <c r="C7801" s="51"/>
      <c r="D7801" s="51"/>
    </row>
    <row r="7802" spans="3:4" x14ac:dyDescent="0.35">
      <c r="C7802" s="51"/>
      <c r="D7802" s="51"/>
    </row>
    <row r="7803" spans="3:4" x14ac:dyDescent="0.35">
      <c r="C7803" s="51"/>
      <c r="D7803" s="51"/>
    </row>
    <row r="7804" spans="3:4" x14ac:dyDescent="0.35">
      <c r="C7804" s="51"/>
      <c r="D7804" s="51"/>
    </row>
    <row r="7805" spans="3:4" x14ac:dyDescent="0.35">
      <c r="C7805" s="51"/>
      <c r="D7805" s="51"/>
    </row>
    <row r="7806" spans="3:4" x14ac:dyDescent="0.35">
      <c r="C7806" s="51"/>
      <c r="D7806" s="51"/>
    </row>
    <row r="7807" spans="3:4" x14ac:dyDescent="0.35">
      <c r="C7807" s="51"/>
      <c r="D7807" s="51"/>
    </row>
    <row r="7808" spans="3:4" x14ac:dyDescent="0.35">
      <c r="C7808" s="51"/>
      <c r="D7808" s="51"/>
    </row>
    <row r="7809" spans="3:4" x14ac:dyDescent="0.35">
      <c r="C7809" s="51"/>
      <c r="D7809" s="51"/>
    </row>
    <row r="7810" spans="3:4" x14ac:dyDescent="0.35">
      <c r="C7810" s="51"/>
      <c r="D7810" s="51"/>
    </row>
    <row r="7811" spans="3:4" x14ac:dyDescent="0.35">
      <c r="C7811" s="51"/>
      <c r="D7811" s="51"/>
    </row>
    <row r="7812" spans="3:4" x14ac:dyDescent="0.35">
      <c r="C7812" s="51"/>
      <c r="D7812" s="51"/>
    </row>
    <row r="7813" spans="3:4" x14ac:dyDescent="0.35">
      <c r="C7813" s="51"/>
      <c r="D7813" s="51"/>
    </row>
    <row r="7814" spans="3:4" x14ac:dyDescent="0.35">
      <c r="C7814" s="51"/>
      <c r="D7814" s="51"/>
    </row>
    <row r="7815" spans="3:4" x14ac:dyDescent="0.35">
      <c r="C7815" s="51"/>
      <c r="D7815" s="51"/>
    </row>
    <row r="7816" spans="3:4" x14ac:dyDescent="0.35">
      <c r="C7816" s="51"/>
      <c r="D7816" s="51"/>
    </row>
    <row r="7817" spans="3:4" x14ac:dyDescent="0.35">
      <c r="C7817" s="51"/>
      <c r="D7817" s="51"/>
    </row>
    <row r="7818" spans="3:4" x14ac:dyDescent="0.35">
      <c r="C7818" s="51"/>
      <c r="D7818" s="51"/>
    </row>
    <row r="7819" spans="3:4" x14ac:dyDescent="0.35">
      <c r="C7819" s="51"/>
      <c r="D7819" s="51"/>
    </row>
    <row r="7820" spans="3:4" x14ac:dyDescent="0.35">
      <c r="C7820" s="51"/>
      <c r="D7820" s="51"/>
    </row>
    <row r="7821" spans="3:4" x14ac:dyDescent="0.35">
      <c r="C7821" s="51"/>
      <c r="D7821" s="51"/>
    </row>
    <row r="7822" spans="3:4" x14ac:dyDescent="0.35">
      <c r="C7822" s="51"/>
      <c r="D7822" s="51"/>
    </row>
    <row r="7823" spans="3:4" x14ac:dyDescent="0.35">
      <c r="C7823" s="51"/>
      <c r="D7823" s="51"/>
    </row>
    <row r="7824" spans="3:4" x14ac:dyDescent="0.35">
      <c r="C7824" s="51"/>
      <c r="D7824" s="51"/>
    </row>
    <row r="7825" spans="3:4" x14ac:dyDescent="0.35">
      <c r="C7825" s="51"/>
      <c r="D7825" s="51"/>
    </row>
    <row r="7826" spans="3:4" x14ac:dyDescent="0.35">
      <c r="C7826" s="51"/>
      <c r="D7826" s="51"/>
    </row>
    <row r="7827" spans="3:4" x14ac:dyDescent="0.35">
      <c r="C7827" s="51"/>
      <c r="D7827" s="51"/>
    </row>
    <row r="7828" spans="3:4" x14ac:dyDescent="0.35">
      <c r="C7828" s="51"/>
      <c r="D7828" s="51"/>
    </row>
    <row r="7829" spans="3:4" x14ac:dyDescent="0.35">
      <c r="C7829" s="51"/>
      <c r="D7829" s="51"/>
    </row>
    <row r="7830" spans="3:4" x14ac:dyDescent="0.35">
      <c r="C7830" s="51"/>
      <c r="D7830" s="51"/>
    </row>
    <row r="7831" spans="3:4" x14ac:dyDescent="0.35">
      <c r="C7831" s="51"/>
      <c r="D7831" s="51"/>
    </row>
    <row r="7832" spans="3:4" x14ac:dyDescent="0.35">
      <c r="C7832" s="51"/>
      <c r="D7832" s="51"/>
    </row>
    <row r="7833" spans="3:4" x14ac:dyDescent="0.35">
      <c r="C7833" s="51"/>
      <c r="D7833" s="51"/>
    </row>
    <row r="7834" spans="3:4" x14ac:dyDescent="0.35">
      <c r="C7834" s="51"/>
      <c r="D7834" s="51"/>
    </row>
    <row r="7835" spans="3:4" x14ac:dyDescent="0.35">
      <c r="C7835" s="51"/>
      <c r="D7835" s="51"/>
    </row>
    <row r="7836" spans="3:4" x14ac:dyDescent="0.35">
      <c r="C7836" s="51"/>
      <c r="D7836" s="51"/>
    </row>
    <row r="7837" spans="3:4" x14ac:dyDescent="0.35">
      <c r="C7837" s="51"/>
      <c r="D7837" s="51"/>
    </row>
    <row r="7838" spans="3:4" x14ac:dyDescent="0.35">
      <c r="C7838" s="51"/>
      <c r="D7838" s="51"/>
    </row>
    <row r="7839" spans="3:4" x14ac:dyDescent="0.35">
      <c r="C7839" s="51"/>
      <c r="D7839" s="51"/>
    </row>
    <row r="7840" spans="3:4" x14ac:dyDescent="0.35">
      <c r="C7840" s="51"/>
      <c r="D7840" s="51"/>
    </row>
    <row r="7841" spans="3:4" x14ac:dyDescent="0.35">
      <c r="C7841" s="51"/>
      <c r="D7841" s="51"/>
    </row>
    <row r="7842" spans="3:4" x14ac:dyDescent="0.35">
      <c r="C7842" s="51"/>
      <c r="D7842" s="51"/>
    </row>
    <row r="7843" spans="3:4" x14ac:dyDescent="0.35">
      <c r="C7843" s="51"/>
      <c r="D7843" s="51"/>
    </row>
    <row r="7844" spans="3:4" x14ac:dyDescent="0.35">
      <c r="C7844" s="51"/>
      <c r="D7844" s="51"/>
    </row>
    <row r="7845" spans="3:4" x14ac:dyDescent="0.35">
      <c r="C7845" s="51"/>
      <c r="D7845" s="51"/>
    </row>
    <row r="7846" spans="3:4" x14ac:dyDescent="0.35">
      <c r="C7846" s="51"/>
      <c r="D7846" s="51"/>
    </row>
    <row r="7847" spans="3:4" x14ac:dyDescent="0.35">
      <c r="C7847" s="51"/>
      <c r="D7847" s="51"/>
    </row>
    <row r="7848" spans="3:4" x14ac:dyDescent="0.35">
      <c r="C7848" s="51"/>
      <c r="D7848" s="51"/>
    </row>
    <row r="7849" spans="3:4" x14ac:dyDescent="0.35">
      <c r="C7849" s="51"/>
      <c r="D7849" s="51"/>
    </row>
    <row r="7850" spans="3:4" x14ac:dyDescent="0.35">
      <c r="C7850" s="51"/>
      <c r="D7850" s="51"/>
    </row>
    <row r="7851" spans="3:4" x14ac:dyDescent="0.35">
      <c r="C7851" s="51"/>
      <c r="D7851" s="51"/>
    </row>
    <row r="7852" spans="3:4" x14ac:dyDescent="0.35">
      <c r="C7852" s="51"/>
      <c r="D7852" s="51"/>
    </row>
    <row r="7853" spans="3:4" x14ac:dyDescent="0.35">
      <c r="C7853" s="51"/>
      <c r="D7853" s="51"/>
    </row>
    <row r="7854" spans="3:4" x14ac:dyDescent="0.35">
      <c r="C7854" s="51"/>
      <c r="D7854" s="51"/>
    </row>
    <row r="7855" spans="3:4" x14ac:dyDescent="0.35">
      <c r="C7855" s="51"/>
      <c r="D7855" s="51"/>
    </row>
    <row r="7856" spans="3:4" x14ac:dyDescent="0.35">
      <c r="C7856" s="51"/>
      <c r="D7856" s="51"/>
    </row>
    <row r="7857" spans="3:4" x14ac:dyDescent="0.35">
      <c r="C7857" s="51"/>
      <c r="D7857" s="51"/>
    </row>
    <row r="7858" spans="3:4" x14ac:dyDescent="0.35">
      <c r="C7858" s="51"/>
      <c r="D7858" s="51"/>
    </row>
    <row r="7859" spans="3:4" x14ac:dyDescent="0.35">
      <c r="C7859" s="51"/>
      <c r="D7859" s="51"/>
    </row>
    <row r="7860" spans="3:4" x14ac:dyDescent="0.35">
      <c r="C7860" s="51"/>
      <c r="D7860" s="51"/>
    </row>
    <row r="7861" spans="3:4" x14ac:dyDescent="0.35">
      <c r="C7861" s="51"/>
      <c r="D7861" s="51"/>
    </row>
    <row r="7862" spans="3:4" x14ac:dyDescent="0.35">
      <c r="C7862" s="51"/>
      <c r="D7862" s="51"/>
    </row>
    <row r="7863" spans="3:4" x14ac:dyDescent="0.35">
      <c r="C7863" s="51"/>
      <c r="D7863" s="51"/>
    </row>
    <row r="7864" spans="3:4" x14ac:dyDescent="0.35">
      <c r="C7864" s="51"/>
      <c r="D7864" s="51"/>
    </row>
    <row r="7865" spans="3:4" x14ac:dyDescent="0.35">
      <c r="C7865" s="51"/>
      <c r="D7865" s="51"/>
    </row>
    <row r="7866" spans="3:4" x14ac:dyDescent="0.35">
      <c r="C7866" s="51"/>
      <c r="D7866" s="51"/>
    </row>
    <row r="7867" spans="3:4" x14ac:dyDescent="0.35">
      <c r="C7867" s="51"/>
      <c r="D7867" s="51"/>
    </row>
    <row r="7868" spans="3:4" x14ac:dyDescent="0.35">
      <c r="C7868" s="51"/>
      <c r="D7868" s="51"/>
    </row>
    <row r="7869" spans="3:4" x14ac:dyDescent="0.35">
      <c r="C7869" s="51"/>
      <c r="D7869" s="51"/>
    </row>
    <row r="7870" spans="3:4" x14ac:dyDescent="0.35">
      <c r="C7870" s="51"/>
      <c r="D7870" s="51"/>
    </row>
    <row r="7871" spans="3:4" x14ac:dyDescent="0.35">
      <c r="C7871" s="51"/>
      <c r="D7871" s="51"/>
    </row>
    <row r="7872" spans="3:4" x14ac:dyDescent="0.35">
      <c r="C7872" s="51"/>
      <c r="D7872" s="51"/>
    </row>
    <row r="7873" spans="3:4" x14ac:dyDescent="0.35">
      <c r="C7873" s="51"/>
      <c r="D7873" s="51"/>
    </row>
    <row r="7874" spans="3:4" x14ac:dyDescent="0.35">
      <c r="C7874" s="51"/>
      <c r="D7874" s="51"/>
    </row>
    <row r="7875" spans="3:4" x14ac:dyDescent="0.35">
      <c r="C7875" s="51"/>
      <c r="D7875" s="51"/>
    </row>
    <row r="7876" spans="3:4" x14ac:dyDescent="0.35">
      <c r="C7876" s="51"/>
      <c r="D7876" s="51"/>
    </row>
    <row r="7877" spans="3:4" x14ac:dyDescent="0.35">
      <c r="C7877" s="51"/>
      <c r="D7877" s="51"/>
    </row>
    <row r="7878" spans="3:4" x14ac:dyDescent="0.35">
      <c r="C7878" s="51"/>
      <c r="D7878" s="51"/>
    </row>
    <row r="7879" spans="3:4" x14ac:dyDescent="0.35">
      <c r="C7879" s="51"/>
      <c r="D7879" s="51"/>
    </row>
    <row r="7880" spans="3:4" x14ac:dyDescent="0.35">
      <c r="C7880" s="51"/>
      <c r="D7880" s="51"/>
    </row>
    <row r="7881" spans="3:4" x14ac:dyDescent="0.35">
      <c r="C7881" s="51"/>
      <c r="D7881" s="51"/>
    </row>
    <row r="7882" spans="3:4" x14ac:dyDescent="0.35">
      <c r="C7882" s="51"/>
      <c r="D7882" s="51"/>
    </row>
    <row r="7883" spans="3:4" x14ac:dyDescent="0.35">
      <c r="C7883" s="51"/>
      <c r="D7883" s="51"/>
    </row>
    <row r="7884" spans="3:4" x14ac:dyDescent="0.35">
      <c r="C7884" s="51"/>
      <c r="D7884" s="51"/>
    </row>
    <row r="7885" spans="3:4" x14ac:dyDescent="0.35">
      <c r="C7885" s="51"/>
      <c r="D7885" s="51"/>
    </row>
    <row r="7886" spans="3:4" x14ac:dyDescent="0.35">
      <c r="C7886" s="51"/>
      <c r="D7886" s="51"/>
    </row>
    <row r="7887" spans="3:4" x14ac:dyDescent="0.35">
      <c r="C7887" s="51"/>
      <c r="D7887" s="51"/>
    </row>
    <row r="7888" spans="3:4" x14ac:dyDescent="0.35">
      <c r="C7888" s="51"/>
      <c r="D7888" s="51"/>
    </row>
    <row r="7889" spans="3:4" x14ac:dyDescent="0.35">
      <c r="C7889" s="51"/>
      <c r="D7889" s="51"/>
    </row>
    <row r="7890" spans="3:4" x14ac:dyDescent="0.35">
      <c r="C7890" s="51"/>
      <c r="D7890" s="51"/>
    </row>
    <row r="7891" spans="3:4" x14ac:dyDescent="0.35">
      <c r="C7891" s="51"/>
      <c r="D7891" s="51"/>
    </row>
    <row r="7892" spans="3:4" x14ac:dyDescent="0.35">
      <c r="C7892" s="51"/>
      <c r="D7892" s="51"/>
    </row>
    <row r="7893" spans="3:4" x14ac:dyDescent="0.35">
      <c r="C7893" s="51"/>
      <c r="D7893" s="51"/>
    </row>
    <row r="7894" spans="3:4" x14ac:dyDescent="0.35">
      <c r="C7894" s="51"/>
      <c r="D7894" s="51"/>
    </row>
    <row r="7895" spans="3:4" x14ac:dyDescent="0.35">
      <c r="C7895" s="51"/>
      <c r="D7895" s="51"/>
    </row>
    <row r="7896" spans="3:4" x14ac:dyDescent="0.35">
      <c r="C7896" s="51"/>
      <c r="D7896" s="51"/>
    </row>
    <row r="7897" spans="3:4" x14ac:dyDescent="0.35">
      <c r="C7897" s="51"/>
      <c r="D7897" s="51"/>
    </row>
    <row r="7898" spans="3:4" x14ac:dyDescent="0.35">
      <c r="C7898" s="51"/>
      <c r="D7898" s="51"/>
    </row>
    <row r="7899" spans="3:4" x14ac:dyDescent="0.35">
      <c r="C7899" s="51"/>
      <c r="D7899" s="51"/>
    </row>
    <row r="7900" spans="3:4" x14ac:dyDescent="0.35">
      <c r="C7900" s="51"/>
      <c r="D7900" s="51"/>
    </row>
    <row r="7901" spans="3:4" x14ac:dyDescent="0.35">
      <c r="C7901" s="51"/>
      <c r="D7901" s="51"/>
    </row>
    <row r="7902" spans="3:4" x14ac:dyDescent="0.35">
      <c r="C7902" s="51"/>
      <c r="D7902" s="51"/>
    </row>
    <row r="7903" spans="3:4" x14ac:dyDescent="0.35">
      <c r="C7903" s="51"/>
      <c r="D7903" s="51"/>
    </row>
    <row r="7904" spans="3:4" x14ac:dyDescent="0.35">
      <c r="C7904" s="51"/>
      <c r="D7904" s="51"/>
    </row>
    <row r="7905" spans="3:4" x14ac:dyDescent="0.35">
      <c r="C7905" s="51"/>
      <c r="D7905" s="51"/>
    </row>
    <row r="7906" spans="3:4" x14ac:dyDescent="0.35">
      <c r="C7906" s="51"/>
      <c r="D7906" s="51"/>
    </row>
    <row r="7907" spans="3:4" x14ac:dyDescent="0.35">
      <c r="C7907" s="51"/>
      <c r="D7907" s="51"/>
    </row>
    <row r="7908" spans="3:4" x14ac:dyDescent="0.35">
      <c r="C7908" s="51"/>
      <c r="D7908" s="51"/>
    </row>
    <row r="7909" spans="3:4" x14ac:dyDescent="0.35">
      <c r="C7909" s="51"/>
      <c r="D7909" s="51"/>
    </row>
    <row r="7910" spans="3:4" x14ac:dyDescent="0.35">
      <c r="C7910" s="51"/>
      <c r="D7910" s="51"/>
    </row>
    <row r="7911" spans="3:4" x14ac:dyDescent="0.35">
      <c r="C7911" s="51"/>
      <c r="D7911" s="51"/>
    </row>
    <row r="7912" spans="3:4" x14ac:dyDescent="0.35">
      <c r="C7912" s="51"/>
      <c r="D7912" s="51"/>
    </row>
    <row r="7913" spans="3:4" x14ac:dyDescent="0.35">
      <c r="C7913" s="51"/>
      <c r="D7913" s="51"/>
    </row>
    <row r="7914" spans="3:4" x14ac:dyDescent="0.35">
      <c r="C7914" s="51"/>
      <c r="D7914" s="51"/>
    </row>
    <row r="7915" spans="3:4" x14ac:dyDescent="0.35">
      <c r="C7915" s="51"/>
      <c r="D7915" s="51"/>
    </row>
    <row r="7916" spans="3:4" x14ac:dyDescent="0.35">
      <c r="C7916" s="51"/>
      <c r="D7916" s="51"/>
    </row>
    <row r="7917" spans="3:4" x14ac:dyDescent="0.35">
      <c r="C7917" s="51"/>
      <c r="D7917" s="51"/>
    </row>
    <row r="7918" spans="3:4" x14ac:dyDescent="0.35">
      <c r="C7918" s="51"/>
      <c r="D7918" s="51"/>
    </row>
    <row r="7919" spans="3:4" x14ac:dyDescent="0.35">
      <c r="C7919" s="51"/>
      <c r="D7919" s="51"/>
    </row>
    <row r="7920" spans="3:4" x14ac:dyDescent="0.35">
      <c r="C7920" s="51"/>
      <c r="D7920" s="51"/>
    </row>
    <row r="7921" spans="3:4" x14ac:dyDescent="0.35">
      <c r="C7921" s="51"/>
      <c r="D7921" s="51"/>
    </row>
    <row r="7922" spans="3:4" x14ac:dyDescent="0.35">
      <c r="C7922" s="51"/>
      <c r="D7922" s="51"/>
    </row>
    <row r="7923" spans="3:4" x14ac:dyDescent="0.35">
      <c r="C7923" s="51"/>
      <c r="D7923" s="51"/>
    </row>
    <row r="7924" spans="3:4" x14ac:dyDescent="0.35">
      <c r="C7924" s="51"/>
      <c r="D7924" s="51"/>
    </row>
    <row r="7925" spans="3:4" x14ac:dyDescent="0.35">
      <c r="C7925" s="51"/>
      <c r="D7925" s="51"/>
    </row>
    <row r="7926" spans="3:4" x14ac:dyDescent="0.35">
      <c r="C7926" s="51"/>
      <c r="D7926" s="51"/>
    </row>
    <row r="7927" spans="3:4" x14ac:dyDescent="0.35">
      <c r="C7927" s="51"/>
      <c r="D7927" s="51"/>
    </row>
    <row r="7928" spans="3:4" x14ac:dyDescent="0.35">
      <c r="C7928" s="51"/>
      <c r="D7928" s="51"/>
    </row>
    <row r="7929" spans="3:4" x14ac:dyDescent="0.35">
      <c r="C7929" s="51"/>
      <c r="D7929" s="51"/>
    </row>
    <row r="7930" spans="3:4" x14ac:dyDescent="0.35">
      <c r="C7930" s="51"/>
      <c r="D7930" s="51"/>
    </row>
    <row r="7931" spans="3:4" x14ac:dyDescent="0.35">
      <c r="C7931" s="51"/>
      <c r="D7931" s="51"/>
    </row>
    <row r="7932" spans="3:4" x14ac:dyDescent="0.35">
      <c r="C7932" s="51"/>
      <c r="D7932" s="51"/>
    </row>
    <row r="7933" spans="3:4" x14ac:dyDescent="0.35">
      <c r="C7933" s="51"/>
      <c r="D7933" s="51"/>
    </row>
    <row r="7934" spans="3:4" x14ac:dyDescent="0.35">
      <c r="C7934" s="51"/>
      <c r="D7934" s="51"/>
    </row>
    <row r="7935" spans="3:4" x14ac:dyDescent="0.35">
      <c r="C7935" s="51"/>
      <c r="D7935" s="51"/>
    </row>
    <row r="7936" spans="3:4" x14ac:dyDescent="0.35">
      <c r="C7936" s="51"/>
      <c r="D7936" s="51"/>
    </row>
    <row r="7937" spans="3:4" x14ac:dyDescent="0.35">
      <c r="C7937" s="51"/>
      <c r="D7937" s="51"/>
    </row>
    <row r="7938" spans="3:4" x14ac:dyDescent="0.35">
      <c r="C7938" s="51"/>
      <c r="D7938" s="51"/>
    </row>
    <row r="7939" spans="3:4" x14ac:dyDescent="0.35">
      <c r="C7939" s="51"/>
      <c r="D7939" s="51"/>
    </row>
    <row r="7940" spans="3:4" x14ac:dyDescent="0.35">
      <c r="C7940" s="51"/>
      <c r="D7940" s="51"/>
    </row>
    <row r="7941" spans="3:4" x14ac:dyDescent="0.35">
      <c r="C7941" s="51"/>
      <c r="D7941" s="51"/>
    </row>
    <row r="7942" spans="3:4" x14ac:dyDescent="0.35">
      <c r="C7942" s="51"/>
      <c r="D7942" s="51"/>
    </row>
    <row r="7943" spans="3:4" x14ac:dyDescent="0.35">
      <c r="C7943" s="51"/>
      <c r="D7943" s="51"/>
    </row>
    <row r="7944" spans="3:4" x14ac:dyDescent="0.35">
      <c r="C7944" s="51"/>
      <c r="D7944" s="51"/>
    </row>
    <row r="7945" spans="3:4" x14ac:dyDescent="0.35">
      <c r="C7945" s="51"/>
      <c r="D7945" s="51"/>
    </row>
    <row r="7946" spans="3:4" x14ac:dyDescent="0.35">
      <c r="C7946" s="51"/>
      <c r="D7946" s="51"/>
    </row>
    <row r="7947" spans="3:4" x14ac:dyDescent="0.35">
      <c r="C7947" s="51"/>
      <c r="D7947" s="51"/>
    </row>
    <row r="7948" spans="3:4" x14ac:dyDescent="0.35">
      <c r="C7948" s="51"/>
      <c r="D7948" s="51"/>
    </row>
    <row r="7949" spans="3:4" x14ac:dyDescent="0.35">
      <c r="C7949" s="51"/>
      <c r="D7949" s="51"/>
    </row>
    <row r="7950" spans="3:4" x14ac:dyDescent="0.35">
      <c r="C7950" s="51"/>
      <c r="D7950" s="51"/>
    </row>
    <row r="7951" spans="3:4" x14ac:dyDescent="0.35">
      <c r="C7951" s="51"/>
      <c r="D7951" s="51"/>
    </row>
    <row r="7952" spans="3:4" x14ac:dyDescent="0.35">
      <c r="C7952" s="51"/>
      <c r="D7952" s="51"/>
    </row>
    <row r="7953" spans="3:4" x14ac:dyDescent="0.35">
      <c r="C7953" s="51"/>
      <c r="D7953" s="51"/>
    </row>
    <row r="7954" spans="3:4" x14ac:dyDescent="0.35">
      <c r="C7954" s="51"/>
      <c r="D7954" s="51"/>
    </row>
    <row r="7955" spans="3:4" x14ac:dyDescent="0.35">
      <c r="C7955" s="51"/>
      <c r="D7955" s="51"/>
    </row>
    <row r="7956" spans="3:4" x14ac:dyDescent="0.35">
      <c r="C7956" s="51"/>
      <c r="D7956" s="51"/>
    </row>
    <row r="7957" spans="3:4" x14ac:dyDescent="0.35">
      <c r="C7957" s="51"/>
      <c r="D7957" s="51"/>
    </row>
    <row r="7958" spans="3:4" x14ac:dyDescent="0.35">
      <c r="C7958" s="51"/>
      <c r="D7958" s="51"/>
    </row>
    <row r="7959" spans="3:4" x14ac:dyDescent="0.35">
      <c r="C7959" s="51"/>
      <c r="D7959" s="51"/>
    </row>
    <row r="7960" spans="3:4" x14ac:dyDescent="0.35">
      <c r="C7960" s="51"/>
      <c r="D7960" s="51"/>
    </row>
    <row r="7961" spans="3:4" x14ac:dyDescent="0.35">
      <c r="C7961" s="51"/>
      <c r="D7961" s="51"/>
    </row>
    <row r="7962" spans="3:4" x14ac:dyDescent="0.35">
      <c r="C7962" s="51"/>
      <c r="D7962" s="51"/>
    </row>
    <row r="7963" spans="3:4" x14ac:dyDescent="0.35">
      <c r="C7963" s="51"/>
      <c r="D7963" s="51"/>
    </row>
    <row r="7964" spans="3:4" x14ac:dyDescent="0.35">
      <c r="C7964" s="51"/>
      <c r="D7964" s="51"/>
    </row>
    <row r="7965" spans="3:4" x14ac:dyDescent="0.35">
      <c r="C7965" s="51"/>
      <c r="D7965" s="51"/>
    </row>
    <row r="7966" spans="3:4" x14ac:dyDescent="0.35">
      <c r="C7966" s="51"/>
      <c r="D7966" s="51"/>
    </row>
    <row r="7967" spans="3:4" x14ac:dyDescent="0.35">
      <c r="C7967" s="51"/>
      <c r="D7967" s="51"/>
    </row>
    <row r="7968" spans="3:4" x14ac:dyDescent="0.35">
      <c r="C7968" s="51"/>
      <c r="D7968" s="51"/>
    </row>
    <row r="7969" spans="3:4" x14ac:dyDescent="0.35">
      <c r="C7969" s="51"/>
      <c r="D7969" s="51"/>
    </row>
    <row r="7970" spans="3:4" x14ac:dyDescent="0.35">
      <c r="C7970" s="51"/>
      <c r="D7970" s="51"/>
    </row>
    <row r="7971" spans="3:4" x14ac:dyDescent="0.35">
      <c r="C7971" s="51"/>
      <c r="D7971" s="51"/>
    </row>
    <row r="7972" spans="3:4" x14ac:dyDescent="0.35">
      <c r="C7972" s="51"/>
      <c r="D7972" s="51"/>
    </row>
    <row r="7973" spans="3:4" x14ac:dyDescent="0.35">
      <c r="C7973" s="51"/>
      <c r="D7973" s="51"/>
    </row>
    <row r="7974" spans="3:4" x14ac:dyDescent="0.35">
      <c r="C7974" s="51"/>
      <c r="D7974" s="51"/>
    </row>
    <row r="7975" spans="3:4" x14ac:dyDescent="0.35">
      <c r="C7975" s="51"/>
      <c r="D7975" s="51"/>
    </row>
    <row r="7976" spans="3:4" x14ac:dyDescent="0.35">
      <c r="C7976" s="51"/>
      <c r="D7976" s="51"/>
    </row>
    <row r="7977" spans="3:4" x14ac:dyDescent="0.35">
      <c r="C7977" s="51"/>
      <c r="D7977" s="51"/>
    </row>
    <row r="7978" spans="3:4" x14ac:dyDescent="0.35">
      <c r="C7978" s="51"/>
      <c r="D7978" s="51"/>
    </row>
    <row r="7979" spans="3:4" x14ac:dyDescent="0.35">
      <c r="C7979" s="51"/>
      <c r="D7979" s="51"/>
    </row>
    <row r="7980" spans="3:4" x14ac:dyDescent="0.35">
      <c r="C7980" s="51"/>
      <c r="D7980" s="51"/>
    </row>
    <row r="7981" spans="3:4" x14ac:dyDescent="0.35">
      <c r="C7981" s="51"/>
      <c r="D7981" s="51"/>
    </row>
    <row r="7982" spans="3:4" x14ac:dyDescent="0.35">
      <c r="C7982" s="51"/>
      <c r="D7982" s="51"/>
    </row>
    <row r="7983" spans="3:4" x14ac:dyDescent="0.35">
      <c r="C7983" s="51"/>
      <c r="D7983" s="51"/>
    </row>
    <row r="7984" spans="3:4" x14ac:dyDescent="0.35">
      <c r="C7984" s="51"/>
      <c r="D7984" s="51"/>
    </row>
    <row r="7985" spans="3:4" x14ac:dyDescent="0.35">
      <c r="C7985" s="51"/>
      <c r="D7985" s="51"/>
    </row>
    <row r="7986" spans="3:4" x14ac:dyDescent="0.35">
      <c r="C7986" s="51"/>
      <c r="D7986" s="51"/>
    </row>
    <row r="7987" spans="3:4" x14ac:dyDescent="0.35">
      <c r="C7987" s="51"/>
      <c r="D7987" s="51"/>
    </row>
    <row r="7988" spans="3:4" x14ac:dyDescent="0.35">
      <c r="C7988" s="51"/>
      <c r="D7988" s="51"/>
    </row>
    <row r="7989" spans="3:4" x14ac:dyDescent="0.35">
      <c r="C7989" s="51"/>
      <c r="D7989" s="51"/>
    </row>
    <row r="7990" spans="3:4" x14ac:dyDescent="0.35">
      <c r="C7990" s="51"/>
      <c r="D7990" s="51"/>
    </row>
    <row r="7991" spans="3:4" x14ac:dyDescent="0.35">
      <c r="C7991" s="51"/>
      <c r="D7991" s="51"/>
    </row>
    <row r="7992" spans="3:4" x14ac:dyDescent="0.35">
      <c r="C7992" s="51"/>
      <c r="D7992" s="51"/>
    </row>
    <row r="7993" spans="3:4" x14ac:dyDescent="0.35">
      <c r="C7993" s="51"/>
      <c r="D7993" s="51"/>
    </row>
    <row r="7994" spans="3:4" x14ac:dyDescent="0.35">
      <c r="C7994" s="51"/>
      <c r="D7994" s="51"/>
    </row>
    <row r="7995" spans="3:4" x14ac:dyDescent="0.35">
      <c r="C7995" s="51"/>
      <c r="D7995" s="51"/>
    </row>
    <row r="7996" spans="3:4" x14ac:dyDescent="0.35">
      <c r="C7996" s="51"/>
      <c r="D7996" s="51"/>
    </row>
    <row r="7997" spans="3:4" x14ac:dyDescent="0.35">
      <c r="C7997" s="51"/>
      <c r="D7997" s="51"/>
    </row>
    <row r="7998" spans="3:4" x14ac:dyDescent="0.35">
      <c r="C7998" s="51"/>
      <c r="D7998" s="51"/>
    </row>
    <row r="7999" spans="3:4" x14ac:dyDescent="0.35">
      <c r="C7999" s="51"/>
      <c r="D7999" s="51"/>
    </row>
    <row r="8000" spans="3:4" x14ac:dyDescent="0.35">
      <c r="C8000" s="51"/>
      <c r="D8000" s="51"/>
    </row>
    <row r="8001" spans="3:4" x14ac:dyDescent="0.35">
      <c r="C8001" s="51"/>
      <c r="D8001" s="51"/>
    </row>
    <row r="8002" spans="3:4" x14ac:dyDescent="0.35">
      <c r="C8002" s="51"/>
      <c r="D8002" s="51"/>
    </row>
    <row r="8003" spans="3:4" x14ac:dyDescent="0.35">
      <c r="C8003" s="51"/>
      <c r="D8003" s="51"/>
    </row>
    <row r="8004" spans="3:4" x14ac:dyDescent="0.35">
      <c r="C8004" s="51"/>
      <c r="D8004" s="51"/>
    </row>
    <row r="8005" spans="3:4" x14ac:dyDescent="0.35">
      <c r="C8005" s="51"/>
      <c r="D8005" s="51"/>
    </row>
    <row r="8006" spans="3:4" x14ac:dyDescent="0.35">
      <c r="C8006" s="51"/>
      <c r="D8006" s="51"/>
    </row>
    <row r="8007" spans="3:4" x14ac:dyDescent="0.35">
      <c r="C8007" s="51"/>
      <c r="D8007" s="51"/>
    </row>
    <row r="8008" spans="3:4" x14ac:dyDescent="0.35">
      <c r="C8008" s="51"/>
      <c r="D8008" s="51"/>
    </row>
    <row r="8009" spans="3:4" x14ac:dyDescent="0.35">
      <c r="C8009" s="51"/>
      <c r="D8009" s="51"/>
    </row>
    <row r="8010" spans="3:4" x14ac:dyDescent="0.35">
      <c r="C8010" s="51"/>
      <c r="D8010" s="51"/>
    </row>
    <row r="8011" spans="3:4" x14ac:dyDescent="0.35">
      <c r="C8011" s="51"/>
      <c r="D8011" s="51"/>
    </row>
    <row r="8012" spans="3:4" x14ac:dyDescent="0.35">
      <c r="C8012" s="51"/>
      <c r="D8012" s="51"/>
    </row>
    <row r="8013" spans="3:4" x14ac:dyDescent="0.35">
      <c r="C8013" s="51"/>
      <c r="D8013" s="51"/>
    </row>
    <row r="8014" spans="3:4" x14ac:dyDescent="0.35">
      <c r="C8014" s="51"/>
      <c r="D8014" s="51"/>
    </row>
    <row r="8015" spans="3:4" x14ac:dyDescent="0.35">
      <c r="C8015" s="51"/>
      <c r="D8015" s="51"/>
    </row>
    <row r="8016" spans="3:4" x14ac:dyDescent="0.35">
      <c r="C8016" s="51"/>
      <c r="D8016" s="51"/>
    </row>
    <row r="8017" spans="3:4" x14ac:dyDescent="0.35">
      <c r="C8017" s="51"/>
      <c r="D8017" s="51"/>
    </row>
    <row r="8018" spans="3:4" x14ac:dyDescent="0.35">
      <c r="C8018" s="51"/>
      <c r="D8018" s="51"/>
    </row>
    <row r="8019" spans="3:4" x14ac:dyDescent="0.35">
      <c r="C8019" s="51"/>
      <c r="D8019" s="51"/>
    </row>
    <row r="8020" spans="3:4" x14ac:dyDescent="0.35">
      <c r="C8020" s="51"/>
      <c r="D8020" s="51"/>
    </row>
    <row r="8021" spans="3:4" x14ac:dyDescent="0.35">
      <c r="C8021" s="51"/>
      <c r="D8021" s="51"/>
    </row>
    <row r="8022" spans="3:4" x14ac:dyDescent="0.35">
      <c r="C8022" s="51"/>
      <c r="D8022" s="51"/>
    </row>
    <row r="8023" spans="3:4" x14ac:dyDescent="0.35">
      <c r="C8023" s="51"/>
      <c r="D8023" s="51"/>
    </row>
    <row r="8024" spans="3:4" x14ac:dyDescent="0.35">
      <c r="C8024" s="51"/>
      <c r="D8024" s="51"/>
    </row>
    <row r="8025" spans="3:4" x14ac:dyDescent="0.35">
      <c r="C8025" s="51"/>
      <c r="D8025" s="51"/>
    </row>
    <row r="8026" spans="3:4" x14ac:dyDescent="0.35">
      <c r="C8026" s="51"/>
      <c r="D8026" s="51"/>
    </row>
    <row r="8027" spans="3:4" x14ac:dyDescent="0.35">
      <c r="C8027" s="51"/>
      <c r="D8027" s="51"/>
    </row>
    <row r="8028" spans="3:4" x14ac:dyDescent="0.35">
      <c r="C8028" s="51"/>
      <c r="D8028" s="51"/>
    </row>
    <row r="8029" spans="3:4" x14ac:dyDescent="0.35">
      <c r="C8029" s="51"/>
      <c r="D8029" s="51"/>
    </row>
    <row r="8030" spans="3:4" x14ac:dyDescent="0.35">
      <c r="C8030" s="51"/>
      <c r="D8030" s="51"/>
    </row>
    <row r="8031" spans="3:4" x14ac:dyDescent="0.35">
      <c r="C8031" s="51"/>
      <c r="D8031" s="51"/>
    </row>
    <row r="8032" spans="3:4" x14ac:dyDescent="0.35">
      <c r="C8032" s="51"/>
      <c r="D8032" s="51"/>
    </row>
    <row r="8033" spans="3:4" x14ac:dyDescent="0.35">
      <c r="C8033" s="51"/>
      <c r="D8033" s="51"/>
    </row>
    <row r="8034" spans="3:4" x14ac:dyDescent="0.35">
      <c r="C8034" s="51"/>
      <c r="D8034" s="51"/>
    </row>
    <row r="8035" spans="3:4" x14ac:dyDescent="0.35">
      <c r="C8035" s="51"/>
      <c r="D8035" s="51"/>
    </row>
    <row r="8036" spans="3:4" x14ac:dyDescent="0.35">
      <c r="C8036" s="51"/>
      <c r="D8036" s="51"/>
    </row>
    <row r="8037" spans="3:4" x14ac:dyDescent="0.35">
      <c r="C8037" s="51"/>
      <c r="D8037" s="51"/>
    </row>
    <row r="8038" spans="3:4" x14ac:dyDescent="0.35">
      <c r="C8038" s="51"/>
      <c r="D8038" s="51"/>
    </row>
    <row r="8039" spans="3:4" x14ac:dyDescent="0.35">
      <c r="C8039" s="51"/>
      <c r="D8039" s="51"/>
    </row>
    <row r="8040" spans="3:4" x14ac:dyDescent="0.35">
      <c r="C8040" s="51"/>
      <c r="D8040" s="51"/>
    </row>
    <row r="8041" spans="3:4" x14ac:dyDescent="0.35">
      <c r="C8041" s="51"/>
      <c r="D8041" s="51"/>
    </row>
    <row r="8042" spans="3:4" x14ac:dyDescent="0.35">
      <c r="C8042" s="51"/>
      <c r="D8042" s="51"/>
    </row>
    <row r="8043" spans="3:4" x14ac:dyDescent="0.35">
      <c r="C8043" s="51"/>
      <c r="D8043" s="51"/>
    </row>
    <row r="8044" spans="3:4" x14ac:dyDescent="0.35">
      <c r="C8044" s="51"/>
      <c r="D8044" s="51"/>
    </row>
    <row r="8045" spans="3:4" x14ac:dyDescent="0.35">
      <c r="C8045" s="51"/>
      <c r="D8045" s="51"/>
    </row>
    <row r="8046" spans="3:4" x14ac:dyDescent="0.35">
      <c r="C8046" s="51"/>
      <c r="D8046" s="51"/>
    </row>
    <row r="8047" spans="3:4" x14ac:dyDescent="0.35">
      <c r="C8047" s="51"/>
      <c r="D8047" s="51"/>
    </row>
    <row r="8048" spans="3:4" x14ac:dyDescent="0.35">
      <c r="C8048" s="51"/>
      <c r="D8048" s="51"/>
    </row>
    <row r="8049" spans="3:4" x14ac:dyDescent="0.35">
      <c r="C8049" s="51"/>
      <c r="D8049" s="51"/>
    </row>
    <row r="8050" spans="3:4" x14ac:dyDescent="0.35">
      <c r="C8050" s="51"/>
      <c r="D8050" s="51"/>
    </row>
    <row r="8051" spans="3:4" x14ac:dyDescent="0.35">
      <c r="C8051" s="51"/>
      <c r="D8051" s="51"/>
    </row>
    <row r="8052" spans="3:4" x14ac:dyDescent="0.35">
      <c r="C8052" s="51"/>
      <c r="D8052" s="51"/>
    </row>
    <row r="8053" spans="3:4" x14ac:dyDescent="0.35">
      <c r="C8053" s="51"/>
      <c r="D8053" s="51"/>
    </row>
    <row r="8054" spans="3:4" x14ac:dyDescent="0.35">
      <c r="C8054" s="51"/>
      <c r="D8054" s="51"/>
    </row>
    <row r="8055" spans="3:4" x14ac:dyDescent="0.35">
      <c r="C8055" s="51"/>
      <c r="D8055" s="51"/>
    </row>
    <row r="8056" spans="3:4" x14ac:dyDescent="0.35">
      <c r="C8056" s="51"/>
      <c r="D8056" s="51"/>
    </row>
    <row r="8057" spans="3:4" x14ac:dyDescent="0.35">
      <c r="C8057" s="51"/>
      <c r="D8057" s="51"/>
    </row>
    <row r="8058" spans="3:4" x14ac:dyDescent="0.35">
      <c r="C8058" s="51"/>
      <c r="D8058" s="51"/>
    </row>
    <row r="8059" spans="3:4" x14ac:dyDescent="0.35">
      <c r="C8059" s="51"/>
      <c r="D8059" s="51"/>
    </row>
    <row r="8060" spans="3:4" x14ac:dyDescent="0.35">
      <c r="C8060" s="51"/>
      <c r="D8060" s="51"/>
    </row>
    <row r="8061" spans="3:4" x14ac:dyDescent="0.35">
      <c r="C8061" s="51"/>
      <c r="D8061" s="51"/>
    </row>
    <row r="8062" spans="3:4" x14ac:dyDescent="0.35">
      <c r="C8062" s="51"/>
      <c r="D8062" s="51"/>
    </row>
    <row r="8063" spans="3:4" x14ac:dyDescent="0.35">
      <c r="C8063" s="51"/>
      <c r="D8063" s="51"/>
    </row>
    <row r="8064" spans="3:4" x14ac:dyDescent="0.35">
      <c r="C8064" s="51"/>
      <c r="D8064" s="51"/>
    </row>
    <row r="8065" spans="3:4" x14ac:dyDescent="0.35">
      <c r="C8065" s="51"/>
      <c r="D8065" s="51"/>
    </row>
    <row r="8066" spans="3:4" x14ac:dyDescent="0.35">
      <c r="C8066" s="51"/>
      <c r="D8066" s="51"/>
    </row>
    <row r="8067" spans="3:4" x14ac:dyDescent="0.35">
      <c r="C8067" s="51"/>
      <c r="D8067" s="51"/>
    </row>
    <row r="8068" spans="3:4" x14ac:dyDescent="0.35">
      <c r="C8068" s="51"/>
      <c r="D8068" s="51"/>
    </row>
    <row r="8069" spans="3:4" x14ac:dyDescent="0.35">
      <c r="C8069" s="51"/>
      <c r="D8069" s="51"/>
    </row>
    <row r="8070" spans="3:4" x14ac:dyDescent="0.35">
      <c r="C8070" s="51"/>
      <c r="D8070" s="51"/>
    </row>
    <row r="8071" spans="3:4" x14ac:dyDescent="0.35">
      <c r="C8071" s="51"/>
      <c r="D8071" s="51"/>
    </row>
    <row r="8072" spans="3:4" x14ac:dyDescent="0.35">
      <c r="C8072" s="51"/>
      <c r="D8072" s="51"/>
    </row>
    <row r="8073" spans="3:4" x14ac:dyDescent="0.35">
      <c r="C8073" s="51"/>
      <c r="D8073" s="51"/>
    </row>
    <row r="8074" spans="3:4" x14ac:dyDescent="0.35">
      <c r="C8074" s="51"/>
      <c r="D8074" s="51"/>
    </row>
    <row r="8075" spans="3:4" x14ac:dyDescent="0.35">
      <c r="C8075" s="51"/>
      <c r="D8075" s="51"/>
    </row>
    <row r="8076" spans="3:4" x14ac:dyDescent="0.35">
      <c r="C8076" s="51"/>
      <c r="D8076" s="51"/>
    </row>
    <row r="8077" spans="3:4" x14ac:dyDescent="0.35">
      <c r="C8077" s="51"/>
      <c r="D8077" s="51"/>
    </row>
    <row r="8078" spans="3:4" x14ac:dyDescent="0.35">
      <c r="C8078" s="51"/>
      <c r="D8078" s="51"/>
    </row>
    <row r="8079" spans="3:4" x14ac:dyDescent="0.35">
      <c r="C8079" s="51"/>
      <c r="D8079" s="51"/>
    </row>
    <row r="8080" spans="3:4" x14ac:dyDescent="0.35">
      <c r="C8080" s="51"/>
      <c r="D8080" s="51"/>
    </row>
    <row r="8081" spans="3:4" x14ac:dyDescent="0.35">
      <c r="C8081" s="51"/>
      <c r="D8081" s="51"/>
    </row>
    <row r="8082" spans="3:4" x14ac:dyDescent="0.35">
      <c r="C8082" s="51"/>
      <c r="D8082" s="51"/>
    </row>
    <row r="8083" spans="3:4" x14ac:dyDescent="0.35">
      <c r="C8083" s="51"/>
      <c r="D8083" s="51"/>
    </row>
    <row r="8084" spans="3:4" x14ac:dyDescent="0.35">
      <c r="C8084" s="51"/>
      <c r="D8084" s="51"/>
    </row>
    <row r="8085" spans="3:4" x14ac:dyDescent="0.35">
      <c r="C8085" s="51"/>
      <c r="D8085" s="51"/>
    </row>
    <row r="8086" spans="3:4" x14ac:dyDescent="0.35">
      <c r="C8086" s="51"/>
      <c r="D8086" s="51"/>
    </row>
    <row r="8087" spans="3:4" x14ac:dyDescent="0.35">
      <c r="C8087" s="51"/>
      <c r="D8087" s="51"/>
    </row>
    <row r="8088" spans="3:4" x14ac:dyDescent="0.35">
      <c r="C8088" s="51"/>
      <c r="D8088" s="51"/>
    </row>
    <row r="8089" spans="3:4" x14ac:dyDescent="0.35">
      <c r="C8089" s="51"/>
      <c r="D8089" s="51"/>
    </row>
    <row r="8090" spans="3:4" x14ac:dyDescent="0.35">
      <c r="C8090" s="51"/>
      <c r="D8090" s="51"/>
    </row>
    <row r="8091" spans="3:4" x14ac:dyDescent="0.35">
      <c r="C8091" s="51"/>
      <c r="D8091" s="51"/>
    </row>
    <row r="8092" spans="3:4" x14ac:dyDescent="0.35">
      <c r="C8092" s="51"/>
      <c r="D8092" s="51"/>
    </row>
    <row r="8093" spans="3:4" x14ac:dyDescent="0.35">
      <c r="C8093" s="51"/>
      <c r="D8093" s="51"/>
    </row>
    <row r="8094" spans="3:4" x14ac:dyDescent="0.35">
      <c r="C8094" s="51"/>
      <c r="D8094" s="51"/>
    </row>
    <row r="8095" spans="3:4" x14ac:dyDescent="0.35">
      <c r="C8095" s="51"/>
      <c r="D8095" s="51"/>
    </row>
    <row r="8096" spans="3:4" x14ac:dyDescent="0.35">
      <c r="C8096" s="51"/>
      <c r="D8096" s="51"/>
    </row>
    <row r="8097" spans="3:4" x14ac:dyDescent="0.35">
      <c r="C8097" s="51"/>
      <c r="D8097" s="51"/>
    </row>
    <row r="8098" spans="3:4" x14ac:dyDescent="0.35">
      <c r="C8098" s="51"/>
      <c r="D8098" s="51"/>
    </row>
    <row r="8099" spans="3:4" x14ac:dyDescent="0.35">
      <c r="C8099" s="51"/>
      <c r="D8099" s="51"/>
    </row>
    <row r="8100" spans="3:4" x14ac:dyDescent="0.35">
      <c r="C8100" s="51"/>
      <c r="D8100" s="51"/>
    </row>
    <row r="8101" spans="3:4" x14ac:dyDescent="0.35">
      <c r="C8101" s="51"/>
      <c r="D8101" s="51"/>
    </row>
    <row r="8102" spans="3:4" x14ac:dyDescent="0.35">
      <c r="C8102" s="51"/>
      <c r="D8102" s="51"/>
    </row>
    <row r="8103" spans="3:4" x14ac:dyDescent="0.35">
      <c r="C8103" s="51"/>
      <c r="D8103" s="51"/>
    </row>
    <row r="8104" spans="3:4" x14ac:dyDescent="0.35">
      <c r="C8104" s="51"/>
      <c r="D8104" s="51"/>
    </row>
    <row r="8105" spans="3:4" x14ac:dyDescent="0.35">
      <c r="C8105" s="51"/>
      <c r="D8105" s="51"/>
    </row>
    <row r="8106" spans="3:4" x14ac:dyDescent="0.35">
      <c r="C8106" s="51"/>
      <c r="D8106" s="51"/>
    </row>
    <row r="8107" spans="3:4" x14ac:dyDescent="0.35">
      <c r="C8107" s="51"/>
      <c r="D8107" s="51"/>
    </row>
    <row r="8108" spans="3:4" x14ac:dyDescent="0.35">
      <c r="C8108" s="51"/>
      <c r="D8108" s="51"/>
    </row>
    <row r="8109" spans="3:4" x14ac:dyDescent="0.35">
      <c r="C8109" s="51"/>
      <c r="D8109" s="51"/>
    </row>
    <row r="8110" spans="3:4" x14ac:dyDescent="0.35">
      <c r="C8110" s="51"/>
      <c r="D8110" s="51"/>
    </row>
    <row r="8111" spans="3:4" x14ac:dyDescent="0.35">
      <c r="C8111" s="51"/>
      <c r="D8111" s="51"/>
    </row>
    <row r="8112" spans="3:4" x14ac:dyDescent="0.35">
      <c r="C8112" s="51"/>
      <c r="D8112" s="51"/>
    </row>
    <row r="8113" spans="3:4" x14ac:dyDescent="0.35">
      <c r="C8113" s="51"/>
      <c r="D8113" s="51"/>
    </row>
    <row r="8114" spans="3:4" x14ac:dyDescent="0.35">
      <c r="C8114" s="51"/>
      <c r="D8114" s="51"/>
    </row>
    <row r="8115" spans="3:4" x14ac:dyDescent="0.35">
      <c r="C8115" s="51"/>
      <c r="D8115" s="51"/>
    </row>
    <row r="8116" spans="3:4" x14ac:dyDescent="0.35">
      <c r="C8116" s="51"/>
      <c r="D8116" s="51"/>
    </row>
    <row r="8117" spans="3:4" x14ac:dyDescent="0.35">
      <c r="C8117" s="51"/>
      <c r="D8117" s="51"/>
    </row>
    <row r="8118" spans="3:4" x14ac:dyDescent="0.35">
      <c r="C8118" s="51"/>
      <c r="D8118" s="51"/>
    </row>
    <row r="8119" spans="3:4" x14ac:dyDescent="0.35">
      <c r="C8119" s="51"/>
      <c r="D8119" s="51"/>
    </row>
    <row r="8120" spans="3:4" x14ac:dyDescent="0.35">
      <c r="C8120" s="51"/>
      <c r="D8120" s="51"/>
    </row>
    <row r="8121" spans="3:4" x14ac:dyDescent="0.35">
      <c r="C8121" s="51"/>
      <c r="D8121" s="51"/>
    </row>
    <row r="8122" spans="3:4" x14ac:dyDescent="0.35">
      <c r="C8122" s="51"/>
      <c r="D8122" s="51"/>
    </row>
    <row r="8123" spans="3:4" x14ac:dyDescent="0.35">
      <c r="C8123" s="51"/>
      <c r="D8123" s="51"/>
    </row>
    <row r="8124" spans="3:4" x14ac:dyDescent="0.35">
      <c r="C8124" s="51"/>
      <c r="D8124" s="51"/>
    </row>
    <row r="8125" spans="3:4" x14ac:dyDescent="0.35">
      <c r="C8125" s="51"/>
      <c r="D8125" s="51"/>
    </row>
    <row r="8126" spans="3:4" x14ac:dyDescent="0.35">
      <c r="C8126" s="51"/>
      <c r="D8126" s="51"/>
    </row>
    <row r="8127" spans="3:4" x14ac:dyDescent="0.35">
      <c r="C8127" s="51"/>
      <c r="D8127" s="51"/>
    </row>
    <row r="8128" spans="3:4" x14ac:dyDescent="0.35">
      <c r="C8128" s="51"/>
      <c r="D8128" s="51"/>
    </row>
    <row r="8129" spans="3:4" x14ac:dyDescent="0.35">
      <c r="C8129" s="51"/>
      <c r="D8129" s="51"/>
    </row>
    <row r="8130" spans="3:4" x14ac:dyDescent="0.35">
      <c r="C8130" s="51"/>
      <c r="D8130" s="51"/>
    </row>
    <row r="8131" spans="3:4" x14ac:dyDescent="0.35">
      <c r="C8131" s="51"/>
      <c r="D8131" s="51"/>
    </row>
    <row r="8132" spans="3:4" x14ac:dyDescent="0.35">
      <c r="C8132" s="51"/>
      <c r="D8132" s="51"/>
    </row>
    <row r="8133" spans="3:4" x14ac:dyDescent="0.35">
      <c r="C8133" s="51"/>
      <c r="D8133" s="51"/>
    </row>
    <row r="8134" spans="3:4" x14ac:dyDescent="0.35">
      <c r="C8134" s="51"/>
      <c r="D8134" s="51"/>
    </row>
    <row r="8135" spans="3:4" x14ac:dyDescent="0.35">
      <c r="C8135" s="51"/>
      <c r="D8135" s="51"/>
    </row>
    <row r="8136" spans="3:4" x14ac:dyDescent="0.35">
      <c r="C8136" s="51"/>
      <c r="D8136" s="51"/>
    </row>
    <row r="8137" spans="3:4" x14ac:dyDescent="0.35">
      <c r="C8137" s="51"/>
      <c r="D8137" s="51"/>
    </row>
    <row r="8138" spans="3:4" x14ac:dyDescent="0.35">
      <c r="C8138" s="51"/>
      <c r="D8138" s="51"/>
    </row>
    <row r="8139" spans="3:4" x14ac:dyDescent="0.35">
      <c r="C8139" s="51"/>
      <c r="D8139" s="51"/>
    </row>
    <row r="8140" spans="3:4" x14ac:dyDescent="0.35">
      <c r="C8140" s="51"/>
      <c r="D8140" s="51"/>
    </row>
    <row r="8141" spans="3:4" x14ac:dyDescent="0.35">
      <c r="C8141" s="51"/>
      <c r="D8141" s="51"/>
    </row>
    <row r="8142" spans="3:4" x14ac:dyDescent="0.35">
      <c r="C8142" s="51"/>
      <c r="D8142" s="51"/>
    </row>
    <row r="8143" spans="3:4" x14ac:dyDescent="0.35">
      <c r="C8143" s="51"/>
      <c r="D8143" s="51"/>
    </row>
    <row r="8144" spans="3:4" x14ac:dyDescent="0.35">
      <c r="C8144" s="51"/>
      <c r="D8144" s="51"/>
    </row>
    <row r="8145" spans="3:4" x14ac:dyDescent="0.35">
      <c r="C8145" s="51"/>
      <c r="D8145" s="51"/>
    </row>
    <row r="8146" spans="3:4" x14ac:dyDescent="0.35">
      <c r="C8146" s="51"/>
      <c r="D8146" s="51"/>
    </row>
    <row r="8147" spans="3:4" x14ac:dyDescent="0.35">
      <c r="C8147" s="51"/>
      <c r="D8147" s="51"/>
    </row>
    <row r="8148" spans="3:4" x14ac:dyDescent="0.35">
      <c r="C8148" s="51"/>
      <c r="D8148" s="51"/>
    </row>
    <row r="8149" spans="3:4" x14ac:dyDescent="0.35">
      <c r="C8149" s="51"/>
      <c r="D8149" s="51"/>
    </row>
    <row r="8150" spans="3:4" x14ac:dyDescent="0.35">
      <c r="C8150" s="51"/>
      <c r="D8150" s="51"/>
    </row>
    <row r="8151" spans="3:4" x14ac:dyDescent="0.35">
      <c r="C8151" s="51"/>
      <c r="D8151" s="51"/>
    </row>
    <row r="8152" spans="3:4" x14ac:dyDescent="0.35">
      <c r="C8152" s="51"/>
      <c r="D8152" s="51"/>
    </row>
    <row r="8153" spans="3:4" x14ac:dyDescent="0.35">
      <c r="C8153" s="51"/>
      <c r="D8153" s="51"/>
    </row>
    <row r="8154" spans="3:4" x14ac:dyDescent="0.35">
      <c r="C8154" s="51"/>
      <c r="D8154" s="51"/>
    </row>
    <row r="8155" spans="3:4" x14ac:dyDescent="0.35">
      <c r="C8155" s="51"/>
      <c r="D8155" s="51"/>
    </row>
    <row r="8156" spans="3:4" x14ac:dyDescent="0.35">
      <c r="C8156" s="51"/>
      <c r="D8156" s="51"/>
    </row>
    <row r="8157" spans="3:4" x14ac:dyDescent="0.35">
      <c r="C8157" s="51"/>
      <c r="D8157" s="51"/>
    </row>
    <row r="8158" spans="3:4" x14ac:dyDescent="0.35">
      <c r="C8158" s="51"/>
      <c r="D8158" s="51"/>
    </row>
    <row r="8159" spans="3:4" x14ac:dyDescent="0.35">
      <c r="C8159" s="51"/>
      <c r="D8159" s="51"/>
    </row>
    <row r="8160" spans="3:4" x14ac:dyDescent="0.35">
      <c r="C8160" s="51"/>
      <c r="D8160" s="51"/>
    </row>
    <row r="8161" spans="3:4" x14ac:dyDescent="0.35">
      <c r="C8161" s="51"/>
      <c r="D8161" s="51"/>
    </row>
    <row r="8162" spans="3:4" x14ac:dyDescent="0.35">
      <c r="C8162" s="51"/>
      <c r="D8162" s="51"/>
    </row>
    <row r="8163" spans="3:4" x14ac:dyDescent="0.35">
      <c r="C8163" s="51"/>
      <c r="D8163" s="51"/>
    </row>
    <row r="8164" spans="3:4" x14ac:dyDescent="0.35">
      <c r="C8164" s="51"/>
      <c r="D8164" s="51"/>
    </row>
    <row r="8165" spans="3:4" x14ac:dyDescent="0.35">
      <c r="C8165" s="51"/>
      <c r="D8165" s="51"/>
    </row>
    <row r="8166" spans="3:4" x14ac:dyDescent="0.35">
      <c r="C8166" s="51"/>
      <c r="D8166" s="51"/>
    </row>
    <row r="8167" spans="3:4" x14ac:dyDescent="0.35">
      <c r="C8167" s="51"/>
      <c r="D8167" s="51"/>
    </row>
    <row r="8168" spans="3:4" x14ac:dyDescent="0.35">
      <c r="C8168" s="51"/>
      <c r="D8168" s="51"/>
    </row>
    <row r="8169" spans="3:4" x14ac:dyDescent="0.35">
      <c r="C8169" s="51"/>
      <c r="D8169" s="51"/>
    </row>
    <row r="8170" spans="3:4" x14ac:dyDescent="0.35">
      <c r="C8170" s="51"/>
      <c r="D8170" s="51"/>
    </row>
    <row r="8171" spans="3:4" x14ac:dyDescent="0.35">
      <c r="C8171" s="51"/>
      <c r="D8171" s="51"/>
    </row>
    <row r="8172" spans="3:4" x14ac:dyDescent="0.35">
      <c r="C8172" s="51"/>
      <c r="D8172" s="51"/>
    </row>
    <row r="8173" spans="3:4" x14ac:dyDescent="0.35">
      <c r="C8173" s="51"/>
      <c r="D8173" s="51"/>
    </row>
    <row r="8174" spans="3:4" x14ac:dyDescent="0.35">
      <c r="C8174" s="51"/>
      <c r="D8174" s="51"/>
    </row>
    <row r="8175" spans="3:4" x14ac:dyDescent="0.35">
      <c r="C8175" s="51"/>
      <c r="D8175" s="51"/>
    </row>
    <row r="8176" spans="3:4" x14ac:dyDescent="0.35">
      <c r="C8176" s="51"/>
      <c r="D8176" s="51"/>
    </row>
    <row r="8177" spans="3:4" x14ac:dyDescent="0.35">
      <c r="C8177" s="51"/>
      <c r="D8177" s="51"/>
    </row>
    <row r="8178" spans="3:4" x14ac:dyDescent="0.35">
      <c r="C8178" s="51"/>
      <c r="D8178" s="51"/>
    </row>
    <row r="8179" spans="3:4" x14ac:dyDescent="0.35">
      <c r="C8179" s="51"/>
      <c r="D8179" s="51"/>
    </row>
    <row r="8180" spans="3:4" x14ac:dyDescent="0.35">
      <c r="C8180" s="51"/>
      <c r="D8180" s="51"/>
    </row>
    <row r="8181" spans="3:4" x14ac:dyDescent="0.35">
      <c r="C8181" s="51"/>
      <c r="D8181" s="51"/>
    </row>
    <row r="8182" spans="3:4" x14ac:dyDescent="0.35">
      <c r="C8182" s="51"/>
      <c r="D8182" s="51"/>
    </row>
    <row r="8183" spans="3:4" x14ac:dyDescent="0.35">
      <c r="C8183" s="51"/>
      <c r="D8183" s="51"/>
    </row>
    <row r="8184" spans="3:4" x14ac:dyDescent="0.35">
      <c r="C8184" s="51"/>
      <c r="D8184" s="51"/>
    </row>
    <row r="8185" spans="3:4" x14ac:dyDescent="0.35">
      <c r="C8185" s="51"/>
      <c r="D8185" s="51"/>
    </row>
    <row r="8186" spans="3:4" x14ac:dyDescent="0.35">
      <c r="C8186" s="51"/>
      <c r="D8186" s="51"/>
    </row>
    <row r="8187" spans="3:4" x14ac:dyDescent="0.35">
      <c r="C8187" s="51"/>
      <c r="D8187" s="51"/>
    </row>
    <row r="8188" spans="3:4" x14ac:dyDescent="0.35">
      <c r="C8188" s="51"/>
      <c r="D8188" s="51"/>
    </row>
    <row r="8189" spans="3:4" x14ac:dyDescent="0.35">
      <c r="C8189" s="51"/>
      <c r="D8189" s="51"/>
    </row>
    <row r="8190" spans="3:4" x14ac:dyDescent="0.35">
      <c r="C8190" s="51"/>
      <c r="D8190" s="51"/>
    </row>
    <row r="8191" spans="3:4" x14ac:dyDescent="0.35">
      <c r="C8191" s="51"/>
      <c r="D8191" s="51"/>
    </row>
    <row r="8192" spans="3:4" x14ac:dyDescent="0.35">
      <c r="C8192" s="51"/>
      <c r="D8192" s="51"/>
    </row>
    <row r="8193" spans="3:4" x14ac:dyDescent="0.35">
      <c r="C8193" s="51"/>
      <c r="D8193" s="51"/>
    </row>
    <row r="8194" spans="3:4" x14ac:dyDescent="0.35">
      <c r="C8194" s="51"/>
      <c r="D8194" s="51"/>
    </row>
    <row r="8195" spans="3:4" x14ac:dyDescent="0.35">
      <c r="C8195" s="51"/>
      <c r="D8195" s="51"/>
    </row>
    <row r="8196" spans="3:4" x14ac:dyDescent="0.35">
      <c r="C8196" s="51"/>
      <c r="D8196" s="51"/>
    </row>
    <row r="8197" spans="3:4" x14ac:dyDescent="0.35">
      <c r="C8197" s="51"/>
      <c r="D8197" s="51"/>
    </row>
    <row r="8198" spans="3:4" x14ac:dyDescent="0.35">
      <c r="C8198" s="51"/>
      <c r="D8198" s="51"/>
    </row>
    <row r="8199" spans="3:4" x14ac:dyDescent="0.35">
      <c r="C8199" s="51"/>
      <c r="D8199" s="51"/>
    </row>
    <row r="8200" spans="3:4" x14ac:dyDescent="0.35">
      <c r="C8200" s="51"/>
      <c r="D8200" s="51"/>
    </row>
    <row r="8201" spans="3:4" x14ac:dyDescent="0.35">
      <c r="C8201" s="51"/>
      <c r="D8201" s="51"/>
    </row>
    <row r="8202" spans="3:4" x14ac:dyDescent="0.35">
      <c r="C8202" s="51"/>
      <c r="D8202" s="51"/>
    </row>
    <row r="8203" spans="3:4" x14ac:dyDescent="0.35">
      <c r="C8203" s="51"/>
      <c r="D8203" s="51"/>
    </row>
    <row r="8204" spans="3:4" x14ac:dyDescent="0.35">
      <c r="C8204" s="51"/>
      <c r="D8204" s="51"/>
    </row>
    <row r="8205" spans="3:4" x14ac:dyDescent="0.35">
      <c r="C8205" s="51"/>
      <c r="D8205" s="51"/>
    </row>
    <row r="8206" spans="3:4" x14ac:dyDescent="0.35">
      <c r="C8206" s="51"/>
      <c r="D8206" s="51"/>
    </row>
    <row r="8207" spans="3:4" x14ac:dyDescent="0.35">
      <c r="C8207" s="51"/>
      <c r="D8207" s="51"/>
    </row>
    <row r="8208" spans="3:4" x14ac:dyDescent="0.35">
      <c r="C8208" s="51"/>
      <c r="D8208" s="51"/>
    </row>
    <row r="8209" spans="3:4" x14ac:dyDescent="0.35">
      <c r="C8209" s="51"/>
      <c r="D8209" s="51"/>
    </row>
    <row r="8210" spans="3:4" x14ac:dyDescent="0.35">
      <c r="C8210" s="51"/>
      <c r="D8210" s="51"/>
    </row>
    <row r="8211" spans="3:4" x14ac:dyDescent="0.35">
      <c r="C8211" s="51"/>
      <c r="D8211" s="51"/>
    </row>
    <row r="8212" spans="3:4" x14ac:dyDescent="0.35">
      <c r="C8212" s="51"/>
      <c r="D8212" s="51"/>
    </row>
    <row r="8213" spans="3:4" x14ac:dyDescent="0.35">
      <c r="C8213" s="51"/>
      <c r="D8213" s="51"/>
    </row>
    <row r="8214" spans="3:4" x14ac:dyDescent="0.35">
      <c r="C8214" s="51"/>
      <c r="D8214" s="51"/>
    </row>
    <row r="8215" spans="3:4" x14ac:dyDescent="0.35">
      <c r="C8215" s="51"/>
      <c r="D8215" s="51"/>
    </row>
    <row r="8216" spans="3:4" x14ac:dyDescent="0.35">
      <c r="C8216" s="51"/>
      <c r="D8216" s="51"/>
    </row>
    <row r="8217" spans="3:4" x14ac:dyDescent="0.35">
      <c r="C8217" s="51"/>
      <c r="D8217" s="51"/>
    </row>
    <row r="8218" spans="3:4" x14ac:dyDescent="0.35">
      <c r="C8218" s="51"/>
      <c r="D8218" s="51"/>
    </row>
    <row r="8219" spans="3:4" x14ac:dyDescent="0.35">
      <c r="C8219" s="51"/>
      <c r="D8219" s="51"/>
    </row>
    <row r="8220" spans="3:4" x14ac:dyDescent="0.35">
      <c r="C8220" s="51"/>
      <c r="D8220" s="51"/>
    </row>
    <row r="8221" spans="3:4" x14ac:dyDescent="0.35">
      <c r="C8221" s="51"/>
      <c r="D8221" s="51"/>
    </row>
    <row r="8222" spans="3:4" x14ac:dyDescent="0.35">
      <c r="C8222" s="51"/>
      <c r="D8222" s="51"/>
    </row>
    <row r="8223" spans="3:4" x14ac:dyDescent="0.35">
      <c r="C8223" s="51"/>
      <c r="D8223" s="51"/>
    </row>
    <row r="8224" spans="3:4" x14ac:dyDescent="0.35">
      <c r="C8224" s="51"/>
      <c r="D8224" s="51"/>
    </row>
    <row r="8225" spans="3:4" x14ac:dyDescent="0.35">
      <c r="C8225" s="51"/>
      <c r="D8225" s="51"/>
    </row>
    <row r="8226" spans="3:4" x14ac:dyDescent="0.35">
      <c r="C8226" s="51"/>
      <c r="D8226" s="51"/>
    </row>
    <row r="8227" spans="3:4" x14ac:dyDescent="0.35">
      <c r="C8227" s="51"/>
      <c r="D8227" s="51"/>
    </row>
    <row r="8228" spans="3:4" x14ac:dyDescent="0.35">
      <c r="C8228" s="51"/>
      <c r="D8228" s="51"/>
    </row>
    <row r="8229" spans="3:4" x14ac:dyDescent="0.35">
      <c r="C8229" s="51"/>
      <c r="D8229" s="51"/>
    </row>
    <row r="8230" spans="3:4" x14ac:dyDescent="0.35">
      <c r="C8230" s="51"/>
      <c r="D8230" s="51"/>
    </row>
    <row r="8231" spans="3:4" x14ac:dyDescent="0.35">
      <c r="C8231" s="51"/>
      <c r="D8231" s="51"/>
    </row>
    <row r="8232" spans="3:4" x14ac:dyDescent="0.35">
      <c r="C8232" s="51"/>
      <c r="D8232" s="51"/>
    </row>
    <row r="8233" spans="3:4" x14ac:dyDescent="0.35">
      <c r="C8233" s="51"/>
      <c r="D8233" s="51"/>
    </row>
    <row r="8234" spans="3:4" x14ac:dyDescent="0.35">
      <c r="C8234" s="51"/>
      <c r="D8234" s="51"/>
    </row>
    <row r="8235" spans="3:4" x14ac:dyDescent="0.35">
      <c r="C8235" s="51"/>
      <c r="D8235" s="51"/>
    </row>
    <row r="8236" spans="3:4" x14ac:dyDescent="0.35">
      <c r="C8236" s="51"/>
      <c r="D8236" s="51"/>
    </row>
    <row r="8237" spans="3:4" x14ac:dyDescent="0.35">
      <c r="C8237" s="51"/>
      <c r="D8237" s="51"/>
    </row>
    <row r="8238" spans="3:4" x14ac:dyDescent="0.35">
      <c r="C8238" s="51"/>
      <c r="D8238" s="51"/>
    </row>
    <row r="8239" spans="3:4" x14ac:dyDescent="0.35">
      <c r="C8239" s="51"/>
      <c r="D8239" s="51"/>
    </row>
    <row r="8240" spans="3:4" x14ac:dyDescent="0.35">
      <c r="C8240" s="51"/>
      <c r="D8240" s="51"/>
    </row>
    <row r="8241" spans="3:4" x14ac:dyDescent="0.35">
      <c r="C8241" s="51"/>
      <c r="D8241" s="51"/>
    </row>
    <row r="8242" spans="3:4" x14ac:dyDescent="0.35">
      <c r="C8242" s="51"/>
      <c r="D8242" s="51"/>
    </row>
    <row r="8243" spans="3:4" x14ac:dyDescent="0.35">
      <c r="C8243" s="51"/>
      <c r="D8243" s="51"/>
    </row>
    <row r="8244" spans="3:4" x14ac:dyDescent="0.35">
      <c r="C8244" s="51"/>
      <c r="D8244" s="51"/>
    </row>
    <row r="8245" spans="3:4" x14ac:dyDescent="0.35">
      <c r="C8245" s="51"/>
      <c r="D8245" s="51"/>
    </row>
    <row r="8246" spans="3:4" x14ac:dyDescent="0.35">
      <c r="C8246" s="51"/>
      <c r="D8246" s="51"/>
    </row>
    <row r="8247" spans="3:4" x14ac:dyDescent="0.35">
      <c r="C8247" s="51"/>
      <c r="D8247" s="51"/>
    </row>
    <row r="8248" spans="3:4" x14ac:dyDescent="0.35">
      <c r="C8248" s="51"/>
      <c r="D8248" s="51"/>
    </row>
    <row r="8249" spans="3:4" x14ac:dyDescent="0.35">
      <c r="C8249" s="51"/>
      <c r="D8249" s="51"/>
    </row>
    <row r="8250" spans="3:4" x14ac:dyDescent="0.35">
      <c r="C8250" s="51"/>
      <c r="D8250" s="51"/>
    </row>
    <row r="8251" spans="3:4" x14ac:dyDescent="0.35">
      <c r="C8251" s="51"/>
      <c r="D8251" s="51"/>
    </row>
    <row r="8252" spans="3:4" x14ac:dyDescent="0.35">
      <c r="C8252" s="51"/>
      <c r="D8252" s="51"/>
    </row>
    <row r="8253" spans="3:4" x14ac:dyDescent="0.35">
      <c r="C8253" s="51"/>
      <c r="D8253" s="51"/>
    </row>
    <row r="8254" spans="3:4" x14ac:dyDescent="0.35">
      <c r="C8254" s="51"/>
      <c r="D8254" s="51"/>
    </row>
    <row r="8255" spans="3:4" x14ac:dyDescent="0.35">
      <c r="C8255" s="51"/>
      <c r="D8255" s="51"/>
    </row>
    <row r="8256" spans="3:4" x14ac:dyDescent="0.35">
      <c r="C8256" s="51"/>
      <c r="D8256" s="51"/>
    </row>
    <row r="8257" spans="3:4" x14ac:dyDescent="0.35">
      <c r="C8257" s="51"/>
      <c r="D8257" s="51"/>
    </row>
    <row r="8258" spans="3:4" x14ac:dyDescent="0.35">
      <c r="C8258" s="51"/>
      <c r="D8258" s="51"/>
    </row>
    <row r="8259" spans="3:4" x14ac:dyDescent="0.35">
      <c r="C8259" s="51"/>
      <c r="D8259" s="51"/>
    </row>
    <row r="8260" spans="3:4" x14ac:dyDescent="0.35">
      <c r="C8260" s="51"/>
      <c r="D8260" s="51"/>
    </row>
    <row r="8261" spans="3:4" x14ac:dyDescent="0.35">
      <c r="C8261" s="51"/>
      <c r="D8261" s="51"/>
    </row>
    <row r="8262" spans="3:4" x14ac:dyDescent="0.35">
      <c r="C8262" s="51"/>
      <c r="D8262" s="51"/>
    </row>
    <row r="8263" spans="3:4" x14ac:dyDescent="0.35">
      <c r="C8263" s="51"/>
      <c r="D8263" s="51"/>
    </row>
    <row r="8264" spans="3:4" x14ac:dyDescent="0.35">
      <c r="C8264" s="51"/>
      <c r="D8264" s="51"/>
    </row>
    <row r="8265" spans="3:4" x14ac:dyDescent="0.35">
      <c r="C8265" s="51"/>
      <c r="D8265" s="51"/>
    </row>
    <row r="8266" spans="3:4" x14ac:dyDescent="0.35">
      <c r="C8266" s="51"/>
      <c r="D8266" s="51"/>
    </row>
    <row r="8267" spans="3:4" x14ac:dyDescent="0.35">
      <c r="C8267" s="51"/>
      <c r="D8267" s="51"/>
    </row>
    <row r="8268" spans="3:4" x14ac:dyDescent="0.35">
      <c r="C8268" s="51"/>
      <c r="D8268" s="51"/>
    </row>
    <row r="8269" spans="3:4" x14ac:dyDescent="0.35">
      <c r="C8269" s="51"/>
      <c r="D8269" s="51"/>
    </row>
    <row r="8270" spans="3:4" x14ac:dyDescent="0.35">
      <c r="C8270" s="51"/>
      <c r="D8270" s="51"/>
    </row>
    <row r="8271" spans="3:4" x14ac:dyDescent="0.35">
      <c r="C8271" s="51"/>
      <c r="D8271" s="51"/>
    </row>
    <row r="8272" spans="3:4" x14ac:dyDescent="0.35">
      <c r="C8272" s="51"/>
      <c r="D8272" s="51"/>
    </row>
    <row r="8273" spans="3:4" x14ac:dyDescent="0.35">
      <c r="C8273" s="51"/>
      <c r="D8273" s="51"/>
    </row>
    <row r="8274" spans="3:4" x14ac:dyDescent="0.35">
      <c r="C8274" s="51"/>
      <c r="D8274" s="51"/>
    </row>
    <row r="8275" spans="3:4" x14ac:dyDescent="0.35">
      <c r="C8275" s="51"/>
      <c r="D8275" s="51"/>
    </row>
    <row r="8276" spans="3:4" x14ac:dyDescent="0.35">
      <c r="C8276" s="51"/>
      <c r="D8276" s="51"/>
    </row>
    <row r="8277" spans="3:4" x14ac:dyDescent="0.35">
      <c r="C8277" s="51"/>
      <c r="D8277" s="51"/>
    </row>
    <row r="8278" spans="3:4" x14ac:dyDescent="0.35">
      <c r="C8278" s="51"/>
      <c r="D8278" s="51"/>
    </row>
    <row r="8279" spans="3:4" x14ac:dyDescent="0.35">
      <c r="C8279" s="51"/>
      <c r="D8279" s="51"/>
    </row>
    <row r="8280" spans="3:4" x14ac:dyDescent="0.35">
      <c r="C8280" s="51"/>
      <c r="D8280" s="51"/>
    </row>
    <row r="8281" spans="3:4" x14ac:dyDescent="0.35">
      <c r="C8281" s="51"/>
      <c r="D8281" s="51"/>
    </row>
    <row r="8282" spans="3:4" x14ac:dyDescent="0.35">
      <c r="C8282" s="51"/>
      <c r="D8282" s="51"/>
    </row>
    <row r="8283" spans="3:4" x14ac:dyDescent="0.35">
      <c r="C8283" s="51"/>
      <c r="D8283" s="51"/>
    </row>
    <row r="8284" spans="3:4" x14ac:dyDescent="0.35">
      <c r="C8284" s="51"/>
      <c r="D8284" s="51"/>
    </row>
    <row r="8285" spans="3:4" x14ac:dyDescent="0.35">
      <c r="C8285" s="51"/>
      <c r="D8285" s="51"/>
    </row>
    <row r="8286" spans="3:4" x14ac:dyDescent="0.35">
      <c r="C8286" s="51"/>
      <c r="D8286" s="51"/>
    </row>
    <row r="8287" spans="3:4" x14ac:dyDescent="0.35">
      <c r="C8287" s="51"/>
      <c r="D8287" s="51"/>
    </row>
    <row r="8288" spans="3:4" x14ac:dyDescent="0.35">
      <c r="C8288" s="51"/>
      <c r="D8288" s="51"/>
    </row>
    <row r="8289" spans="3:4" x14ac:dyDescent="0.35">
      <c r="C8289" s="51"/>
      <c r="D8289" s="51"/>
    </row>
    <row r="8290" spans="3:4" x14ac:dyDescent="0.35">
      <c r="C8290" s="51"/>
      <c r="D8290" s="51"/>
    </row>
    <row r="8291" spans="3:4" x14ac:dyDescent="0.35">
      <c r="C8291" s="51"/>
      <c r="D8291" s="51"/>
    </row>
    <row r="8292" spans="3:4" x14ac:dyDescent="0.35">
      <c r="C8292" s="51"/>
      <c r="D8292" s="51"/>
    </row>
    <row r="8293" spans="3:4" x14ac:dyDescent="0.35">
      <c r="C8293" s="51"/>
      <c r="D8293" s="51"/>
    </row>
    <row r="8294" spans="3:4" x14ac:dyDescent="0.35">
      <c r="C8294" s="51"/>
      <c r="D8294" s="51"/>
    </row>
    <row r="8295" spans="3:4" x14ac:dyDescent="0.35">
      <c r="C8295" s="51"/>
      <c r="D8295" s="51"/>
    </row>
    <row r="8296" spans="3:4" x14ac:dyDescent="0.35">
      <c r="C8296" s="51"/>
      <c r="D8296" s="51"/>
    </row>
    <row r="8297" spans="3:4" x14ac:dyDescent="0.35">
      <c r="C8297" s="51"/>
      <c r="D8297" s="51"/>
    </row>
    <row r="8298" spans="3:4" x14ac:dyDescent="0.35">
      <c r="C8298" s="51"/>
      <c r="D8298" s="51"/>
    </row>
    <row r="8299" spans="3:4" x14ac:dyDescent="0.35">
      <c r="C8299" s="51"/>
      <c r="D8299" s="51"/>
    </row>
    <row r="8300" spans="3:4" x14ac:dyDescent="0.35">
      <c r="C8300" s="51"/>
      <c r="D8300" s="51"/>
    </row>
    <row r="8301" spans="3:4" x14ac:dyDescent="0.35">
      <c r="C8301" s="51"/>
      <c r="D8301" s="51"/>
    </row>
    <row r="8302" spans="3:4" x14ac:dyDescent="0.35">
      <c r="C8302" s="51"/>
      <c r="D8302" s="51"/>
    </row>
    <row r="8303" spans="3:4" x14ac:dyDescent="0.35">
      <c r="C8303" s="51"/>
      <c r="D8303" s="51"/>
    </row>
    <row r="8304" spans="3:4" x14ac:dyDescent="0.35">
      <c r="C8304" s="51"/>
      <c r="D8304" s="51"/>
    </row>
    <row r="8305" spans="3:4" x14ac:dyDescent="0.35">
      <c r="C8305" s="51"/>
      <c r="D8305" s="51"/>
    </row>
    <row r="8306" spans="3:4" x14ac:dyDescent="0.35">
      <c r="C8306" s="51"/>
      <c r="D8306" s="51"/>
    </row>
    <row r="8307" spans="3:4" x14ac:dyDescent="0.35">
      <c r="C8307" s="51"/>
      <c r="D8307" s="51"/>
    </row>
    <row r="8308" spans="3:4" x14ac:dyDescent="0.35">
      <c r="C8308" s="51"/>
      <c r="D8308" s="51"/>
    </row>
    <row r="8309" spans="3:4" x14ac:dyDescent="0.35">
      <c r="C8309" s="51"/>
      <c r="D8309" s="51"/>
    </row>
    <row r="8310" spans="3:4" x14ac:dyDescent="0.35">
      <c r="C8310" s="51"/>
      <c r="D8310" s="51"/>
    </row>
    <row r="8311" spans="3:4" x14ac:dyDescent="0.35">
      <c r="C8311" s="51"/>
      <c r="D8311" s="51"/>
    </row>
    <row r="8312" spans="3:4" x14ac:dyDescent="0.35">
      <c r="C8312" s="51"/>
      <c r="D8312" s="51"/>
    </row>
    <row r="8313" spans="3:4" x14ac:dyDescent="0.35">
      <c r="C8313" s="51"/>
      <c r="D8313" s="51"/>
    </row>
    <row r="8314" spans="3:4" x14ac:dyDescent="0.35">
      <c r="C8314" s="51"/>
      <c r="D8314" s="51"/>
    </row>
    <row r="8315" spans="3:4" x14ac:dyDescent="0.35">
      <c r="C8315" s="51"/>
      <c r="D8315" s="51"/>
    </row>
    <row r="8316" spans="3:4" x14ac:dyDescent="0.35">
      <c r="C8316" s="51"/>
      <c r="D8316" s="51"/>
    </row>
    <row r="8317" spans="3:4" x14ac:dyDescent="0.35">
      <c r="C8317" s="51"/>
      <c r="D8317" s="51"/>
    </row>
    <row r="8318" spans="3:4" x14ac:dyDescent="0.35">
      <c r="C8318" s="51"/>
      <c r="D8318" s="51"/>
    </row>
    <row r="8319" spans="3:4" x14ac:dyDescent="0.35">
      <c r="C8319" s="51"/>
      <c r="D8319" s="51"/>
    </row>
    <row r="8320" spans="3:4" x14ac:dyDescent="0.35">
      <c r="C8320" s="51"/>
      <c r="D8320" s="51"/>
    </row>
    <row r="8321" spans="3:4" x14ac:dyDescent="0.35">
      <c r="C8321" s="51"/>
      <c r="D8321" s="51"/>
    </row>
    <row r="8322" spans="3:4" x14ac:dyDescent="0.35">
      <c r="C8322" s="51"/>
      <c r="D8322" s="51"/>
    </row>
    <row r="8323" spans="3:4" x14ac:dyDescent="0.35">
      <c r="C8323" s="51"/>
      <c r="D8323" s="51"/>
    </row>
    <row r="8324" spans="3:4" x14ac:dyDescent="0.35">
      <c r="C8324" s="51"/>
      <c r="D8324" s="51"/>
    </row>
    <row r="8325" spans="3:4" x14ac:dyDescent="0.35">
      <c r="C8325" s="51"/>
      <c r="D8325" s="51"/>
    </row>
    <row r="8326" spans="3:4" x14ac:dyDescent="0.35">
      <c r="C8326" s="51"/>
      <c r="D8326" s="51"/>
    </row>
    <row r="8327" spans="3:4" x14ac:dyDescent="0.35">
      <c r="C8327" s="51"/>
      <c r="D8327" s="51"/>
    </row>
    <row r="8328" spans="3:4" x14ac:dyDescent="0.35">
      <c r="C8328" s="51"/>
      <c r="D8328" s="51"/>
    </row>
    <row r="8329" spans="3:4" x14ac:dyDescent="0.35">
      <c r="C8329" s="51"/>
      <c r="D8329" s="51"/>
    </row>
    <row r="8330" spans="3:4" x14ac:dyDescent="0.35">
      <c r="C8330" s="51"/>
      <c r="D8330" s="51"/>
    </row>
    <row r="8331" spans="3:4" x14ac:dyDescent="0.35">
      <c r="C8331" s="51"/>
      <c r="D8331" s="51"/>
    </row>
    <row r="8332" spans="3:4" x14ac:dyDescent="0.35">
      <c r="C8332" s="51"/>
      <c r="D8332" s="51"/>
    </row>
    <row r="8333" spans="3:4" x14ac:dyDescent="0.35">
      <c r="C8333" s="51"/>
      <c r="D8333" s="51"/>
    </row>
    <row r="8334" spans="3:4" x14ac:dyDescent="0.35">
      <c r="C8334" s="51"/>
      <c r="D8334" s="51"/>
    </row>
    <row r="8335" spans="3:4" x14ac:dyDescent="0.35">
      <c r="C8335" s="51"/>
      <c r="D8335" s="51"/>
    </row>
    <row r="8336" spans="3:4" x14ac:dyDescent="0.35">
      <c r="C8336" s="51"/>
      <c r="D8336" s="51"/>
    </row>
    <row r="8337" spans="3:4" x14ac:dyDescent="0.35">
      <c r="C8337" s="51"/>
      <c r="D8337" s="51"/>
    </row>
    <row r="8338" spans="3:4" x14ac:dyDescent="0.35">
      <c r="C8338" s="51"/>
      <c r="D8338" s="51"/>
    </row>
    <row r="8339" spans="3:4" x14ac:dyDescent="0.35">
      <c r="C8339" s="51"/>
      <c r="D8339" s="51"/>
    </row>
    <row r="8340" spans="3:4" x14ac:dyDescent="0.35">
      <c r="C8340" s="51"/>
      <c r="D8340" s="51"/>
    </row>
    <row r="8341" spans="3:4" x14ac:dyDescent="0.35">
      <c r="C8341" s="51"/>
      <c r="D8341" s="51"/>
    </row>
    <row r="8342" spans="3:4" x14ac:dyDescent="0.35">
      <c r="C8342" s="51"/>
      <c r="D8342" s="51"/>
    </row>
    <row r="8343" spans="3:4" x14ac:dyDescent="0.35">
      <c r="C8343" s="51"/>
      <c r="D8343" s="51"/>
    </row>
    <row r="8344" spans="3:4" x14ac:dyDescent="0.35">
      <c r="C8344" s="51"/>
      <c r="D8344" s="51"/>
    </row>
    <row r="8345" spans="3:4" x14ac:dyDescent="0.35">
      <c r="C8345" s="51"/>
      <c r="D8345" s="51"/>
    </row>
    <row r="8346" spans="3:4" x14ac:dyDescent="0.35">
      <c r="C8346" s="51"/>
      <c r="D8346" s="51"/>
    </row>
    <row r="8347" spans="3:4" x14ac:dyDescent="0.35">
      <c r="C8347" s="51"/>
      <c r="D8347" s="51"/>
    </row>
    <row r="8348" spans="3:4" x14ac:dyDescent="0.35">
      <c r="C8348" s="51"/>
      <c r="D8348" s="51"/>
    </row>
    <row r="8349" spans="3:4" x14ac:dyDescent="0.35">
      <c r="C8349" s="51"/>
      <c r="D8349" s="51"/>
    </row>
    <row r="8350" spans="3:4" x14ac:dyDescent="0.35">
      <c r="C8350" s="51"/>
      <c r="D8350" s="51"/>
    </row>
    <row r="8351" spans="3:4" x14ac:dyDescent="0.35">
      <c r="C8351" s="51"/>
      <c r="D8351" s="51"/>
    </row>
    <row r="8352" spans="3:4" x14ac:dyDescent="0.35">
      <c r="C8352" s="51"/>
      <c r="D8352" s="51"/>
    </row>
    <row r="8353" spans="3:4" x14ac:dyDescent="0.35">
      <c r="C8353" s="51"/>
      <c r="D8353" s="51"/>
    </row>
    <row r="8354" spans="3:4" x14ac:dyDescent="0.35">
      <c r="C8354" s="51"/>
      <c r="D8354" s="51"/>
    </row>
    <row r="8355" spans="3:4" x14ac:dyDescent="0.35">
      <c r="C8355" s="51"/>
      <c r="D8355" s="51"/>
    </row>
    <row r="8356" spans="3:4" x14ac:dyDescent="0.35">
      <c r="C8356" s="51"/>
      <c r="D8356" s="51"/>
    </row>
    <row r="8357" spans="3:4" x14ac:dyDescent="0.35">
      <c r="C8357" s="51"/>
      <c r="D8357" s="51"/>
    </row>
    <row r="8358" spans="3:4" x14ac:dyDescent="0.35">
      <c r="C8358" s="51"/>
      <c r="D8358" s="51"/>
    </row>
    <row r="8359" spans="3:4" x14ac:dyDescent="0.35">
      <c r="C8359" s="51"/>
      <c r="D8359" s="51"/>
    </row>
    <row r="8360" spans="3:4" x14ac:dyDescent="0.35">
      <c r="C8360" s="51"/>
      <c r="D8360" s="51"/>
    </row>
    <row r="8361" spans="3:4" x14ac:dyDescent="0.35">
      <c r="C8361" s="51"/>
      <c r="D8361" s="51"/>
    </row>
    <row r="8362" spans="3:4" x14ac:dyDescent="0.35">
      <c r="C8362" s="51"/>
      <c r="D8362" s="51"/>
    </row>
    <row r="8363" spans="3:4" x14ac:dyDescent="0.35">
      <c r="C8363" s="51"/>
      <c r="D8363" s="51"/>
    </row>
    <row r="8364" spans="3:4" x14ac:dyDescent="0.35">
      <c r="C8364" s="51"/>
      <c r="D8364" s="51"/>
    </row>
    <row r="8365" spans="3:4" x14ac:dyDescent="0.35">
      <c r="C8365" s="51"/>
      <c r="D8365" s="51"/>
    </row>
    <row r="8366" spans="3:4" x14ac:dyDescent="0.35">
      <c r="C8366" s="51"/>
      <c r="D8366" s="51"/>
    </row>
    <row r="8367" spans="3:4" x14ac:dyDescent="0.35">
      <c r="C8367" s="51"/>
      <c r="D8367" s="51"/>
    </row>
    <row r="8368" spans="3:4" x14ac:dyDescent="0.35">
      <c r="C8368" s="51"/>
      <c r="D8368" s="51"/>
    </row>
    <row r="8369" spans="3:4" x14ac:dyDescent="0.35">
      <c r="C8369" s="51"/>
      <c r="D8369" s="51"/>
    </row>
    <row r="8370" spans="3:4" x14ac:dyDescent="0.35">
      <c r="C8370" s="51"/>
      <c r="D8370" s="51"/>
    </row>
    <row r="8371" spans="3:4" x14ac:dyDescent="0.35">
      <c r="C8371" s="51"/>
      <c r="D8371" s="51"/>
    </row>
    <row r="8372" spans="3:4" x14ac:dyDescent="0.35">
      <c r="C8372" s="51"/>
      <c r="D8372" s="51"/>
    </row>
    <row r="8373" spans="3:4" x14ac:dyDescent="0.35">
      <c r="C8373" s="51"/>
      <c r="D8373" s="51"/>
    </row>
    <row r="8374" spans="3:4" x14ac:dyDescent="0.35">
      <c r="C8374" s="51"/>
      <c r="D8374" s="51"/>
    </row>
    <row r="8375" spans="3:4" x14ac:dyDescent="0.35">
      <c r="C8375" s="51"/>
      <c r="D8375" s="51"/>
    </row>
    <row r="8376" spans="3:4" x14ac:dyDescent="0.35">
      <c r="C8376" s="51"/>
      <c r="D8376" s="51"/>
    </row>
    <row r="8377" spans="3:4" x14ac:dyDescent="0.35">
      <c r="C8377" s="51"/>
      <c r="D8377" s="51"/>
    </row>
    <row r="8378" spans="3:4" x14ac:dyDescent="0.35">
      <c r="C8378" s="51"/>
      <c r="D8378" s="51"/>
    </row>
    <row r="8379" spans="3:4" x14ac:dyDescent="0.35">
      <c r="C8379" s="51"/>
      <c r="D8379" s="51"/>
    </row>
    <row r="8380" spans="3:4" x14ac:dyDescent="0.35">
      <c r="C8380" s="51"/>
      <c r="D8380" s="51"/>
    </row>
    <row r="8381" spans="3:4" x14ac:dyDescent="0.35">
      <c r="C8381" s="51"/>
      <c r="D8381" s="51"/>
    </row>
    <row r="8382" spans="3:4" x14ac:dyDescent="0.35">
      <c r="C8382" s="51"/>
      <c r="D8382" s="51"/>
    </row>
    <row r="8383" spans="3:4" x14ac:dyDescent="0.35">
      <c r="C8383" s="51"/>
      <c r="D8383" s="51"/>
    </row>
    <row r="8384" spans="3:4" x14ac:dyDescent="0.35">
      <c r="C8384" s="51"/>
      <c r="D8384" s="51"/>
    </row>
    <row r="8385" spans="3:4" x14ac:dyDescent="0.35">
      <c r="C8385" s="51"/>
      <c r="D8385" s="51"/>
    </row>
    <row r="8386" spans="3:4" x14ac:dyDescent="0.35">
      <c r="C8386" s="51"/>
      <c r="D8386" s="51"/>
    </row>
    <row r="8387" spans="3:4" x14ac:dyDescent="0.35">
      <c r="C8387" s="51"/>
      <c r="D8387" s="51"/>
    </row>
    <row r="8388" spans="3:4" x14ac:dyDescent="0.35">
      <c r="C8388" s="51"/>
      <c r="D8388" s="51"/>
    </row>
    <row r="8389" spans="3:4" x14ac:dyDescent="0.35">
      <c r="C8389" s="51"/>
      <c r="D8389" s="51"/>
    </row>
    <row r="8390" spans="3:4" x14ac:dyDescent="0.35">
      <c r="C8390" s="51"/>
      <c r="D8390" s="51"/>
    </row>
    <row r="8391" spans="3:4" x14ac:dyDescent="0.35">
      <c r="C8391" s="51"/>
      <c r="D8391" s="51"/>
    </row>
    <row r="8392" spans="3:4" x14ac:dyDescent="0.35">
      <c r="C8392" s="51"/>
      <c r="D8392" s="51"/>
    </row>
    <row r="8393" spans="3:4" x14ac:dyDescent="0.35">
      <c r="C8393" s="51"/>
      <c r="D8393" s="51"/>
    </row>
    <row r="8394" spans="3:4" x14ac:dyDescent="0.35">
      <c r="C8394" s="51"/>
      <c r="D8394" s="51"/>
    </row>
    <row r="8395" spans="3:4" x14ac:dyDescent="0.35">
      <c r="C8395" s="51"/>
      <c r="D8395" s="51"/>
    </row>
    <row r="8396" spans="3:4" x14ac:dyDescent="0.35">
      <c r="C8396" s="51"/>
      <c r="D8396" s="51"/>
    </row>
    <row r="8397" spans="3:4" x14ac:dyDescent="0.35">
      <c r="C8397" s="51"/>
      <c r="D8397" s="51"/>
    </row>
    <row r="8398" spans="3:4" x14ac:dyDescent="0.35">
      <c r="C8398" s="51"/>
      <c r="D8398" s="51"/>
    </row>
    <row r="8399" spans="3:4" x14ac:dyDescent="0.35">
      <c r="C8399" s="51"/>
      <c r="D8399" s="51"/>
    </row>
    <row r="8400" spans="3:4" x14ac:dyDescent="0.35">
      <c r="C8400" s="51"/>
      <c r="D8400" s="51"/>
    </row>
    <row r="8401" spans="3:4" x14ac:dyDescent="0.35">
      <c r="C8401" s="51"/>
      <c r="D8401" s="51"/>
    </row>
    <row r="8402" spans="3:4" x14ac:dyDescent="0.35">
      <c r="C8402" s="51"/>
      <c r="D8402" s="51"/>
    </row>
    <row r="8403" spans="3:4" x14ac:dyDescent="0.35">
      <c r="C8403" s="51"/>
      <c r="D8403" s="51"/>
    </row>
    <row r="8404" spans="3:4" x14ac:dyDescent="0.35">
      <c r="C8404" s="51"/>
      <c r="D8404" s="51"/>
    </row>
    <row r="8405" spans="3:4" x14ac:dyDescent="0.35">
      <c r="C8405" s="51"/>
      <c r="D8405" s="51"/>
    </row>
    <row r="8406" spans="3:4" x14ac:dyDescent="0.35">
      <c r="C8406" s="51"/>
      <c r="D8406" s="51"/>
    </row>
    <row r="8407" spans="3:4" x14ac:dyDescent="0.35">
      <c r="C8407" s="51"/>
      <c r="D8407" s="51"/>
    </row>
    <row r="8408" spans="3:4" x14ac:dyDescent="0.35">
      <c r="C8408" s="51"/>
      <c r="D8408" s="51"/>
    </row>
    <row r="8409" spans="3:4" x14ac:dyDescent="0.35">
      <c r="C8409" s="51"/>
      <c r="D8409" s="51"/>
    </row>
    <row r="8410" spans="3:4" x14ac:dyDescent="0.35">
      <c r="C8410" s="51"/>
      <c r="D8410" s="51"/>
    </row>
    <row r="8411" spans="3:4" x14ac:dyDescent="0.35">
      <c r="C8411" s="51"/>
      <c r="D8411" s="51"/>
    </row>
    <row r="8412" spans="3:4" x14ac:dyDescent="0.35">
      <c r="C8412" s="51"/>
      <c r="D8412" s="51"/>
    </row>
    <row r="8413" spans="3:4" x14ac:dyDescent="0.35">
      <c r="C8413" s="51"/>
      <c r="D8413" s="51"/>
    </row>
    <row r="8414" spans="3:4" x14ac:dyDescent="0.35">
      <c r="C8414" s="51"/>
      <c r="D8414" s="51"/>
    </row>
    <row r="8415" spans="3:4" x14ac:dyDescent="0.35">
      <c r="C8415" s="51"/>
      <c r="D8415" s="51"/>
    </row>
    <row r="8416" spans="3:4" x14ac:dyDescent="0.35">
      <c r="C8416" s="51"/>
      <c r="D8416" s="51"/>
    </row>
    <row r="8417" spans="3:4" x14ac:dyDescent="0.35">
      <c r="C8417" s="51"/>
      <c r="D8417" s="51"/>
    </row>
    <row r="8418" spans="3:4" x14ac:dyDescent="0.35">
      <c r="C8418" s="51"/>
      <c r="D8418" s="51"/>
    </row>
    <row r="8419" spans="3:4" x14ac:dyDescent="0.35">
      <c r="C8419" s="51"/>
      <c r="D8419" s="51"/>
    </row>
    <row r="8420" spans="3:4" x14ac:dyDescent="0.35">
      <c r="C8420" s="51"/>
      <c r="D8420" s="51"/>
    </row>
    <row r="8421" spans="3:4" x14ac:dyDescent="0.35">
      <c r="C8421" s="51"/>
      <c r="D8421" s="51"/>
    </row>
    <row r="8422" spans="3:4" x14ac:dyDescent="0.35">
      <c r="C8422" s="51"/>
      <c r="D8422" s="51"/>
    </row>
    <row r="8423" spans="3:4" x14ac:dyDescent="0.35">
      <c r="C8423" s="51"/>
      <c r="D8423" s="51"/>
    </row>
    <row r="8424" spans="3:4" x14ac:dyDescent="0.35">
      <c r="C8424" s="51"/>
      <c r="D8424" s="51"/>
    </row>
    <row r="8425" spans="3:4" x14ac:dyDescent="0.35">
      <c r="C8425" s="51"/>
      <c r="D8425" s="51"/>
    </row>
    <row r="8426" spans="3:4" x14ac:dyDescent="0.35">
      <c r="C8426" s="51"/>
      <c r="D8426" s="51"/>
    </row>
    <row r="8427" spans="3:4" x14ac:dyDescent="0.35">
      <c r="C8427" s="51"/>
      <c r="D8427" s="51"/>
    </row>
    <row r="8428" spans="3:4" x14ac:dyDescent="0.35">
      <c r="C8428" s="51"/>
      <c r="D8428" s="51"/>
    </row>
    <row r="8429" spans="3:4" x14ac:dyDescent="0.35">
      <c r="C8429" s="51"/>
      <c r="D8429" s="51"/>
    </row>
    <row r="8430" spans="3:4" x14ac:dyDescent="0.35">
      <c r="C8430" s="51"/>
      <c r="D8430" s="51"/>
    </row>
    <row r="8431" spans="3:4" x14ac:dyDescent="0.35">
      <c r="C8431" s="51"/>
      <c r="D8431" s="51"/>
    </row>
    <row r="8432" spans="3:4" x14ac:dyDescent="0.35">
      <c r="C8432" s="51"/>
      <c r="D8432" s="51"/>
    </row>
    <row r="8433" spans="3:4" x14ac:dyDescent="0.35">
      <c r="C8433" s="51"/>
      <c r="D8433" s="51"/>
    </row>
    <row r="8434" spans="3:4" x14ac:dyDescent="0.35">
      <c r="C8434" s="51"/>
      <c r="D8434" s="51"/>
    </row>
    <row r="8435" spans="3:4" x14ac:dyDescent="0.35">
      <c r="C8435" s="51"/>
      <c r="D8435" s="51"/>
    </row>
    <row r="8436" spans="3:4" x14ac:dyDescent="0.35">
      <c r="C8436" s="51"/>
      <c r="D8436" s="51"/>
    </row>
    <row r="8437" spans="3:4" x14ac:dyDescent="0.35">
      <c r="C8437" s="51"/>
      <c r="D8437" s="51"/>
    </row>
    <row r="8438" spans="3:4" x14ac:dyDescent="0.35">
      <c r="C8438" s="51"/>
      <c r="D8438" s="51"/>
    </row>
    <row r="8439" spans="3:4" x14ac:dyDescent="0.35">
      <c r="C8439" s="51"/>
      <c r="D8439" s="51"/>
    </row>
    <row r="8440" spans="3:4" x14ac:dyDescent="0.35">
      <c r="C8440" s="51"/>
      <c r="D8440" s="51"/>
    </row>
    <row r="8441" spans="3:4" x14ac:dyDescent="0.35">
      <c r="C8441" s="51"/>
      <c r="D8441" s="51"/>
    </row>
    <row r="8442" spans="3:4" x14ac:dyDescent="0.35">
      <c r="C8442" s="51"/>
      <c r="D8442" s="51"/>
    </row>
    <row r="8443" spans="3:4" x14ac:dyDescent="0.35">
      <c r="C8443" s="51"/>
      <c r="D8443" s="51"/>
    </row>
    <row r="8444" spans="3:4" x14ac:dyDescent="0.35">
      <c r="C8444" s="51"/>
      <c r="D8444" s="51"/>
    </row>
    <row r="8445" spans="3:4" x14ac:dyDescent="0.35">
      <c r="C8445" s="51"/>
      <c r="D8445" s="51"/>
    </row>
    <row r="8446" spans="3:4" x14ac:dyDescent="0.35">
      <c r="C8446" s="51"/>
      <c r="D8446" s="51"/>
    </row>
    <row r="8447" spans="3:4" x14ac:dyDescent="0.35">
      <c r="C8447" s="51"/>
      <c r="D8447" s="51"/>
    </row>
    <row r="8448" spans="3:4" x14ac:dyDescent="0.35">
      <c r="C8448" s="51"/>
      <c r="D8448" s="51"/>
    </row>
    <row r="8449" spans="3:4" x14ac:dyDescent="0.35">
      <c r="C8449" s="51"/>
      <c r="D8449" s="51"/>
    </row>
    <row r="8450" spans="3:4" x14ac:dyDescent="0.35">
      <c r="C8450" s="51"/>
      <c r="D8450" s="51"/>
    </row>
    <row r="8451" spans="3:4" x14ac:dyDescent="0.35">
      <c r="C8451" s="51"/>
      <c r="D8451" s="51"/>
    </row>
    <row r="8452" spans="3:4" x14ac:dyDescent="0.35">
      <c r="C8452" s="51"/>
      <c r="D8452" s="51"/>
    </row>
    <row r="8453" spans="3:4" x14ac:dyDescent="0.35">
      <c r="C8453" s="51"/>
      <c r="D8453" s="51"/>
    </row>
    <row r="8454" spans="3:4" x14ac:dyDescent="0.35">
      <c r="C8454" s="51"/>
      <c r="D8454" s="51"/>
    </row>
    <row r="8455" spans="3:4" x14ac:dyDescent="0.35">
      <c r="C8455" s="51"/>
      <c r="D8455" s="51"/>
    </row>
    <row r="8456" spans="3:4" x14ac:dyDescent="0.35">
      <c r="C8456" s="51"/>
      <c r="D8456" s="51"/>
    </row>
    <row r="8457" spans="3:4" x14ac:dyDescent="0.35">
      <c r="C8457" s="51"/>
      <c r="D8457" s="51"/>
    </row>
    <row r="8458" spans="3:4" x14ac:dyDescent="0.35">
      <c r="C8458" s="51"/>
      <c r="D8458" s="51"/>
    </row>
    <row r="8459" spans="3:4" x14ac:dyDescent="0.35">
      <c r="C8459" s="51"/>
      <c r="D8459" s="51"/>
    </row>
    <row r="8460" spans="3:4" x14ac:dyDescent="0.35">
      <c r="C8460" s="51"/>
      <c r="D8460" s="51"/>
    </row>
    <row r="8461" spans="3:4" x14ac:dyDescent="0.35">
      <c r="C8461" s="51"/>
      <c r="D8461" s="51"/>
    </row>
    <row r="8462" spans="3:4" x14ac:dyDescent="0.35">
      <c r="C8462" s="51"/>
      <c r="D8462" s="51"/>
    </row>
    <row r="8463" spans="3:4" x14ac:dyDescent="0.35">
      <c r="C8463" s="51"/>
      <c r="D8463" s="51"/>
    </row>
    <row r="8464" spans="3:4" x14ac:dyDescent="0.35">
      <c r="C8464" s="51"/>
      <c r="D8464" s="51"/>
    </row>
    <row r="8465" spans="3:4" x14ac:dyDescent="0.35">
      <c r="C8465" s="51"/>
      <c r="D8465" s="51"/>
    </row>
    <row r="8466" spans="3:4" x14ac:dyDescent="0.35">
      <c r="C8466" s="51"/>
      <c r="D8466" s="51"/>
    </row>
    <row r="8467" spans="3:4" x14ac:dyDescent="0.35">
      <c r="C8467" s="51"/>
      <c r="D8467" s="51"/>
    </row>
    <row r="8468" spans="3:4" x14ac:dyDescent="0.35">
      <c r="C8468" s="51"/>
      <c r="D8468" s="51"/>
    </row>
    <row r="8469" spans="3:4" x14ac:dyDescent="0.35">
      <c r="C8469" s="51"/>
      <c r="D8469" s="51"/>
    </row>
    <row r="8470" spans="3:4" x14ac:dyDescent="0.35">
      <c r="C8470" s="51"/>
      <c r="D8470" s="51"/>
    </row>
    <row r="8471" spans="3:4" x14ac:dyDescent="0.35">
      <c r="C8471" s="51"/>
      <c r="D8471" s="51"/>
    </row>
    <row r="8472" spans="3:4" x14ac:dyDescent="0.35">
      <c r="C8472" s="51"/>
      <c r="D8472" s="51"/>
    </row>
    <row r="8473" spans="3:4" x14ac:dyDescent="0.35">
      <c r="C8473" s="51"/>
      <c r="D8473" s="51"/>
    </row>
    <row r="8474" spans="3:4" x14ac:dyDescent="0.35">
      <c r="C8474" s="51"/>
      <c r="D8474" s="51"/>
    </row>
    <row r="8475" spans="3:4" x14ac:dyDescent="0.35">
      <c r="C8475" s="51"/>
      <c r="D8475" s="51"/>
    </row>
    <row r="8476" spans="3:4" x14ac:dyDescent="0.35">
      <c r="C8476" s="51"/>
      <c r="D8476" s="51"/>
    </row>
    <row r="8477" spans="3:4" x14ac:dyDescent="0.35">
      <c r="C8477" s="51"/>
      <c r="D8477" s="51"/>
    </row>
    <row r="8478" spans="3:4" x14ac:dyDescent="0.35">
      <c r="C8478" s="51"/>
      <c r="D8478" s="51"/>
    </row>
    <row r="8479" spans="3:4" x14ac:dyDescent="0.35">
      <c r="C8479" s="51"/>
      <c r="D8479" s="51"/>
    </row>
    <row r="8480" spans="3:4" x14ac:dyDescent="0.35">
      <c r="C8480" s="51"/>
      <c r="D8480" s="51"/>
    </row>
    <row r="8481" spans="3:4" x14ac:dyDescent="0.35">
      <c r="C8481" s="51"/>
      <c r="D8481" s="51"/>
    </row>
    <row r="8482" spans="3:4" x14ac:dyDescent="0.35">
      <c r="C8482" s="51"/>
      <c r="D8482" s="51"/>
    </row>
    <row r="8483" spans="3:4" x14ac:dyDescent="0.35">
      <c r="C8483" s="51"/>
      <c r="D8483" s="51"/>
    </row>
    <row r="8484" spans="3:4" x14ac:dyDescent="0.35">
      <c r="C8484" s="51"/>
      <c r="D8484" s="51"/>
    </row>
    <row r="8485" spans="3:4" x14ac:dyDescent="0.35">
      <c r="C8485" s="51"/>
      <c r="D8485" s="51"/>
    </row>
    <row r="8486" spans="3:4" x14ac:dyDescent="0.35">
      <c r="C8486" s="51"/>
      <c r="D8486" s="51"/>
    </row>
    <row r="8487" spans="3:4" x14ac:dyDescent="0.35">
      <c r="C8487" s="51"/>
      <c r="D8487" s="51"/>
    </row>
    <row r="8488" spans="3:4" x14ac:dyDescent="0.35">
      <c r="C8488" s="51"/>
      <c r="D8488" s="51"/>
    </row>
    <row r="8489" spans="3:4" x14ac:dyDescent="0.35">
      <c r="C8489" s="51"/>
      <c r="D8489" s="51"/>
    </row>
    <row r="8490" spans="3:4" x14ac:dyDescent="0.35">
      <c r="C8490" s="51"/>
      <c r="D8490" s="51"/>
    </row>
    <row r="8491" spans="3:4" x14ac:dyDescent="0.35">
      <c r="C8491" s="51"/>
      <c r="D8491" s="51"/>
    </row>
    <row r="8492" spans="3:4" x14ac:dyDescent="0.35">
      <c r="C8492" s="51"/>
      <c r="D8492" s="51"/>
    </row>
    <row r="8493" spans="3:4" x14ac:dyDescent="0.35">
      <c r="C8493" s="51"/>
      <c r="D8493" s="51"/>
    </row>
    <row r="8494" spans="3:4" x14ac:dyDescent="0.35">
      <c r="C8494" s="51"/>
      <c r="D8494" s="51"/>
    </row>
    <row r="8495" spans="3:4" x14ac:dyDescent="0.35">
      <c r="C8495" s="51"/>
      <c r="D8495" s="51"/>
    </row>
    <row r="8496" spans="3:4" x14ac:dyDescent="0.35">
      <c r="C8496" s="51"/>
      <c r="D8496" s="51"/>
    </row>
    <row r="8497" spans="3:4" x14ac:dyDescent="0.35">
      <c r="C8497" s="51"/>
      <c r="D8497" s="51"/>
    </row>
    <row r="8498" spans="3:4" x14ac:dyDescent="0.35">
      <c r="C8498" s="51"/>
      <c r="D8498" s="51"/>
    </row>
    <row r="8499" spans="3:4" x14ac:dyDescent="0.35">
      <c r="C8499" s="51"/>
      <c r="D8499" s="51"/>
    </row>
    <row r="8500" spans="3:4" x14ac:dyDescent="0.35">
      <c r="C8500" s="51"/>
      <c r="D8500" s="51"/>
    </row>
    <row r="8501" spans="3:4" x14ac:dyDescent="0.35">
      <c r="C8501" s="51"/>
      <c r="D8501" s="51"/>
    </row>
    <row r="8502" spans="3:4" x14ac:dyDescent="0.35">
      <c r="C8502" s="51"/>
      <c r="D8502" s="51"/>
    </row>
    <row r="8503" spans="3:4" x14ac:dyDescent="0.35">
      <c r="C8503" s="51"/>
      <c r="D8503" s="51"/>
    </row>
    <row r="8504" spans="3:4" x14ac:dyDescent="0.35">
      <c r="C8504" s="51"/>
      <c r="D8504" s="51"/>
    </row>
    <row r="8505" spans="3:4" x14ac:dyDescent="0.35">
      <c r="C8505" s="51"/>
      <c r="D8505" s="51"/>
    </row>
    <row r="8506" spans="3:4" x14ac:dyDescent="0.35">
      <c r="C8506" s="51"/>
      <c r="D8506" s="51"/>
    </row>
    <row r="8507" spans="3:4" x14ac:dyDescent="0.35">
      <c r="C8507" s="51"/>
      <c r="D8507" s="51"/>
    </row>
    <row r="8508" spans="3:4" x14ac:dyDescent="0.35">
      <c r="C8508" s="51"/>
      <c r="D8508" s="51"/>
    </row>
    <row r="8509" spans="3:4" x14ac:dyDescent="0.35">
      <c r="C8509" s="51"/>
      <c r="D8509" s="51"/>
    </row>
    <row r="8510" spans="3:4" x14ac:dyDescent="0.35">
      <c r="C8510" s="51"/>
      <c r="D8510" s="51"/>
    </row>
    <row r="8511" spans="3:4" x14ac:dyDescent="0.35">
      <c r="C8511" s="51"/>
      <c r="D8511" s="51"/>
    </row>
    <row r="8512" spans="3:4" x14ac:dyDescent="0.35">
      <c r="C8512" s="51"/>
      <c r="D8512" s="51"/>
    </row>
    <row r="8513" spans="3:4" x14ac:dyDescent="0.35">
      <c r="C8513" s="51"/>
      <c r="D8513" s="51"/>
    </row>
    <row r="8514" spans="3:4" x14ac:dyDescent="0.35">
      <c r="C8514" s="51"/>
      <c r="D8514" s="51"/>
    </row>
    <row r="8515" spans="3:4" x14ac:dyDescent="0.35">
      <c r="C8515" s="51"/>
      <c r="D8515" s="51"/>
    </row>
    <row r="8516" spans="3:4" x14ac:dyDescent="0.35">
      <c r="C8516" s="51"/>
      <c r="D8516" s="51"/>
    </row>
    <row r="8517" spans="3:4" x14ac:dyDescent="0.35">
      <c r="C8517" s="51"/>
      <c r="D8517" s="51"/>
    </row>
    <row r="8518" spans="3:4" x14ac:dyDescent="0.35">
      <c r="C8518" s="51"/>
      <c r="D8518" s="51"/>
    </row>
    <row r="8519" spans="3:4" x14ac:dyDescent="0.35">
      <c r="C8519" s="51"/>
      <c r="D8519" s="51"/>
    </row>
    <row r="8520" spans="3:4" x14ac:dyDescent="0.35">
      <c r="C8520" s="51"/>
      <c r="D8520" s="51"/>
    </row>
    <row r="8521" spans="3:4" x14ac:dyDescent="0.35">
      <c r="C8521" s="51"/>
      <c r="D8521" s="51"/>
    </row>
    <row r="8522" spans="3:4" x14ac:dyDescent="0.35">
      <c r="C8522" s="51"/>
      <c r="D8522" s="51"/>
    </row>
    <row r="8523" spans="3:4" x14ac:dyDescent="0.35">
      <c r="C8523" s="51"/>
      <c r="D8523" s="51"/>
    </row>
    <row r="8524" spans="3:4" x14ac:dyDescent="0.35">
      <c r="C8524" s="51"/>
      <c r="D8524" s="51"/>
    </row>
    <row r="8525" spans="3:4" x14ac:dyDescent="0.35">
      <c r="C8525" s="51"/>
      <c r="D8525" s="51"/>
    </row>
    <row r="8526" spans="3:4" x14ac:dyDescent="0.35">
      <c r="C8526" s="51"/>
      <c r="D8526" s="51"/>
    </row>
    <row r="8527" spans="3:4" x14ac:dyDescent="0.35">
      <c r="C8527" s="51"/>
      <c r="D8527" s="51"/>
    </row>
    <row r="8528" spans="3:4" x14ac:dyDescent="0.35">
      <c r="C8528" s="51"/>
      <c r="D8528" s="51"/>
    </row>
    <row r="8529" spans="3:4" x14ac:dyDescent="0.35">
      <c r="C8529" s="51"/>
      <c r="D8529" s="51"/>
    </row>
    <row r="8530" spans="3:4" x14ac:dyDescent="0.35">
      <c r="C8530" s="51"/>
      <c r="D8530" s="51"/>
    </row>
    <row r="8531" spans="3:4" x14ac:dyDescent="0.35">
      <c r="C8531" s="51"/>
      <c r="D8531" s="51"/>
    </row>
    <row r="8532" spans="3:4" x14ac:dyDescent="0.35">
      <c r="C8532" s="51"/>
      <c r="D8532" s="51"/>
    </row>
    <row r="8533" spans="3:4" x14ac:dyDescent="0.35">
      <c r="C8533" s="51"/>
      <c r="D8533" s="51"/>
    </row>
    <row r="8534" spans="3:4" x14ac:dyDescent="0.35">
      <c r="C8534" s="51"/>
      <c r="D8534" s="51"/>
    </row>
    <row r="8535" spans="3:4" x14ac:dyDescent="0.35">
      <c r="C8535" s="51"/>
      <c r="D8535" s="51"/>
    </row>
    <row r="8536" spans="3:4" x14ac:dyDescent="0.35">
      <c r="C8536" s="51"/>
      <c r="D8536" s="51"/>
    </row>
    <row r="8537" spans="3:4" x14ac:dyDescent="0.35">
      <c r="C8537" s="51"/>
      <c r="D8537" s="51"/>
    </row>
    <row r="8538" spans="3:4" x14ac:dyDescent="0.35">
      <c r="C8538" s="51"/>
      <c r="D8538" s="51"/>
    </row>
    <row r="8539" spans="3:4" x14ac:dyDescent="0.35">
      <c r="C8539" s="51"/>
      <c r="D8539" s="51"/>
    </row>
    <row r="8540" spans="3:4" x14ac:dyDescent="0.35">
      <c r="C8540" s="51"/>
      <c r="D8540" s="51"/>
    </row>
    <row r="8541" spans="3:4" x14ac:dyDescent="0.35">
      <c r="C8541" s="51"/>
      <c r="D8541" s="51"/>
    </row>
    <row r="8542" spans="3:4" x14ac:dyDescent="0.35">
      <c r="C8542" s="51"/>
      <c r="D8542" s="51"/>
    </row>
    <row r="8543" spans="3:4" x14ac:dyDescent="0.35">
      <c r="C8543" s="51"/>
      <c r="D8543" s="51"/>
    </row>
    <row r="8544" spans="3:4" x14ac:dyDescent="0.35">
      <c r="C8544" s="51"/>
      <c r="D8544" s="51"/>
    </row>
    <row r="8545" spans="3:4" x14ac:dyDescent="0.35">
      <c r="C8545" s="51"/>
      <c r="D8545" s="51"/>
    </row>
    <row r="8546" spans="3:4" x14ac:dyDescent="0.35">
      <c r="C8546" s="51"/>
      <c r="D8546" s="51"/>
    </row>
    <row r="8547" spans="3:4" x14ac:dyDescent="0.35">
      <c r="C8547" s="51"/>
      <c r="D8547" s="51"/>
    </row>
    <row r="8548" spans="3:4" x14ac:dyDescent="0.35">
      <c r="C8548" s="51"/>
      <c r="D8548" s="51"/>
    </row>
    <row r="8549" spans="3:4" x14ac:dyDescent="0.35">
      <c r="C8549" s="51"/>
      <c r="D8549" s="51"/>
    </row>
    <row r="8550" spans="3:4" x14ac:dyDescent="0.35">
      <c r="C8550" s="51"/>
      <c r="D8550" s="51"/>
    </row>
    <row r="8551" spans="3:4" x14ac:dyDescent="0.35">
      <c r="C8551" s="51"/>
      <c r="D8551" s="51"/>
    </row>
    <row r="8552" spans="3:4" x14ac:dyDescent="0.35">
      <c r="C8552" s="51"/>
      <c r="D8552" s="51"/>
    </row>
    <row r="8553" spans="3:4" x14ac:dyDescent="0.35">
      <c r="C8553" s="51"/>
      <c r="D8553" s="51"/>
    </row>
    <row r="8554" spans="3:4" x14ac:dyDescent="0.35">
      <c r="C8554" s="51"/>
      <c r="D8554" s="51"/>
    </row>
    <row r="8555" spans="3:4" x14ac:dyDescent="0.35">
      <c r="C8555" s="51"/>
      <c r="D8555" s="51"/>
    </row>
    <row r="8556" spans="3:4" x14ac:dyDescent="0.35">
      <c r="C8556" s="51"/>
      <c r="D8556" s="51"/>
    </row>
    <row r="8557" spans="3:4" x14ac:dyDescent="0.35">
      <c r="C8557" s="51"/>
      <c r="D8557" s="51"/>
    </row>
    <row r="8558" spans="3:4" x14ac:dyDescent="0.35">
      <c r="C8558" s="51"/>
      <c r="D8558" s="51"/>
    </row>
    <row r="8559" spans="3:4" x14ac:dyDescent="0.35">
      <c r="C8559" s="51"/>
      <c r="D8559" s="51"/>
    </row>
    <row r="8560" spans="3:4" x14ac:dyDescent="0.35">
      <c r="C8560" s="51"/>
      <c r="D8560" s="51"/>
    </row>
    <row r="8561" spans="3:4" x14ac:dyDescent="0.35">
      <c r="C8561" s="51"/>
      <c r="D8561" s="51"/>
    </row>
    <row r="8562" spans="3:4" x14ac:dyDescent="0.35">
      <c r="C8562" s="51"/>
      <c r="D8562" s="51"/>
    </row>
    <row r="8563" spans="3:4" x14ac:dyDescent="0.35">
      <c r="C8563" s="51"/>
      <c r="D8563" s="51"/>
    </row>
    <row r="8564" spans="3:4" x14ac:dyDescent="0.35">
      <c r="C8564" s="51"/>
      <c r="D8564" s="51"/>
    </row>
    <row r="8565" spans="3:4" x14ac:dyDescent="0.35">
      <c r="C8565" s="51"/>
      <c r="D8565" s="51"/>
    </row>
    <row r="8566" spans="3:4" x14ac:dyDescent="0.35">
      <c r="C8566" s="51"/>
      <c r="D8566" s="51"/>
    </row>
    <row r="8567" spans="3:4" x14ac:dyDescent="0.35">
      <c r="C8567" s="51"/>
      <c r="D8567" s="51"/>
    </row>
    <row r="8568" spans="3:4" x14ac:dyDescent="0.35">
      <c r="C8568" s="51"/>
      <c r="D8568" s="51"/>
    </row>
    <row r="8569" spans="3:4" x14ac:dyDescent="0.35">
      <c r="C8569" s="51"/>
      <c r="D8569" s="51"/>
    </row>
    <row r="8570" spans="3:4" x14ac:dyDescent="0.35">
      <c r="C8570" s="51"/>
      <c r="D8570" s="51"/>
    </row>
    <row r="8571" spans="3:4" x14ac:dyDescent="0.35">
      <c r="C8571" s="51"/>
      <c r="D8571" s="51"/>
    </row>
    <row r="8572" spans="3:4" x14ac:dyDescent="0.35">
      <c r="C8572" s="51"/>
      <c r="D8572" s="51"/>
    </row>
    <row r="8573" spans="3:4" x14ac:dyDescent="0.35">
      <c r="C8573" s="51"/>
      <c r="D8573" s="51"/>
    </row>
    <row r="8574" spans="3:4" x14ac:dyDescent="0.35">
      <c r="C8574" s="51"/>
      <c r="D8574" s="51"/>
    </row>
    <row r="8575" spans="3:4" x14ac:dyDescent="0.35">
      <c r="C8575" s="51"/>
      <c r="D8575" s="51"/>
    </row>
    <row r="8576" spans="3:4" x14ac:dyDescent="0.35">
      <c r="C8576" s="51"/>
      <c r="D8576" s="51"/>
    </row>
    <row r="8577" spans="3:4" x14ac:dyDescent="0.35">
      <c r="C8577" s="51"/>
      <c r="D8577" s="51"/>
    </row>
    <row r="8578" spans="3:4" x14ac:dyDescent="0.35">
      <c r="C8578" s="51"/>
      <c r="D8578" s="51"/>
    </row>
    <row r="8579" spans="3:4" x14ac:dyDescent="0.35">
      <c r="C8579" s="51"/>
      <c r="D8579" s="51"/>
    </row>
    <row r="8580" spans="3:4" x14ac:dyDescent="0.35">
      <c r="C8580" s="51"/>
      <c r="D8580" s="51"/>
    </row>
    <row r="8581" spans="3:4" x14ac:dyDescent="0.35">
      <c r="C8581" s="51"/>
      <c r="D8581" s="51"/>
    </row>
    <row r="8582" spans="3:4" x14ac:dyDescent="0.35">
      <c r="C8582" s="51"/>
      <c r="D8582" s="51"/>
    </row>
    <row r="8583" spans="3:4" x14ac:dyDescent="0.35">
      <c r="C8583" s="51"/>
      <c r="D8583" s="51"/>
    </row>
    <row r="8584" spans="3:4" x14ac:dyDescent="0.35">
      <c r="C8584" s="51"/>
      <c r="D8584" s="51"/>
    </row>
    <row r="8585" spans="3:4" x14ac:dyDescent="0.35">
      <c r="C8585" s="51"/>
      <c r="D8585" s="51"/>
    </row>
    <row r="8586" spans="3:4" x14ac:dyDescent="0.35">
      <c r="C8586" s="51"/>
      <c r="D8586" s="51"/>
    </row>
    <row r="8587" spans="3:4" x14ac:dyDescent="0.35">
      <c r="C8587" s="51"/>
      <c r="D8587" s="51"/>
    </row>
    <row r="8588" spans="3:4" x14ac:dyDescent="0.35">
      <c r="C8588" s="51"/>
      <c r="D8588" s="51"/>
    </row>
    <row r="8589" spans="3:4" x14ac:dyDescent="0.35">
      <c r="C8589" s="51"/>
      <c r="D8589" s="51"/>
    </row>
    <row r="8590" spans="3:4" x14ac:dyDescent="0.35">
      <c r="C8590" s="51"/>
      <c r="D8590" s="51"/>
    </row>
    <row r="8591" spans="3:4" x14ac:dyDescent="0.35">
      <c r="C8591" s="51"/>
      <c r="D8591" s="51"/>
    </row>
    <row r="8592" spans="3:4" x14ac:dyDescent="0.35">
      <c r="C8592" s="51"/>
      <c r="D8592" s="51"/>
    </row>
    <row r="8593" spans="3:4" x14ac:dyDescent="0.35">
      <c r="C8593" s="51"/>
      <c r="D8593" s="51"/>
    </row>
    <row r="8594" spans="3:4" x14ac:dyDescent="0.35">
      <c r="C8594" s="51"/>
      <c r="D8594" s="51"/>
    </row>
    <row r="8595" spans="3:4" x14ac:dyDescent="0.35">
      <c r="C8595" s="51"/>
      <c r="D8595" s="51"/>
    </row>
    <row r="8596" spans="3:4" x14ac:dyDescent="0.35">
      <c r="C8596" s="51"/>
      <c r="D8596" s="51"/>
    </row>
    <row r="8597" spans="3:4" x14ac:dyDescent="0.35">
      <c r="C8597" s="51"/>
      <c r="D8597" s="51"/>
    </row>
    <row r="8598" spans="3:4" x14ac:dyDescent="0.35">
      <c r="C8598" s="51"/>
      <c r="D8598" s="51"/>
    </row>
    <row r="8599" spans="3:4" x14ac:dyDescent="0.35">
      <c r="C8599" s="51"/>
      <c r="D8599" s="51"/>
    </row>
    <row r="8600" spans="3:4" x14ac:dyDescent="0.35">
      <c r="C8600" s="51"/>
      <c r="D8600" s="51"/>
    </row>
    <row r="8601" spans="3:4" x14ac:dyDescent="0.35">
      <c r="C8601" s="51"/>
      <c r="D8601" s="51"/>
    </row>
    <row r="8602" spans="3:4" x14ac:dyDescent="0.35">
      <c r="C8602" s="51"/>
      <c r="D8602" s="51"/>
    </row>
    <row r="8603" spans="3:4" x14ac:dyDescent="0.35">
      <c r="C8603" s="51"/>
      <c r="D8603" s="51"/>
    </row>
    <row r="8604" spans="3:4" x14ac:dyDescent="0.35">
      <c r="C8604" s="51"/>
      <c r="D8604" s="51"/>
    </row>
    <row r="8605" spans="3:4" x14ac:dyDescent="0.35">
      <c r="C8605" s="51"/>
      <c r="D8605" s="51"/>
    </row>
    <row r="8606" spans="3:4" x14ac:dyDescent="0.35">
      <c r="C8606" s="51"/>
      <c r="D8606" s="51"/>
    </row>
    <row r="8607" spans="3:4" x14ac:dyDescent="0.35">
      <c r="C8607" s="51"/>
      <c r="D8607" s="51"/>
    </row>
    <row r="8608" spans="3:4" x14ac:dyDescent="0.35">
      <c r="C8608" s="51"/>
      <c r="D8608" s="51"/>
    </row>
    <row r="8609" spans="3:4" x14ac:dyDescent="0.35">
      <c r="C8609" s="51"/>
      <c r="D8609" s="51"/>
    </row>
    <row r="8610" spans="3:4" x14ac:dyDescent="0.35">
      <c r="C8610" s="51"/>
      <c r="D8610" s="51"/>
    </row>
    <row r="8611" spans="3:4" x14ac:dyDescent="0.35">
      <c r="C8611" s="51"/>
      <c r="D8611" s="51"/>
    </row>
    <row r="8612" spans="3:4" x14ac:dyDescent="0.35">
      <c r="C8612" s="51"/>
      <c r="D8612" s="51"/>
    </row>
    <row r="8613" spans="3:4" x14ac:dyDescent="0.35">
      <c r="C8613" s="51"/>
      <c r="D8613" s="51"/>
    </row>
    <row r="8614" spans="3:4" x14ac:dyDescent="0.35">
      <c r="C8614" s="51"/>
      <c r="D8614" s="51"/>
    </row>
    <row r="8615" spans="3:4" x14ac:dyDescent="0.35">
      <c r="C8615" s="51"/>
      <c r="D8615" s="51"/>
    </row>
    <row r="8616" spans="3:4" x14ac:dyDescent="0.35">
      <c r="C8616" s="51"/>
      <c r="D8616" s="51"/>
    </row>
    <row r="8617" spans="3:4" x14ac:dyDescent="0.35">
      <c r="C8617" s="51"/>
      <c r="D8617" s="51"/>
    </row>
    <row r="8618" spans="3:4" x14ac:dyDescent="0.35">
      <c r="C8618" s="51"/>
      <c r="D8618" s="51"/>
    </row>
    <row r="8619" spans="3:4" x14ac:dyDescent="0.35">
      <c r="C8619" s="51"/>
      <c r="D8619" s="51"/>
    </row>
    <row r="8620" spans="3:4" x14ac:dyDescent="0.35">
      <c r="C8620" s="51"/>
      <c r="D8620" s="51"/>
    </row>
    <row r="8621" spans="3:4" x14ac:dyDescent="0.35">
      <c r="C8621" s="51"/>
      <c r="D8621" s="51"/>
    </row>
    <row r="8622" spans="3:4" x14ac:dyDescent="0.35">
      <c r="C8622" s="51"/>
      <c r="D8622" s="51"/>
    </row>
    <row r="8623" spans="3:4" x14ac:dyDescent="0.35">
      <c r="C8623" s="51"/>
      <c r="D8623" s="51"/>
    </row>
    <row r="8624" spans="3:4" x14ac:dyDescent="0.35">
      <c r="C8624" s="51"/>
      <c r="D8624" s="51"/>
    </row>
    <row r="8625" spans="3:4" x14ac:dyDescent="0.35">
      <c r="C8625" s="51"/>
      <c r="D8625" s="51"/>
    </row>
    <row r="8626" spans="3:4" x14ac:dyDescent="0.35">
      <c r="C8626" s="51"/>
      <c r="D8626" s="51"/>
    </row>
    <row r="8627" spans="3:4" x14ac:dyDescent="0.35">
      <c r="C8627" s="51"/>
      <c r="D8627" s="51"/>
    </row>
    <row r="8628" spans="3:4" x14ac:dyDescent="0.35">
      <c r="C8628" s="51"/>
      <c r="D8628" s="51"/>
    </row>
    <row r="8629" spans="3:4" x14ac:dyDescent="0.35">
      <c r="C8629" s="51"/>
      <c r="D8629" s="51"/>
    </row>
    <row r="8630" spans="3:4" x14ac:dyDescent="0.35">
      <c r="C8630" s="51"/>
      <c r="D8630" s="51"/>
    </row>
    <row r="8631" spans="3:4" x14ac:dyDescent="0.35">
      <c r="C8631" s="51"/>
      <c r="D8631" s="51"/>
    </row>
    <row r="8632" spans="3:4" x14ac:dyDescent="0.35">
      <c r="C8632" s="51"/>
      <c r="D8632" s="51"/>
    </row>
    <row r="8633" spans="3:4" x14ac:dyDescent="0.35">
      <c r="C8633" s="51"/>
      <c r="D8633" s="51"/>
    </row>
    <row r="8634" spans="3:4" x14ac:dyDescent="0.35">
      <c r="C8634" s="51"/>
      <c r="D8634" s="51"/>
    </row>
    <row r="8635" spans="3:4" x14ac:dyDescent="0.35">
      <c r="C8635" s="51"/>
      <c r="D8635" s="51"/>
    </row>
    <row r="8636" spans="3:4" x14ac:dyDescent="0.35">
      <c r="C8636" s="51"/>
      <c r="D8636" s="51"/>
    </row>
    <row r="8637" spans="3:4" x14ac:dyDescent="0.35">
      <c r="C8637" s="51"/>
      <c r="D8637" s="51"/>
    </row>
    <row r="8638" spans="3:4" x14ac:dyDescent="0.35">
      <c r="C8638" s="51"/>
      <c r="D8638" s="51"/>
    </row>
    <row r="8639" spans="3:4" x14ac:dyDescent="0.35">
      <c r="C8639" s="51"/>
      <c r="D8639" s="51"/>
    </row>
    <row r="8640" spans="3:4" x14ac:dyDescent="0.35">
      <c r="C8640" s="51"/>
      <c r="D8640" s="51"/>
    </row>
    <row r="8641" spans="3:4" x14ac:dyDescent="0.35">
      <c r="C8641" s="51"/>
      <c r="D8641" s="51"/>
    </row>
    <row r="8642" spans="3:4" x14ac:dyDescent="0.35">
      <c r="C8642" s="51"/>
      <c r="D8642" s="51"/>
    </row>
    <row r="8643" spans="3:4" x14ac:dyDescent="0.35">
      <c r="C8643" s="51"/>
      <c r="D8643" s="51"/>
    </row>
    <row r="8644" spans="3:4" x14ac:dyDescent="0.35">
      <c r="C8644" s="51"/>
      <c r="D8644" s="51"/>
    </row>
    <row r="8645" spans="3:4" x14ac:dyDescent="0.35">
      <c r="C8645" s="51"/>
      <c r="D8645" s="51"/>
    </row>
    <row r="8646" spans="3:4" x14ac:dyDescent="0.35">
      <c r="C8646" s="51"/>
      <c r="D8646" s="51"/>
    </row>
    <row r="8647" spans="3:4" x14ac:dyDescent="0.35">
      <c r="C8647" s="51"/>
      <c r="D8647" s="51"/>
    </row>
    <row r="8648" spans="3:4" x14ac:dyDescent="0.35">
      <c r="C8648" s="51"/>
      <c r="D8648" s="51"/>
    </row>
    <row r="8649" spans="3:4" x14ac:dyDescent="0.35">
      <c r="C8649" s="51"/>
      <c r="D8649" s="51"/>
    </row>
    <row r="8650" spans="3:4" x14ac:dyDescent="0.35">
      <c r="C8650" s="51"/>
      <c r="D8650" s="51"/>
    </row>
    <row r="8651" spans="3:4" x14ac:dyDescent="0.35">
      <c r="C8651" s="51"/>
      <c r="D8651" s="51"/>
    </row>
    <row r="8652" spans="3:4" x14ac:dyDescent="0.35">
      <c r="C8652" s="51"/>
      <c r="D8652" s="51"/>
    </row>
    <row r="8653" spans="3:4" x14ac:dyDescent="0.35">
      <c r="C8653" s="51"/>
      <c r="D8653" s="51"/>
    </row>
    <row r="8654" spans="3:4" x14ac:dyDescent="0.35">
      <c r="C8654" s="51"/>
      <c r="D8654" s="51"/>
    </row>
    <row r="8655" spans="3:4" x14ac:dyDescent="0.35">
      <c r="C8655" s="51"/>
      <c r="D8655" s="51"/>
    </row>
    <row r="8656" spans="3:4" x14ac:dyDescent="0.35">
      <c r="C8656" s="51"/>
      <c r="D8656" s="51"/>
    </row>
    <row r="8657" spans="3:4" x14ac:dyDescent="0.35">
      <c r="C8657" s="51"/>
      <c r="D8657" s="51"/>
    </row>
    <row r="8658" spans="3:4" x14ac:dyDescent="0.35">
      <c r="C8658" s="51"/>
      <c r="D8658" s="51"/>
    </row>
    <row r="8659" spans="3:4" x14ac:dyDescent="0.35">
      <c r="C8659" s="51"/>
      <c r="D8659" s="51"/>
    </row>
    <row r="8660" spans="3:4" x14ac:dyDescent="0.35">
      <c r="C8660" s="51"/>
      <c r="D8660" s="51"/>
    </row>
    <row r="8661" spans="3:4" x14ac:dyDescent="0.35">
      <c r="C8661" s="51"/>
      <c r="D8661" s="51"/>
    </row>
    <row r="8662" spans="3:4" x14ac:dyDescent="0.35">
      <c r="C8662" s="51"/>
      <c r="D8662" s="51"/>
    </row>
    <row r="8663" spans="3:4" x14ac:dyDescent="0.35">
      <c r="C8663" s="51"/>
      <c r="D8663" s="51"/>
    </row>
    <row r="8664" spans="3:4" x14ac:dyDescent="0.35">
      <c r="C8664" s="51"/>
      <c r="D8664" s="51"/>
    </row>
    <row r="8665" spans="3:4" x14ac:dyDescent="0.35">
      <c r="C8665" s="51"/>
      <c r="D8665" s="51"/>
    </row>
    <row r="8666" spans="3:4" x14ac:dyDescent="0.35">
      <c r="C8666" s="51"/>
      <c r="D8666" s="51"/>
    </row>
    <row r="8667" spans="3:4" x14ac:dyDescent="0.35">
      <c r="C8667" s="51"/>
      <c r="D8667" s="51"/>
    </row>
    <row r="8668" spans="3:4" x14ac:dyDescent="0.35">
      <c r="C8668" s="51"/>
      <c r="D8668" s="51"/>
    </row>
    <row r="8669" spans="3:4" x14ac:dyDescent="0.35">
      <c r="C8669" s="51"/>
      <c r="D8669" s="51"/>
    </row>
    <row r="8670" spans="3:4" x14ac:dyDescent="0.35">
      <c r="C8670" s="51"/>
      <c r="D8670" s="51"/>
    </row>
    <row r="8671" spans="3:4" x14ac:dyDescent="0.35">
      <c r="C8671" s="51"/>
      <c r="D8671" s="51"/>
    </row>
    <row r="8672" spans="3:4" x14ac:dyDescent="0.35">
      <c r="C8672" s="51"/>
      <c r="D8672" s="51"/>
    </row>
    <row r="8673" spans="3:4" x14ac:dyDescent="0.35">
      <c r="C8673" s="51"/>
      <c r="D8673" s="51"/>
    </row>
    <row r="8674" spans="3:4" x14ac:dyDescent="0.35">
      <c r="C8674" s="51"/>
      <c r="D8674" s="51"/>
    </row>
    <row r="8675" spans="3:4" x14ac:dyDescent="0.35">
      <c r="C8675" s="51"/>
      <c r="D8675" s="51"/>
    </row>
    <row r="8676" spans="3:4" x14ac:dyDescent="0.35">
      <c r="C8676" s="51"/>
      <c r="D8676" s="51"/>
    </row>
    <row r="8677" spans="3:4" x14ac:dyDescent="0.35">
      <c r="C8677" s="51"/>
      <c r="D8677" s="51"/>
    </row>
    <row r="8678" spans="3:4" x14ac:dyDescent="0.35">
      <c r="C8678" s="51"/>
      <c r="D8678" s="51"/>
    </row>
    <row r="8679" spans="3:4" x14ac:dyDescent="0.35">
      <c r="C8679" s="51"/>
      <c r="D8679" s="51"/>
    </row>
    <row r="8680" spans="3:4" x14ac:dyDescent="0.35">
      <c r="C8680" s="51"/>
      <c r="D8680" s="51"/>
    </row>
    <row r="8681" spans="3:4" x14ac:dyDescent="0.35">
      <c r="C8681" s="51"/>
      <c r="D8681" s="51"/>
    </row>
    <row r="8682" spans="3:4" x14ac:dyDescent="0.35">
      <c r="C8682" s="51"/>
      <c r="D8682" s="51"/>
    </row>
    <row r="8683" spans="3:4" x14ac:dyDescent="0.35">
      <c r="C8683" s="51"/>
      <c r="D8683" s="51"/>
    </row>
    <row r="8684" spans="3:4" x14ac:dyDescent="0.35">
      <c r="C8684" s="51"/>
      <c r="D8684" s="51"/>
    </row>
    <row r="8685" spans="3:4" x14ac:dyDescent="0.35">
      <c r="C8685" s="51"/>
      <c r="D8685" s="51"/>
    </row>
    <row r="8686" spans="3:4" x14ac:dyDescent="0.35">
      <c r="C8686" s="51"/>
      <c r="D8686" s="51"/>
    </row>
    <row r="8687" spans="3:4" x14ac:dyDescent="0.35">
      <c r="C8687" s="51"/>
      <c r="D8687" s="51"/>
    </row>
    <row r="8688" spans="3:4" x14ac:dyDescent="0.35">
      <c r="C8688" s="51"/>
      <c r="D8688" s="51"/>
    </row>
    <row r="8689" spans="3:4" x14ac:dyDescent="0.35">
      <c r="C8689" s="51"/>
      <c r="D8689" s="51"/>
    </row>
    <row r="8690" spans="3:4" x14ac:dyDescent="0.35">
      <c r="C8690" s="51"/>
      <c r="D8690" s="51"/>
    </row>
    <row r="8691" spans="3:4" x14ac:dyDescent="0.35">
      <c r="C8691" s="51"/>
      <c r="D8691" s="51"/>
    </row>
    <row r="8692" spans="3:4" x14ac:dyDescent="0.35">
      <c r="C8692" s="51"/>
      <c r="D8692" s="51"/>
    </row>
    <row r="8693" spans="3:4" x14ac:dyDescent="0.35">
      <c r="C8693" s="51"/>
      <c r="D8693" s="51"/>
    </row>
    <row r="8694" spans="3:4" x14ac:dyDescent="0.35">
      <c r="C8694" s="51"/>
      <c r="D8694" s="51"/>
    </row>
    <row r="8695" spans="3:4" x14ac:dyDescent="0.35">
      <c r="C8695" s="51"/>
      <c r="D8695" s="51"/>
    </row>
    <row r="8696" spans="3:4" x14ac:dyDescent="0.35">
      <c r="C8696" s="51"/>
      <c r="D8696" s="51"/>
    </row>
    <row r="8697" spans="3:4" x14ac:dyDescent="0.35">
      <c r="C8697" s="51"/>
      <c r="D8697" s="51"/>
    </row>
    <row r="8698" spans="3:4" x14ac:dyDescent="0.35">
      <c r="C8698" s="51"/>
      <c r="D8698" s="51"/>
    </row>
    <row r="8699" spans="3:4" x14ac:dyDescent="0.35">
      <c r="C8699" s="51"/>
      <c r="D8699" s="51"/>
    </row>
    <row r="8700" spans="3:4" x14ac:dyDescent="0.35">
      <c r="C8700" s="51"/>
      <c r="D8700" s="51"/>
    </row>
    <row r="8701" spans="3:4" x14ac:dyDescent="0.35">
      <c r="C8701" s="51"/>
      <c r="D8701" s="51"/>
    </row>
    <row r="8702" spans="3:4" x14ac:dyDescent="0.35">
      <c r="C8702" s="51"/>
      <c r="D8702" s="51"/>
    </row>
    <row r="8703" spans="3:4" x14ac:dyDescent="0.35">
      <c r="C8703" s="51"/>
      <c r="D8703" s="51"/>
    </row>
    <row r="8704" spans="3:4" x14ac:dyDescent="0.35">
      <c r="C8704" s="51"/>
      <c r="D8704" s="51"/>
    </row>
    <row r="8705" spans="3:4" x14ac:dyDescent="0.35">
      <c r="C8705" s="51"/>
      <c r="D8705" s="51"/>
    </row>
    <row r="8706" spans="3:4" x14ac:dyDescent="0.35">
      <c r="C8706" s="51"/>
      <c r="D8706" s="51"/>
    </row>
    <row r="8707" spans="3:4" x14ac:dyDescent="0.35">
      <c r="C8707" s="51"/>
      <c r="D8707" s="51"/>
    </row>
    <row r="8708" spans="3:4" x14ac:dyDescent="0.35">
      <c r="C8708" s="51"/>
      <c r="D8708" s="51"/>
    </row>
    <row r="8709" spans="3:4" x14ac:dyDescent="0.35">
      <c r="C8709" s="51"/>
      <c r="D8709" s="51"/>
    </row>
    <row r="8710" spans="3:4" x14ac:dyDescent="0.35">
      <c r="C8710" s="51"/>
      <c r="D8710" s="51"/>
    </row>
    <row r="8711" spans="3:4" x14ac:dyDescent="0.35">
      <c r="C8711" s="51"/>
      <c r="D8711" s="51"/>
    </row>
    <row r="8712" spans="3:4" x14ac:dyDescent="0.35">
      <c r="C8712" s="51"/>
      <c r="D8712" s="51"/>
    </row>
    <row r="8713" spans="3:4" x14ac:dyDescent="0.35">
      <c r="C8713" s="51"/>
      <c r="D8713" s="51"/>
    </row>
    <row r="8714" spans="3:4" x14ac:dyDescent="0.35">
      <c r="C8714" s="51"/>
      <c r="D8714" s="51"/>
    </row>
    <row r="8715" spans="3:4" x14ac:dyDescent="0.35">
      <c r="C8715" s="51"/>
      <c r="D8715" s="51"/>
    </row>
    <row r="8716" spans="3:4" x14ac:dyDescent="0.35">
      <c r="C8716" s="51"/>
      <c r="D8716" s="51"/>
    </row>
    <row r="8717" spans="3:4" x14ac:dyDescent="0.35">
      <c r="C8717" s="51"/>
      <c r="D8717" s="51"/>
    </row>
    <row r="8718" spans="3:4" x14ac:dyDescent="0.35">
      <c r="C8718" s="51"/>
      <c r="D8718" s="51"/>
    </row>
    <row r="8719" spans="3:4" x14ac:dyDescent="0.35">
      <c r="C8719" s="51"/>
      <c r="D8719" s="51"/>
    </row>
    <row r="8720" spans="3:4" x14ac:dyDescent="0.35">
      <c r="C8720" s="51"/>
      <c r="D8720" s="51"/>
    </row>
    <row r="8721" spans="3:4" x14ac:dyDescent="0.35">
      <c r="C8721" s="51"/>
      <c r="D8721" s="51"/>
    </row>
    <row r="8722" spans="3:4" x14ac:dyDescent="0.35">
      <c r="C8722" s="51"/>
      <c r="D8722" s="51"/>
    </row>
    <row r="8723" spans="3:4" x14ac:dyDescent="0.35">
      <c r="C8723" s="51"/>
      <c r="D8723" s="51"/>
    </row>
    <row r="8724" spans="3:4" x14ac:dyDescent="0.35">
      <c r="C8724" s="51"/>
      <c r="D8724" s="51"/>
    </row>
    <row r="8725" spans="3:4" x14ac:dyDescent="0.35">
      <c r="C8725" s="51"/>
      <c r="D8725" s="51"/>
    </row>
    <row r="8726" spans="3:4" x14ac:dyDescent="0.35">
      <c r="C8726" s="51"/>
      <c r="D8726" s="51"/>
    </row>
    <row r="8727" spans="3:4" x14ac:dyDescent="0.35">
      <c r="C8727" s="51"/>
      <c r="D8727" s="51"/>
    </row>
    <row r="8728" spans="3:4" x14ac:dyDescent="0.35">
      <c r="C8728" s="51"/>
      <c r="D8728" s="51"/>
    </row>
    <row r="8729" spans="3:4" x14ac:dyDescent="0.35">
      <c r="C8729" s="51"/>
      <c r="D8729" s="51"/>
    </row>
    <row r="8730" spans="3:4" x14ac:dyDescent="0.35">
      <c r="C8730" s="51"/>
      <c r="D8730" s="51"/>
    </row>
    <row r="8731" spans="3:4" x14ac:dyDescent="0.35">
      <c r="C8731" s="51"/>
      <c r="D8731" s="51"/>
    </row>
    <row r="8732" spans="3:4" x14ac:dyDescent="0.35">
      <c r="C8732" s="51"/>
      <c r="D8732" s="51"/>
    </row>
    <row r="8733" spans="3:4" x14ac:dyDescent="0.35">
      <c r="C8733" s="51"/>
      <c r="D8733" s="51"/>
    </row>
    <row r="8734" spans="3:4" x14ac:dyDescent="0.35">
      <c r="C8734" s="51"/>
      <c r="D8734" s="51"/>
    </row>
    <row r="8735" spans="3:4" x14ac:dyDescent="0.35">
      <c r="C8735" s="51"/>
      <c r="D8735" s="51"/>
    </row>
    <row r="8736" spans="3:4" x14ac:dyDescent="0.35">
      <c r="C8736" s="51"/>
      <c r="D8736" s="51"/>
    </row>
    <row r="8737" spans="3:4" x14ac:dyDescent="0.35">
      <c r="C8737" s="51"/>
      <c r="D8737" s="51"/>
    </row>
    <row r="8738" spans="3:4" x14ac:dyDescent="0.35">
      <c r="C8738" s="51"/>
      <c r="D8738" s="51"/>
    </row>
    <row r="8739" spans="3:4" x14ac:dyDescent="0.35">
      <c r="C8739" s="51"/>
      <c r="D8739" s="51"/>
    </row>
    <row r="8740" spans="3:4" x14ac:dyDescent="0.35">
      <c r="C8740" s="51"/>
      <c r="D8740" s="51"/>
    </row>
    <row r="8741" spans="3:4" x14ac:dyDescent="0.35">
      <c r="C8741" s="51"/>
      <c r="D8741" s="51"/>
    </row>
    <row r="8742" spans="3:4" x14ac:dyDescent="0.35">
      <c r="C8742" s="51"/>
      <c r="D8742" s="51"/>
    </row>
    <row r="8743" spans="3:4" x14ac:dyDescent="0.35">
      <c r="C8743" s="51"/>
      <c r="D8743" s="51"/>
    </row>
    <row r="8744" spans="3:4" x14ac:dyDescent="0.35">
      <c r="C8744" s="51"/>
      <c r="D8744" s="51"/>
    </row>
    <row r="8745" spans="3:4" x14ac:dyDescent="0.35">
      <c r="C8745" s="51"/>
      <c r="D8745" s="51"/>
    </row>
    <row r="8746" spans="3:4" x14ac:dyDescent="0.35">
      <c r="C8746" s="51"/>
      <c r="D8746" s="51"/>
    </row>
    <row r="8747" spans="3:4" x14ac:dyDescent="0.35">
      <c r="C8747" s="51"/>
      <c r="D8747" s="51"/>
    </row>
    <row r="8748" spans="3:4" x14ac:dyDescent="0.35">
      <c r="C8748" s="51"/>
      <c r="D8748" s="51"/>
    </row>
    <row r="8749" spans="3:4" x14ac:dyDescent="0.35">
      <c r="C8749" s="51"/>
      <c r="D8749" s="51"/>
    </row>
    <row r="8750" spans="3:4" x14ac:dyDescent="0.35">
      <c r="C8750" s="51"/>
      <c r="D8750" s="51"/>
    </row>
    <row r="8751" spans="3:4" x14ac:dyDescent="0.35">
      <c r="C8751" s="51"/>
      <c r="D8751" s="51"/>
    </row>
    <row r="8752" spans="3:4" x14ac:dyDescent="0.35">
      <c r="C8752" s="51"/>
      <c r="D8752" s="51"/>
    </row>
    <row r="8753" spans="3:4" x14ac:dyDescent="0.35">
      <c r="C8753" s="51"/>
      <c r="D8753" s="51"/>
    </row>
    <row r="8754" spans="3:4" x14ac:dyDescent="0.35">
      <c r="C8754" s="51"/>
      <c r="D8754" s="51"/>
    </row>
    <row r="8755" spans="3:4" x14ac:dyDescent="0.35">
      <c r="C8755" s="51"/>
      <c r="D8755" s="51"/>
    </row>
    <row r="8756" spans="3:4" x14ac:dyDescent="0.35">
      <c r="C8756" s="51"/>
      <c r="D8756" s="51"/>
    </row>
    <row r="8757" spans="3:4" x14ac:dyDescent="0.35">
      <c r="C8757" s="51"/>
      <c r="D8757" s="51"/>
    </row>
    <row r="8758" spans="3:4" x14ac:dyDescent="0.35">
      <c r="C8758" s="51"/>
      <c r="D8758" s="51"/>
    </row>
    <row r="8759" spans="3:4" x14ac:dyDescent="0.35">
      <c r="C8759" s="51"/>
      <c r="D8759" s="51"/>
    </row>
    <row r="8760" spans="3:4" x14ac:dyDescent="0.35">
      <c r="C8760" s="51"/>
      <c r="D8760" s="51"/>
    </row>
    <row r="8761" spans="3:4" x14ac:dyDescent="0.35">
      <c r="C8761" s="51"/>
      <c r="D8761" s="51"/>
    </row>
    <row r="8762" spans="3:4" x14ac:dyDescent="0.35">
      <c r="C8762" s="51"/>
      <c r="D8762" s="51"/>
    </row>
    <row r="8763" spans="3:4" x14ac:dyDescent="0.35">
      <c r="C8763" s="51"/>
      <c r="D8763" s="51"/>
    </row>
    <row r="8764" spans="3:4" x14ac:dyDescent="0.35">
      <c r="C8764" s="51"/>
      <c r="D8764" s="51"/>
    </row>
    <row r="8765" spans="3:4" x14ac:dyDescent="0.35">
      <c r="C8765" s="51"/>
      <c r="D8765" s="51"/>
    </row>
    <row r="8766" spans="3:4" x14ac:dyDescent="0.35">
      <c r="C8766" s="51"/>
      <c r="D8766" s="51"/>
    </row>
    <row r="8767" spans="3:4" x14ac:dyDescent="0.35">
      <c r="C8767" s="51"/>
      <c r="D8767" s="51"/>
    </row>
    <row r="8768" spans="3:4" x14ac:dyDescent="0.35">
      <c r="C8768" s="51"/>
      <c r="D8768" s="51"/>
    </row>
    <row r="8769" spans="3:4" x14ac:dyDescent="0.35">
      <c r="C8769" s="51"/>
      <c r="D8769" s="51"/>
    </row>
    <row r="8770" spans="3:4" x14ac:dyDescent="0.35">
      <c r="C8770" s="51"/>
      <c r="D8770" s="51"/>
    </row>
    <row r="8771" spans="3:4" x14ac:dyDescent="0.35">
      <c r="C8771" s="51"/>
      <c r="D8771" s="51"/>
    </row>
    <row r="8772" spans="3:4" x14ac:dyDescent="0.35">
      <c r="C8772" s="51"/>
      <c r="D8772" s="51"/>
    </row>
    <row r="8773" spans="3:4" x14ac:dyDescent="0.35">
      <c r="C8773" s="51"/>
      <c r="D8773" s="51"/>
    </row>
    <row r="8774" spans="3:4" x14ac:dyDescent="0.35">
      <c r="C8774" s="51"/>
      <c r="D8774" s="51"/>
    </row>
    <row r="8775" spans="3:4" x14ac:dyDescent="0.35">
      <c r="C8775" s="51"/>
      <c r="D8775" s="51"/>
    </row>
    <row r="8776" spans="3:4" x14ac:dyDescent="0.35">
      <c r="C8776" s="51"/>
      <c r="D8776" s="51"/>
    </row>
    <row r="8777" spans="3:4" x14ac:dyDescent="0.35">
      <c r="C8777" s="51"/>
      <c r="D8777" s="51"/>
    </row>
    <row r="8778" spans="3:4" x14ac:dyDescent="0.35">
      <c r="C8778" s="51"/>
      <c r="D8778" s="51"/>
    </row>
    <row r="8779" spans="3:4" x14ac:dyDescent="0.35">
      <c r="C8779" s="51"/>
      <c r="D8779" s="51"/>
    </row>
    <row r="8780" spans="3:4" x14ac:dyDescent="0.35">
      <c r="C8780" s="51"/>
      <c r="D8780" s="51"/>
    </row>
    <row r="8781" spans="3:4" x14ac:dyDescent="0.35">
      <c r="C8781" s="51"/>
      <c r="D8781" s="51"/>
    </row>
    <row r="8782" spans="3:4" x14ac:dyDescent="0.35">
      <c r="C8782" s="51"/>
      <c r="D8782" s="51"/>
    </row>
    <row r="8783" spans="3:4" x14ac:dyDescent="0.35">
      <c r="C8783" s="51"/>
      <c r="D8783" s="51"/>
    </row>
    <row r="8784" spans="3:4" x14ac:dyDescent="0.35">
      <c r="C8784" s="51"/>
      <c r="D8784" s="51"/>
    </row>
    <row r="8785" spans="3:4" x14ac:dyDescent="0.35">
      <c r="C8785" s="51"/>
      <c r="D8785" s="51"/>
    </row>
    <row r="8786" spans="3:4" x14ac:dyDescent="0.35">
      <c r="C8786" s="51"/>
      <c r="D8786" s="51"/>
    </row>
    <row r="8787" spans="3:4" x14ac:dyDescent="0.35">
      <c r="C8787" s="51"/>
      <c r="D8787" s="51"/>
    </row>
    <row r="8788" spans="3:4" x14ac:dyDescent="0.35">
      <c r="C8788" s="51"/>
      <c r="D8788" s="51"/>
    </row>
    <row r="8789" spans="3:4" x14ac:dyDescent="0.35">
      <c r="C8789" s="51"/>
      <c r="D8789" s="51"/>
    </row>
    <row r="8790" spans="3:4" x14ac:dyDescent="0.35">
      <c r="C8790" s="51"/>
      <c r="D8790" s="51"/>
    </row>
    <row r="8791" spans="3:4" x14ac:dyDescent="0.35">
      <c r="C8791" s="51"/>
      <c r="D8791" s="51"/>
    </row>
    <row r="8792" spans="3:4" x14ac:dyDescent="0.35">
      <c r="C8792" s="51"/>
      <c r="D8792" s="51"/>
    </row>
    <row r="8793" spans="3:4" x14ac:dyDescent="0.35">
      <c r="C8793" s="51"/>
      <c r="D8793" s="51"/>
    </row>
    <row r="8794" spans="3:4" x14ac:dyDescent="0.35">
      <c r="C8794" s="51"/>
      <c r="D8794" s="51"/>
    </row>
    <row r="8795" spans="3:4" x14ac:dyDescent="0.35">
      <c r="C8795" s="51"/>
      <c r="D8795" s="51"/>
    </row>
    <row r="8796" spans="3:4" x14ac:dyDescent="0.35">
      <c r="C8796" s="51"/>
      <c r="D8796" s="51"/>
    </row>
    <row r="8797" spans="3:4" x14ac:dyDescent="0.35">
      <c r="C8797" s="51"/>
      <c r="D8797" s="51"/>
    </row>
    <row r="8798" spans="3:4" x14ac:dyDescent="0.35">
      <c r="C8798" s="51"/>
      <c r="D8798" s="51"/>
    </row>
    <row r="8799" spans="3:4" x14ac:dyDescent="0.35">
      <c r="C8799" s="51"/>
      <c r="D8799" s="51"/>
    </row>
    <row r="8800" spans="3:4" x14ac:dyDescent="0.35">
      <c r="C8800" s="51"/>
      <c r="D8800" s="51"/>
    </row>
    <row r="8801" spans="3:4" x14ac:dyDescent="0.35">
      <c r="C8801" s="51"/>
      <c r="D8801" s="51"/>
    </row>
    <row r="8802" spans="3:4" x14ac:dyDescent="0.35">
      <c r="C8802" s="51"/>
      <c r="D8802" s="51"/>
    </row>
    <row r="8803" spans="3:4" x14ac:dyDescent="0.35">
      <c r="C8803" s="51"/>
      <c r="D8803" s="51"/>
    </row>
    <row r="8804" spans="3:4" x14ac:dyDescent="0.35">
      <c r="C8804" s="51"/>
      <c r="D8804" s="51"/>
    </row>
    <row r="8805" spans="3:4" x14ac:dyDescent="0.35">
      <c r="C8805" s="51"/>
      <c r="D8805" s="51"/>
    </row>
    <row r="8806" spans="3:4" x14ac:dyDescent="0.35">
      <c r="C8806" s="51"/>
      <c r="D8806" s="51"/>
    </row>
    <row r="8807" spans="3:4" x14ac:dyDescent="0.35">
      <c r="C8807" s="51"/>
      <c r="D8807" s="51"/>
    </row>
    <row r="8808" spans="3:4" x14ac:dyDescent="0.35">
      <c r="C8808" s="51"/>
      <c r="D8808" s="51"/>
    </row>
    <row r="8809" spans="3:4" x14ac:dyDescent="0.35">
      <c r="C8809" s="51"/>
      <c r="D8809" s="51"/>
    </row>
    <row r="8810" spans="3:4" x14ac:dyDescent="0.35">
      <c r="C8810" s="51"/>
      <c r="D8810" s="51"/>
    </row>
    <row r="8811" spans="3:4" x14ac:dyDescent="0.35">
      <c r="C8811" s="51"/>
      <c r="D8811" s="51"/>
    </row>
    <row r="8812" spans="3:4" x14ac:dyDescent="0.35">
      <c r="C8812" s="51"/>
      <c r="D8812" s="51"/>
    </row>
    <row r="8813" spans="3:4" x14ac:dyDescent="0.35">
      <c r="C8813" s="51"/>
      <c r="D8813" s="51"/>
    </row>
    <row r="8814" spans="3:4" x14ac:dyDescent="0.35">
      <c r="C8814" s="51"/>
      <c r="D8814" s="51"/>
    </row>
    <row r="8815" spans="3:4" x14ac:dyDescent="0.35">
      <c r="C8815" s="51"/>
      <c r="D8815" s="51"/>
    </row>
    <row r="8816" spans="3:4" x14ac:dyDescent="0.35">
      <c r="C8816" s="51"/>
      <c r="D8816" s="51"/>
    </row>
    <row r="8817" spans="3:4" x14ac:dyDescent="0.35">
      <c r="C8817" s="51"/>
      <c r="D8817" s="51"/>
    </row>
    <row r="8818" spans="3:4" x14ac:dyDescent="0.35">
      <c r="C8818" s="51"/>
      <c r="D8818" s="51"/>
    </row>
    <row r="8819" spans="3:4" x14ac:dyDescent="0.35">
      <c r="C8819" s="51"/>
      <c r="D8819" s="51"/>
    </row>
    <row r="8820" spans="3:4" x14ac:dyDescent="0.35">
      <c r="C8820" s="51"/>
      <c r="D8820" s="51"/>
    </row>
    <row r="8821" spans="3:4" x14ac:dyDescent="0.35">
      <c r="C8821" s="51"/>
      <c r="D8821" s="51"/>
    </row>
    <row r="8822" spans="3:4" x14ac:dyDescent="0.35">
      <c r="C8822" s="51"/>
      <c r="D8822" s="51"/>
    </row>
    <row r="8823" spans="3:4" x14ac:dyDescent="0.35">
      <c r="C8823" s="51"/>
      <c r="D8823" s="51"/>
    </row>
    <row r="8824" spans="3:4" x14ac:dyDescent="0.35">
      <c r="C8824" s="51"/>
      <c r="D8824" s="51"/>
    </row>
    <row r="8825" spans="3:4" x14ac:dyDescent="0.35">
      <c r="C8825" s="51"/>
      <c r="D8825" s="51"/>
    </row>
    <row r="8826" spans="3:4" x14ac:dyDescent="0.35">
      <c r="C8826" s="51"/>
      <c r="D8826" s="51"/>
    </row>
    <row r="8827" spans="3:4" x14ac:dyDescent="0.35">
      <c r="C8827" s="51"/>
      <c r="D8827" s="51"/>
    </row>
    <row r="8828" spans="3:4" x14ac:dyDescent="0.35">
      <c r="C8828" s="51"/>
      <c r="D8828" s="51"/>
    </row>
    <row r="8829" spans="3:4" x14ac:dyDescent="0.35">
      <c r="C8829" s="51"/>
      <c r="D8829" s="51"/>
    </row>
    <row r="8830" spans="3:4" x14ac:dyDescent="0.35">
      <c r="C8830" s="51"/>
      <c r="D8830" s="51"/>
    </row>
    <row r="8831" spans="3:4" x14ac:dyDescent="0.35">
      <c r="C8831" s="51"/>
      <c r="D8831" s="51"/>
    </row>
    <row r="8832" spans="3:4" x14ac:dyDescent="0.35">
      <c r="C8832" s="51"/>
      <c r="D8832" s="51"/>
    </row>
    <row r="8833" spans="3:4" x14ac:dyDescent="0.35">
      <c r="C8833" s="51"/>
      <c r="D8833" s="51"/>
    </row>
    <row r="8834" spans="3:4" x14ac:dyDescent="0.35">
      <c r="C8834" s="51"/>
      <c r="D8834" s="51"/>
    </row>
    <row r="8835" spans="3:4" x14ac:dyDescent="0.35">
      <c r="C8835" s="51"/>
      <c r="D8835" s="51"/>
    </row>
    <row r="8836" spans="3:4" x14ac:dyDescent="0.35">
      <c r="C8836" s="51"/>
      <c r="D8836" s="51"/>
    </row>
    <row r="8837" spans="3:4" x14ac:dyDescent="0.35">
      <c r="C8837" s="51"/>
      <c r="D8837" s="51"/>
    </row>
    <row r="8838" spans="3:4" x14ac:dyDescent="0.35">
      <c r="C8838" s="51"/>
      <c r="D8838" s="51"/>
    </row>
    <row r="8839" spans="3:4" x14ac:dyDescent="0.35">
      <c r="C8839" s="51"/>
      <c r="D8839" s="51"/>
    </row>
    <row r="8840" spans="3:4" x14ac:dyDescent="0.35">
      <c r="C8840" s="51"/>
      <c r="D8840" s="51"/>
    </row>
    <row r="8841" spans="3:4" x14ac:dyDescent="0.35">
      <c r="C8841" s="51"/>
      <c r="D8841" s="51"/>
    </row>
    <row r="8842" spans="3:4" x14ac:dyDescent="0.35">
      <c r="C8842" s="51"/>
      <c r="D8842" s="51"/>
    </row>
    <row r="8843" spans="3:4" x14ac:dyDescent="0.35">
      <c r="C8843" s="51"/>
      <c r="D8843" s="51"/>
    </row>
    <row r="8844" spans="3:4" x14ac:dyDescent="0.35">
      <c r="C8844" s="51"/>
      <c r="D8844" s="51"/>
    </row>
    <row r="8845" spans="3:4" x14ac:dyDescent="0.35">
      <c r="C8845" s="51"/>
      <c r="D8845" s="51"/>
    </row>
    <row r="8846" spans="3:4" x14ac:dyDescent="0.35">
      <c r="C8846" s="51"/>
      <c r="D8846" s="51"/>
    </row>
    <row r="8847" spans="3:4" x14ac:dyDescent="0.35">
      <c r="C8847" s="51"/>
      <c r="D8847" s="51"/>
    </row>
    <row r="8848" spans="3:4" x14ac:dyDescent="0.35">
      <c r="C8848" s="51"/>
      <c r="D8848" s="51"/>
    </row>
    <row r="8849" spans="3:4" x14ac:dyDescent="0.35">
      <c r="C8849" s="51"/>
      <c r="D8849" s="51"/>
    </row>
    <row r="8850" spans="3:4" x14ac:dyDescent="0.35">
      <c r="C8850" s="51"/>
      <c r="D8850" s="51"/>
    </row>
    <row r="8851" spans="3:4" x14ac:dyDescent="0.35">
      <c r="C8851" s="51"/>
      <c r="D8851" s="51"/>
    </row>
    <row r="8852" spans="3:4" x14ac:dyDescent="0.35">
      <c r="C8852" s="51"/>
      <c r="D8852" s="51"/>
    </row>
    <row r="8853" spans="3:4" x14ac:dyDescent="0.35">
      <c r="C8853" s="51"/>
      <c r="D8853" s="51"/>
    </row>
    <row r="8854" spans="3:4" x14ac:dyDescent="0.35">
      <c r="C8854" s="51"/>
      <c r="D8854" s="51"/>
    </row>
    <row r="8855" spans="3:4" x14ac:dyDescent="0.35">
      <c r="C8855" s="51"/>
      <c r="D8855" s="51"/>
    </row>
    <row r="8856" spans="3:4" x14ac:dyDescent="0.35">
      <c r="C8856" s="51"/>
      <c r="D8856" s="51"/>
    </row>
    <row r="8857" spans="3:4" x14ac:dyDescent="0.35">
      <c r="C8857" s="51"/>
      <c r="D8857" s="51"/>
    </row>
    <row r="8858" spans="3:4" x14ac:dyDescent="0.35">
      <c r="C8858" s="51"/>
      <c r="D8858" s="51"/>
    </row>
    <row r="8859" spans="3:4" x14ac:dyDescent="0.35">
      <c r="C8859" s="51"/>
      <c r="D8859" s="51"/>
    </row>
    <row r="8860" spans="3:4" x14ac:dyDescent="0.35">
      <c r="C8860" s="51"/>
      <c r="D8860" s="51"/>
    </row>
    <row r="8861" spans="3:4" x14ac:dyDescent="0.35">
      <c r="C8861" s="51"/>
      <c r="D8861" s="51"/>
    </row>
    <row r="8862" spans="3:4" x14ac:dyDescent="0.35">
      <c r="C8862" s="51"/>
      <c r="D8862" s="51"/>
    </row>
    <row r="8863" spans="3:4" x14ac:dyDescent="0.35">
      <c r="C8863" s="51"/>
      <c r="D8863" s="51"/>
    </row>
    <row r="8864" spans="3:4" x14ac:dyDescent="0.35">
      <c r="C8864" s="51"/>
      <c r="D8864" s="51"/>
    </row>
    <row r="8865" spans="3:4" x14ac:dyDescent="0.35">
      <c r="C8865" s="51"/>
      <c r="D8865" s="51"/>
    </row>
    <row r="8866" spans="3:4" x14ac:dyDescent="0.35">
      <c r="C8866" s="51"/>
      <c r="D8866" s="51"/>
    </row>
    <row r="8867" spans="3:4" x14ac:dyDescent="0.35">
      <c r="C8867" s="51"/>
      <c r="D8867" s="51"/>
    </row>
    <row r="8868" spans="3:4" x14ac:dyDescent="0.35">
      <c r="C8868" s="51"/>
      <c r="D8868" s="51"/>
    </row>
    <row r="8869" spans="3:4" x14ac:dyDescent="0.35">
      <c r="C8869" s="51"/>
      <c r="D8869" s="51"/>
    </row>
    <row r="8870" spans="3:4" x14ac:dyDescent="0.35">
      <c r="C8870" s="51"/>
      <c r="D8870" s="51"/>
    </row>
    <row r="8871" spans="3:4" x14ac:dyDescent="0.35">
      <c r="C8871" s="51"/>
      <c r="D8871" s="51"/>
    </row>
    <row r="8872" spans="3:4" x14ac:dyDescent="0.35">
      <c r="C8872" s="51"/>
      <c r="D8872" s="51"/>
    </row>
    <row r="8873" spans="3:4" x14ac:dyDescent="0.35">
      <c r="C8873" s="51"/>
      <c r="D8873" s="51"/>
    </row>
    <row r="8874" spans="3:4" x14ac:dyDescent="0.35">
      <c r="C8874" s="51"/>
      <c r="D8874" s="51"/>
    </row>
    <row r="8875" spans="3:4" x14ac:dyDescent="0.35">
      <c r="C8875" s="51"/>
      <c r="D8875" s="51"/>
    </row>
    <row r="8876" spans="3:4" x14ac:dyDescent="0.35">
      <c r="C8876" s="51"/>
      <c r="D8876" s="51"/>
    </row>
    <row r="8877" spans="3:4" x14ac:dyDescent="0.35">
      <c r="C8877" s="51"/>
      <c r="D8877" s="51"/>
    </row>
    <row r="8878" spans="3:4" x14ac:dyDescent="0.35">
      <c r="C8878" s="51"/>
      <c r="D8878" s="51"/>
    </row>
    <row r="8879" spans="3:4" x14ac:dyDescent="0.35">
      <c r="C8879" s="51"/>
      <c r="D8879" s="51"/>
    </row>
    <row r="8880" spans="3:4" x14ac:dyDescent="0.35">
      <c r="C8880" s="51"/>
      <c r="D8880" s="51"/>
    </row>
    <row r="8881" spans="3:4" x14ac:dyDescent="0.35">
      <c r="C8881" s="51"/>
      <c r="D8881" s="51"/>
    </row>
    <row r="8882" spans="3:4" x14ac:dyDescent="0.35">
      <c r="C8882" s="51"/>
      <c r="D8882" s="51"/>
    </row>
    <row r="8883" spans="3:4" x14ac:dyDescent="0.35">
      <c r="C8883" s="51"/>
      <c r="D8883" s="51"/>
    </row>
    <row r="8884" spans="3:4" x14ac:dyDescent="0.35">
      <c r="C8884" s="51"/>
      <c r="D8884" s="51"/>
    </row>
    <row r="8885" spans="3:4" x14ac:dyDescent="0.35">
      <c r="C8885" s="51"/>
      <c r="D8885" s="51"/>
    </row>
    <row r="8886" spans="3:4" x14ac:dyDescent="0.35">
      <c r="C8886" s="51"/>
      <c r="D8886" s="51"/>
    </row>
    <row r="8887" spans="3:4" x14ac:dyDescent="0.35">
      <c r="C8887" s="51"/>
      <c r="D8887" s="51"/>
    </row>
    <row r="8888" spans="3:4" x14ac:dyDescent="0.35">
      <c r="C8888" s="51"/>
      <c r="D8888" s="51"/>
    </row>
    <row r="8889" spans="3:4" x14ac:dyDescent="0.35">
      <c r="C8889" s="51"/>
      <c r="D8889" s="51"/>
    </row>
    <row r="8890" spans="3:4" x14ac:dyDescent="0.35">
      <c r="C8890" s="51"/>
      <c r="D8890" s="51"/>
    </row>
    <row r="8891" spans="3:4" x14ac:dyDescent="0.35">
      <c r="C8891" s="51"/>
      <c r="D8891" s="51"/>
    </row>
    <row r="8892" spans="3:4" x14ac:dyDescent="0.35">
      <c r="C8892" s="51"/>
      <c r="D8892" s="51"/>
    </row>
    <row r="8893" spans="3:4" x14ac:dyDescent="0.35">
      <c r="C8893" s="51"/>
      <c r="D8893" s="51"/>
    </row>
    <row r="8894" spans="3:4" x14ac:dyDescent="0.35">
      <c r="C8894" s="51"/>
      <c r="D8894" s="51"/>
    </row>
    <row r="8895" spans="3:4" x14ac:dyDescent="0.35">
      <c r="C8895" s="51"/>
      <c r="D8895" s="51"/>
    </row>
    <row r="8896" spans="3:4" x14ac:dyDescent="0.35">
      <c r="C8896" s="51"/>
      <c r="D8896" s="51"/>
    </row>
    <row r="8897" spans="3:4" x14ac:dyDescent="0.35">
      <c r="C8897" s="51"/>
      <c r="D8897" s="51"/>
    </row>
    <row r="8898" spans="3:4" x14ac:dyDescent="0.35">
      <c r="C8898" s="51"/>
      <c r="D8898" s="51"/>
    </row>
    <row r="8899" spans="3:4" x14ac:dyDescent="0.35">
      <c r="C8899" s="51"/>
      <c r="D8899" s="51"/>
    </row>
    <row r="8900" spans="3:4" x14ac:dyDescent="0.35">
      <c r="C8900" s="51"/>
      <c r="D8900" s="51"/>
    </row>
    <row r="8901" spans="3:4" x14ac:dyDescent="0.35">
      <c r="C8901" s="51"/>
      <c r="D8901" s="51"/>
    </row>
    <row r="8902" spans="3:4" x14ac:dyDescent="0.35">
      <c r="C8902" s="51"/>
      <c r="D8902" s="51"/>
    </row>
    <row r="8903" spans="3:4" x14ac:dyDescent="0.35">
      <c r="C8903" s="51"/>
      <c r="D8903" s="51"/>
    </row>
    <row r="8904" spans="3:4" x14ac:dyDescent="0.35">
      <c r="C8904" s="51"/>
      <c r="D8904" s="51"/>
    </row>
    <row r="8905" spans="3:4" x14ac:dyDescent="0.35">
      <c r="C8905" s="51"/>
      <c r="D8905" s="51"/>
    </row>
    <row r="8906" spans="3:4" x14ac:dyDescent="0.35">
      <c r="C8906" s="51"/>
      <c r="D8906" s="51"/>
    </row>
    <row r="8907" spans="3:4" x14ac:dyDescent="0.35">
      <c r="C8907" s="51"/>
      <c r="D8907" s="51"/>
    </row>
    <row r="8908" spans="3:4" x14ac:dyDescent="0.35">
      <c r="C8908" s="51"/>
      <c r="D8908" s="51"/>
    </row>
    <row r="8909" spans="3:4" x14ac:dyDescent="0.35">
      <c r="C8909" s="51"/>
      <c r="D8909" s="51"/>
    </row>
    <row r="8910" spans="3:4" x14ac:dyDescent="0.35">
      <c r="C8910" s="51"/>
      <c r="D8910" s="51"/>
    </row>
    <row r="8911" spans="3:4" x14ac:dyDescent="0.35">
      <c r="C8911" s="51"/>
      <c r="D8911" s="51"/>
    </row>
    <row r="8912" spans="3:4" x14ac:dyDescent="0.35">
      <c r="C8912" s="51"/>
      <c r="D8912" s="51"/>
    </row>
    <row r="8913" spans="3:4" x14ac:dyDescent="0.35">
      <c r="C8913" s="51"/>
      <c r="D8913" s="51"/>
    </row>
    <row r="8914" spans="3:4" x14ac:dyDescent="0.35">
      <c r="C8914" s="51"/>
      <c r="D8914" s="51"/>
    </row>
    <row r="8915" spans="3:4" x14ac:dyDescent="0.35">
      <c r="C8915" s="51"/>
      <c r="D8915" s="51"/>
    </row>
    <row r="8916" spans="3:4" x14ac:dyDescent="0.35">
      <c r="C8916" s="51"/>
      <c r="D8916" s="51"/>
    </row>
    <row r="8917" spans="3:4" x14ac:dyDescent="0.35">
      <c r="C8917" s="51"/>
      <c r="D8917" s="51"/>
    </row>
    <row r="8918" spans="3:4" x14ac:dyDescent="0.35">
      <c r="C8918" s="51"/>
      <c r="D8918" s="51"/>
    </row>
    <row r="8919" spans="3:4" x14ac:dyDescent="0.35">
      <c r="C8919" s="51"/>
      <c r="D8919" s="51"/>
    </row>
    <row r="8920" spans="3:4" x14ac:dyDescent="0.35">
      <c r="C8920" s="51"/>
      <c r="D8920" s="51"/>
    </row>
    <row r="8921" spans="3:4" x14ac:dyDescent="0.35">
      <c r="C8921" s="51"/>
      <c r="D8921" s="51"/>
    </row>
    <row r="8922" spans="3:4" x14ac:dyDescent="0.35">
      <c r="C8922" s="51"/>
      <c r="D8922" s="51"/>
    </row>
    <row r="8923" spans="3:4" x14ac:dyDescent="0.35">
      <c r="C8923" s="51"/>
      <c r="D8923" s="51"/>
    </row>
    <row r="8924" spans="3:4" x14ac:dyDescent="0.35">
      <c r="C8924" s="51"/>
      <c r="D8924" s="51"/>
    </row>
    <row r="8925" spans="3:4" x14ac:dyDescent="0.35">
      <c r="C8925" s="51"/>
      <c r="D8925" s="51"/>
    </row>
    <row r="8926" spans="3:4" x14ac:dyDescent="0.35">
      <c r="C8926" s="51"/>
      <c r="D8926" s="51"/>
    </row>
    <row r="8927" spans="3:4" x14ac:dyDescent="0.35">
      <c r="C8927" s="51"/>
      <c r="D8927" s="51"/>
    </row>
    <row r="8928" spans="3:4" x14ac:dyDescent="0.35">
      <c r="C8928" s="51"/>
      <c r="D8928" s="51"/>
    </row>
    <row r="8929" spans="3:4" x14ac:dyDescent="0.35">
      <c r="C8929" s="51"/>
      <c r="D8929" s="51"/>
    </row>
    <row r="8930" spans="3:4" x14ac:dyDescent="0.35">
      <c r="C8930" s="51"/>
      <c r="D8930" s="51"/>
    </row>
    <row r="8931" spans="3:4" x14ac:dyDescent="0.35">
      <c r="C8931" s="51"/>
      <c r="D8931" s="51"/>
    </row>
    <row r="8932" spans="3:4" x14ac:dyDescent="0.35">
      <c r="C8932" s="51"/>
      <c r="D8932" s="51"/>
    </row>
    <row r="8933" spans="3:4" x14ac:dyDescent="0.35">
      <c r="C8933" s="51"/>
      <c r="D8933" s="51"/>
    </row>
    <row r="8934" spans="3:4" x14ac:dyDescent="0.35">
      <c r="C8934" s="51"/>
      <c r="D8934" s="51"/>
    </row>
    <row r="8935" spans="3:4" x14ac:dyDescent="0.35">
      <c r="C8935" s="51"/>
      <c r="D8935" s="51"/>
    </row>
    <row r="8936" spans="3:4" x14ac:dyDescent="0.35">
      <c r="C8936" s="51"/>
      <c r="D8936" s="51"/>
    </row>
    <row r="8937" spans="3:4" x14ac:dyDescent="0.35">
      <c r="C8937" s="51"/>
      <c r="D8937" s="51"/>
    </row>
    <row r="8938" spans="3:4" x14ac:dyDescent="0.35">
      <c r="C8938" s="51"/>
      <c r="D8938" s="51"/>
    </row>
    <row r="8939" spans="3:4" x14ac:dyDescent="0.35">
      <c r="C8939" s="51"/>
      <c r="D8939" s="51"/>
    </row>
    <row r="8940" spans="3:4" x14ac:dyDescent="0.35">
      <c r="C8940" s="51"/>
      <c r="D8940" s="51"/>
    </row>
    <row r="8941" spans="3:4" x14ac:dyDescent="0.35">
      <c r="C8941" s="51"/>
      <c r="D8941" s="51"/>
    </row>
    <row r="8942" spans="3:4" x14ac:dyDescent="0.35">
      <c r="C8942" s="51"/>
      <c r="D8942" s="51"/>
    </row>
    <row r="8943" spans="3:4" x14ac:dyDescent="0.35">
      <c r="C8943" s="51"/>
      <c r="D8943" s="51"/>
    </row>
    <row r="8944" spans="3:4" x14ac:dyDescent="0.35">
      <c r="C8944" s="51"/>
      <c r="D8944" s="51"/>
    </row>
    <row r="8945" spans="3:4" x14ac:dyDescent="0.35">
      <c r="C8945" s="51"/>
      <c r="D8945" s="51"/>
    </row>
    <row r="8946" spans="3:4" x14ac:dyDescent="0.35">
      <c r="C8946" s="51"/>
      <c r="D8946" s="51"/>
    </row>
    <row r="8947" spans="3:4" x14ac:dyDescent="0.35">
      <c r="C8947" s="51"/>
      <c r="D8947" s="51"/>
    </row>
    <row r="8948" spans="3:4" x14ac:dyDescent="0.35">
      <c r="C8948" s="51"/>
      <c r="D8948" s="51"/>
    </row>
    <row r="8949" spans="3:4" x14ac:dyDescent="0.35">
      <c r="C8949" s="51"/>
      <c r="D8949" s="51"/>
    </row>
    <row r="8950" spans="3:4" x14ac:dyDescent="0.35">
      <c r="C8950" s="51"/>
      <c r="D8950" s="51"/>
    </row>
    <row r="8951" spans="3:4" x14ac:dyDescent="0.35">
      <c r="C8951" s="51"/>
      <c r="D8951" s="51"/>
    </row>
    <row r="8952" spans="3:4" x14ac:dyDescent="0.35">
      <c r="C8952" s="51"/>
      <c r="D8952" s="51"/>
    </row>
    <row r="8953" spans="3:4" x14ac:dyDescent="0.35">
      <c r="C8953" s="51"/>
      <c r="D8953" s="51"/>
    </row>
    <row r="8954" spans="3:4" x14ac:dyDescent="0.35">
      <c r="C8954" s="51"/>
      <c r="D8954" s="51"/>
    </row>
    <row r="8955" spans="3:4" x14ac:dyDescent="0.35">
      <c r="C8955" s="51"/>
      <c r="D8955" s="51"/>
    </row>
    <row r="8956" spans="3:4" x14ac:dyDescent="0.35">
      <c r="C8956" s="51"/>
      <c r="D8956" s="51"/>
    </row>
    <row r="8957" spans="3:4" x14ac:dyDescent="0.35">
      <c r="C8957" s="51"/>
      <c r="D8957" s="51"/>
    </row>
    <row r="8958" spans="3:4" x14ac:dyDescent="0.35">
      <c r="C8958" s="51"/>
      <c r="D8958" s="51"/>
    </row>
    <row r="8959" spans="3:4" x14ac:dyDescent="0.35">
      <c r="C8959" s="51"/>
      <c r="D8959" s="51"/>
    </row>
    <row r="8960" spans="3:4" x14ac:dyDescent="0.35">
      <c r="C8960" s="51"/>
      <c r="D8960" s="51"/>
    </row>
    <row r="8961" spans="3:4" x14ac:dyDescent="0.35">
      <c r="C8961" s="51"/>
      <c r="D8961" s="51"/>
    </row>
    <row r="8962" spans="3:4" x14ac:dyDescent="0.35">
      <c r="C8962" s="51"/>
      <c r="D8962" s="51"/>
    </row>
    <row r="8963" spans="3:4" x14ac:dyDescent="0.35">
      <c r="C8963" s="51"/>
      <c r="D8963" s="51"/>
    </row>
    <row r="8964" spans="3:4" x14ac:dyDescent="0.35">
      <c r="C8964" s="51"/>
      <c r="D8964" s="51"/>
    </row>
    <row r="8965" spans="3:4" x14ac:dyDescent="0.35">
      <c r="C8965" s="51"/>
      <c r="D8965" s="51"/>
    </row>
    <row r="8966" spans="3:4" x14ac:dyDescent="0.35">
      <c r="C8966" s="51"/>
      <c r="D8966" s="51"/>
    </row>
    <row r="8967" spans="3:4" x14ac:dyDescent="0.35">
      <c r="C8967" s="51"/>
      <c r="D8967" s="51"/>
    </row>
    <row r="8968" spans="3:4" x14ac:dyDescent="0.35">
      <c r="C8968" s="51"/>
      <c r="D8968" s="51"/>
    </row>
    <row r="8969" spans="3:4" x14ac:dyDescent="0.35">
      <c r="C8969" s="51"/>
      <c r="D8969" s="51"/>
    </row>
    <row r="8970" spans="3:4" x14ac:dyDescent="0.35">
      <c r="C8970" s="51"/>
      <c r="D8970" s="51"/>
    </row>
    <row r="8971" spans="3:4" x14ac:dyDescent="0.35">
      <c r="C8971" s="51"/>
      <c r="D8971" s="51"/>
    </row>
    <row r="8972" spans="3:4" x14ac:dyDescent="0.35">
      <c r="C8972" s="51"/>
      <c r="D8972" s="51"/>
    </row>
    <row r="8973" spans="3:4" x14ac:dyDescent="0.35">
      <c r="C8973" s="51"/>
      <c r="D8973" s="51"/>
    </row>
    <row r="8974" spans="3:4" x14ac:dyDescent="0.35">
      <c r="C8974" s="51"/>
      <c r="D8974" s="51"/>
    </row>
    <row r="8975" spans="3:4" x14ac:dyDescent="0.35">
      <c r="C8975" s="51"/>
      <c r="D8975" s="51"/>
    </row>
    <row r="8976" spans="3:4" x14ac:dyDescent="0.35">
      <c r="C8976" s="51"/>
      <c r="D8976" s="51"/>
    </row>
    <row r="8977" spans="3:4" x14ac:dyDescent="0.35">
      <c r="C8977" s="51"/>
      <c r="D8977" s="51"/>
    </row>
    <row r="8978" spans="3:4" x14ac:dyDescent="0.35">
      <c r="C8978" s="51"/>
      <c r="D8978" s="51"/>
    </row>
    <row r="8979" spans="3:4" x14ac:dyDescent="0.35">
      <c r="C8979" s="51"/>
      <c r="D8979" s="51"/>
    </row>
    <row r="8980" spans="3:4" x14ac:dyDescent="0.35">
      <c r="C8980" s="51"/>
      <c r="D8980" s="51"/>
    </row>
    <row r="8981" spans="3:4" x14ac:dyDescent="0.35">
      <c r="C8981" s="51"/>
      <c r="D8981" s="51"/>
    </row>
    <row r="8982" spans="3:4" x14ac:dyDescent="0.35">
      <c r="C8982" s="51"/>
      <c r="D8982" s="51"/>
    </row>
    <row r="8983" spans="3:4" x14ac:dyDescent="0.35">
      <c r="C8983" s="51"/>
      <c r="D8983" s="51"/>
    </row>
    <row r="8984" spans="3:4" x14ac:dyDescent="0.35">
      <c r="C8984" s="51"/>
      <c r="D8984" s="51"/>
    </row>
    <row r="8985" spans="3:4" x14ac:dyDescent="0.35">
      <c r="C8985" s="51"/>
      <c r="D8985" s="51"/>
    </row>
    <row r="8986" spans="3:4" x14ac:dyDescent="0.35">
      <c r="C8986" s="51"/>
      <c r="D8986" s="51"/>
    </row>
    <row r="8987" spans="3:4" x14ac:dyDescent="0.35">
      <c r="C8987" s="51"/>
      <c r="D8987" s="51"/>
    </row>
    <row r="8988" spans="3:4" x14ac:dyDescent="0.35">
      <c r="C8988" s="51"/>
      <c r="D8988" s="51"/>
    </row>
    <row r="8989" spans="3:4" x14ac:dyDescent="0.35">
      <c r="C8989" s="51"/>
      <c r="D8989" s="51"/>
    </row>
    <row r="8990" spans="3:4" x14ac:dyDescent="0.35">
      <c r="C8990" s="51"/>
      <c r="D8990" s="51"/>
    </row>
    <row r="8991" spans="3:4" x14ac:dyDescent="0.35">
      <c r="C8991" s="51"/>
      <c r="D8991" s="51"/>
    </row>
    <row r="8992" spans="3:4" x14ac:dyDescent="0.35">
      <c r="C8992" s="51"/>
      <c r="D8992" s="51"/>
    </row>
    <row r="8993" spans="3:4" x14ac:dyDescent="0.35">
      <c r="C8993" s="51"/>
      <c r="D8993" s="51"/>
    </row>
    <row r="8994" spans="3:4" x14ac:dyDescent="0.35">
      <c r="C8994" s="51"/>
      <c r="D8994" s="51"/>
    </row>
    <row r="8995" spans="3:4" x14ac:dyDescent="0.35">
      <c r="C8995" s="51"/>
      <c r="D8995" s="51"/>
    </row>
    <row r="8996" spans="3:4" x14ac:dyDescent="0.35">
      <c r="C8996" s="51"/>
      <c r="D8996" s="51"/>
    </row>
    <row r="8997" spans="3:4" x14ac:dyDescent="0.35">
      <c r="C8997" s="51"/>
      <c r="D8997" s="51"/>
    </row>
    <row r="8998" spans="3:4" x14ac:dyDescent="0.35">
      <c r="C8998" s="51"/>
      <c r="D8998" s="51"/>
    </row>
    <row r="8999" spans="3:4" x14ac:dyDescent="0.35">
      <c r="C8999" s="51"/>
      <c r="D8999" s="51"/>
    </row>
    <row r="9000" spans="3:4" x14ac:dyDescent="0.35">
      <c r="C9000" s="51"/>
      <c r="D9000" s="51"/>
    </row>
    <row r="9001" spans="3:4" x14ac:dyDescent="0.35">
      <c r="C9001" s="51"/>
      <c r="D9001" s="51"/>
    </row>
    <row r="9002" spans="3:4" x14ac:dyDescent="0.35">
      <c r="C9002" s="51"/>
      <c r="D9002" s="51"/>
    </row>
    <row r="9003" spans="3:4" x14ac:dyDescent="0.35">
      <c r="C9003" s="51"/>
      <c r="D9003" s="51"/>
    </row>
    <row r="9004" spans="3:4" x14ac:dyDescent="0.35">
      <c r="C9004" s="51"/>
      <c r="D9004" s="51"/>
    </row>
    <row r="9005" spans="3:4" x14ac:dyDescent="0.35">
      <c r="C9005" s="51"/>
      <c r="D9005" s="51"/>
    </row>
    <row r="9006" spans="3:4" x14ac:dyDescent="0.35">
      <c r="C9006" s="51"/>
      <c r="D9006" s="51"/>
    </row>
    <row r="9007" spans="3:4" x14ac:dyDescent="0.35">
      <c r="C9007" s="51"/>
      <c r="D9007" s="51"/>
    </row>
    <row r="9008" spans="3:4" x14ac:dyDescent="0.35">
      <c r="C9008" s="51"/>
      <c r="D9008" s="51"/>
    </row>
    <row r="9009" spans="3:4" x14ac:dyDescent="0.35">
      <c r="C9009" s="51"/>
      <c r="D9009" s="51"/>
    </row>
    <row r="9010" spans="3:4" x14ac:dyDescent="0.35">
      <c r="C9010" s="51"/>
      <c r="D9010" s="51"/>
    </row>
    <row r="9011" spans="3:4" x14ac:dyDescent="0.35">
      <c r="C9011" s="51"/>
      <c r="D9011" s="51"/>
    </row>
    <row r="9012" spans="3:4" x14ac:dyDescent="0.35">
      <c r="C9012" s="51"/>
      <c r="D9012" s="51"/>
    </row>
    <row r="9013" spans="3:4" x14ac:dyDescent="0.35">
      <c r="C9013" s="51"/>
      <c r="D9013" s="51"/>
    </row>
    <row r="9014" spans="3:4" x14ac:dyDescent="0.35">
      <c r="C9014" s="51"/>
      <c r="D9014" s="51"/>
    </row>
    <row r="9015" spans="3:4" x14ac:dyDescent="0.35">
      <c r="C9015" s="51"/>
      <c r="D9015" s="51"/>
    </row>
    <row r="9016" spans="3:4" x14ac:dyDescent="0.35">
      <c r="C9016" s="51"/>
      <c r="D9016" s="51"/>
    </row>
    <row r="9017" spans="3:4" x14ac:dyDescent="0.35">
      <c r="C9017" s="51"/>
      <c r="D9017" s="51"/>
    </row>
    <row r="9018" spans="3:4" x14ac:dyDescent="0.35">
      <c r="C9018" s="51"/>
      <c r="D9018" s="51"/>
    </row>
    <row r="9019" spans="3:4" x14ac:dyDescent="0.35">
      <c r="C9019" s="51"/>
      <c r="D9019" s="51"/>
    </row>
    <row r="9020" spans="3:4" x14ac:dyDescent="0.35">
      <c r="C9020" s="51"/>
      <c r="D9020" s="51"/>
    </row>
    <row r="9021" spans="3:4" x14ac:dyDescent="0.35">
      <c r="C9021" s="51"/>
      <c r="D9021" s="51"/>
    </row>
    <row r="9022" spans="3:4" x14ac:dyDescent="0.35">
      <c r="C9022" s="51"/>
      <c r="D9022" s="51"/>
    </row>
    <row r="9023" spans="3:4" x14ac:dyDescent="0.35">
      <c r="C9023" s="51"/>
      <c r="D9023" s="51"/>
    </row>
    <row r="9024" spans="3:4" x14ac:dyDescent="0.35">
      <c r="C9024" s="51"/>
      <c r="D9024" s="51"/>
    </row>
    <row r="9025" spans="3:4" x14ac:dyDescent="0.35">
      <c r="C9025" s="51"/>
      <c r="D9025" s="51"/>
    </row>
    <row r="9026" spans="3:4" x14ac:dyDescent="0.35">
      <c r="C9026" s="51"/>
      <c r="D9026" s="51"/>
    </row>
    <row r="9027" spans="3:4" x14ac:dyDescent="0.35">
      <c r="C9027" s="51"/>
      <c r="D9027" s="51"/>
    </row>
    <row r="9028" spans="3:4" x14ac:dyDescent="0.35">
      <c r="C9028" s="51"/>
      <c r="D9028" s="51"/>
    </row>
    <row r="9029" spans="3:4" x14ac:dyDescent="0.35">
      <c r="C9029" s="51"/>
      <c r="D9029" s="51"/>
    </row>
    <row r="9030" spans="3:4" x14ac:dyDescent="0.35">
      <c r="C9030" s="51"/>
      <c r="D9030" s="51"/>
    </row>
    <row r="9031" spans="3:4" x14ac:dyDescent="0.35">
      <c r="C9031" s="51"/>
      <c r="D9031" s="51"/>
    </row>
    <row r="9032" spans="3:4" x14ac:dyDescent="0.35">
      <c r="C9032" s="51"/>
      <c r="D9032" s="51"/>
    </row>
    <row r="9033" spans="3:4" x14ac:dyDescent="0.35">
      <c r="C9033" s="51"/>
      <c r="D9033" s="51"/>
    </row>
    <row r="9034" spans="3:4" x14ac:dyDescent="0.35">
      <c r="C9034" s="51"/>
      <c r="D9034" s="51"/>
    </row>
    <row r="9035" spans="3:4" x14ac:dyDescent="0.35">
      <c r="C9035" s="51"/>
      <c r="D9035" s="51"/>
    </row>
    <row r="9036" spans="3:4" x14ac:dyDescent="0.35">
      <c r="C9036" s="51"/>
      <c r="D9036" s="51"/>
    </row>
    <row r="9037" spans="3:4" x14ac:dyDescent="0.35">
      <c r="C9037" s="51"/>
      <c r="D9037" s="51"/>
    </row>
    <row r="9038" spans="3:4" x14ac:dyDescent="0.35">
      <c r="C9038" s="51"/>
      <c r="D9038" s="51"/>
    </row>
    <row r="9039" spans="3:4" x14ac:dyDescent="0.35">
      <c r="C9039" s="51"/>
      <c r="D9039" s="51"/>
    </row>
    <row r="9040" spans="3:4" x14ac:dyDescent="0.35">
      <c r="C9040" s="51"/>
      <c r="D9040" s="51"/>
    </row>
    <row r="9041" spans="3:4" x14ac:dyDescent="0.35">
      <c r="C9041" s="51"/>
      <c r="D9041" s="51"/>
    </row>
    <row r="9042" spans="3:4" x14ac:dyDescent="0.35">
      <c r="C9042" s="51"/>
      <c r="D9042" s="51"/>
    </row>
    <row r="9043" spans="3:4" x14ac:dyDescent="0.35">
      <c r="C9043" s="51"/>
      <c r="D9043" s="51"/>
    </row>
    <row r="9044" spans="3:4" x14ac:dyDescent="0.35">
      <c r="C9044" s="51"/>
      <c r="D9044" s="51"/>
    </row>
    <row r="9045" spans="3:4" x14ac:dyDescent="0.35">
      <c r="C9045" s="51"/>
      <c r="D9045" s="51"/>
    </row>
    <row r="9046" spans="3:4" x14ac:dyDescent="0.35">
      <c r="C9046" s="51"/>
      <c r="D9046" s="51"/>
    </row>
    <row r="9047" spans="3:4" x14ac:dyDescent="0.35">
      <c r="C9047" s="51"/>
      <c r="D9047" s="51"/>
    </row>
    <row r="9048" spans="3:4" x14ac:dyDescent="0.35">
      <c r="C9048" s="51"/>
      <c r="D9048" s="51"/>
    </row>
    <row r="9049" spans="3:4" x14ac:dyDescent="0.35">
      <c r="C9049" s="51"/>
      <c r="D9049" s="51"/>
    </row>
    <row r="9050" spans="3:4" x14ac:dyDescent="0.35">
      <c r="C9050" s="51"/>
      <c r="D9050" s="51"/>
    </row>
    <row r="9051" spans="3:4" x14ac:dyDescent="0.35">
      <c r="C9051" s="51"/>
      <c r="D9051" s="51"/>
    </row>
    <row r="9052" spans="3:4" x14ac:dyDescent="0.35">
      <c r="C9052" s="51"/>
      <c r="D9052" s="51"/>
    </row>
    <row r="9053" spans="3:4" x14ac:dyDescent="0.35">
      <c r="C9053" s="51"/>
      <c r="D9053" s="51"/>
    </row>
    <row r="9054" spans="3:4" x14ac:dyDescent="0.35">
      <c r="C9054" s="51"/>
      <c r="D9054" s="51"/>
    </row>
    <row r="9055" spans="3:4" x14ac:dyDescent="0.35">
      <c r="C9055" s="51"/>
      <c r="D9055" s="51"/>
    </row>
    <row r="9056" spans="3:4" x14ac:dyDescent="0.35">
      <c r="C9056" s="51"/>
      <c r="D9056" s="51"/>
    </row>
    <row r="9057" spans="3:4" x14ac:dyDescent="0.35">
      <c r="C9057" s="51"/>
      <c r="D9057" s="51"/>
    </row>
    <row r="9058" spans="3:4" x14ac:dyDescent="0.35">
      <c r="C9058" s="51"/>
      <c r="D9058" s="51"/>
    </row>
    <row r="9059" spans="3:4" x14ac:dyDescent="0.35">
      <c r="C9059" s="51"/>
      <c r="D9059" s="51"/>
    </row>
    <row r="9060" spans="3:4" x14ac:dyDescent="0.35">
      <c r="C9060" s="51"/>
      <c r="D9060" s="51"/>
    </row>
    <row r="9061" spans="3:4" x14ac:dyDescent="0.35">
      <c r="C9061" s="51"/>
      <c r="D9061" s="51"/>
    </row>
    <row r="9062" spans="3:4" x14ac:dyDescent="0.35">
      <c r="C9062" s="51"/>
      <c r="D9062" s="51"/>
    </row>
    <row r="9063" spans="3:4" x14ac:dyDescent="0.35">
      <c r="C9063" s="51"/>
      <c r="D9063" s="51"/>
    </row>
    <row r="9064" spans="3:4" x14ac:dyDescent="0.35">
      <c r="C9064" s="51"/>
      <c r="D9064" s="51"/>
    </row>
    <row r="9065" spans="3:4" x14ac:dyDescent="0.35">
      <c r="C9065" s="51"/>
      <c r="D9065" s="51"/>
    </row>
    <row r="9066" spans="3:4" x14ac:dyDescent="0.35">
      <c r="C9066" s="51"/>
      <c r="D9066" s="51"/>
    </row>
    <row r="9067" spans="3:4" x14ac:dyDescent="0.35">
      <c r="C9067" s="51"/>
      <c r="D9067" s="51"/>
    </row>
    <row r="9068" spans="3:4" x14ac:dyDescent="0.35">
      <c r="C9068" s="51"/>
      <c r="D9068" s="51"/>
    </row>
    <row r="9069" spans="3:4" x14ac:dyDescent="0.35">
      <c r="C9069" s="51"/>
      <c r="D9069" s="51"/>
    </row>
    <row r="9070" spans="3:4" x14ac:dyDescent="0.35">
      <c r="C9070" s="51"/>
      <c r="D9070" s="51"/>
    </row>
    <row r="9071" spans="3:4" x14ac:dyDescent="0.35">
      <c r="C9071" s="51"/>
      <c r="D9071" s="51"/>
    </row>
    <row r="9072" spans="3:4" x14ac:dyDescent="0.35">
      <c r="C9072" s="51"/>
      <c r="D9072" s="51"/>
    </row>
    <row r="9073" spans="3:4" x14ac:dyDescent="0.35">
      <c r="C9073" s="51"/>
      <c r="D9073" s="51"/>
    </row>
    <row r="9074" spans="3:4" x14ac:dyDescent="0.35">
      <c r="C9074" s="51"/>
      <c r="D9074" s="51"/>
    </row>
    <row r="9075" spans="3:4" x14ac:dyDescent="0.35">
      <c r="C9075" s="51"/>
      <c r="D9075" s="51"/>
    </row>
    <row r="9076" spans="3:4" x14ac:dyDescent="0.35">
      <c r="C9076" s="51"/>
      <c r="D9076" s="51"/>
    </row>
    <row r="9077" spans="3:4" x14ac:dyDescent="0.35">
      <c r="C9077" s="51"/>
      <c r="D9077" s="51"/>
    </row>
    <row r="9078" spans="3:4" x14ac:dyDescent="0.35">
      <c r="C9078" s="51"/>
      <c r="D9078" s="51"/>
    </row>
    <row r="9079" spans="3:4" x14ac:dyDescent="0.35">
      <c r="C9079" s="51"/>
      <c r="D9079" s="51"/>
    </row>
    <row r="9080" spans="3:4" x14ac:dyDescent="0.35">
      <c r="C9080" s="51"/>
      <c r="D9080" s="51"/>
    </row>
    <row r="9081" spans="3:4" x14ac:dyDescent="0.35">
      <c r="C9081" s="51"/>
      <c r="D9081" s="51"/>
    </row>
    <row r="9082" spans="3:4" x14ac:dyDescent="0.35">
      <c r="C9082" s="51"/>
      <c r="D9082" s="51"/>
    </row>
    <row r="9083" spans="3:4" x14ac:dyDescent="0.35">
      <c r="C9083" s="51"/>
      <c r="D9083" s="51"/>
    </row>
    <row r="9084" spans="3:4" x14ac:dyDescent="0.35">
      <c r="C9084" s="51"/>
      <c r="D9084" s="51"/>
    </row>
    <row r="9085" spans="3:4" x14ac:dyDescent="0.35">
      <c r="C9085" s="51"/>
      <c r="D9085" s="51"/>
    </row>
    <row r="9086" spans="3:4" x14ac:dyDescent="0.35">
      <c r="C9086" s="51"/>
      <c r="D9086" s="51"/>
    </row>
    <row r="9087" spans="3:4" x14ac:dyDescent="0.35">
      <c r="C9087" s="51"/>
      <c r="D9087" s="51"/>
    </row>
    <row r="9088" spans="3:4" x14ac:dyDescent="0.35">
      <c r="C9088" s="51"/>
      <c r="D9088" s="51"/>
    </row>
    <row r="9089" spans="3:4" x14ac:dyDescent="0.35">
      <c r="C9089" s="51"/>
      <c r="D9089" s="51"/>
    </row>
    <row r="9090" spans="3:4" x14ac:dyDescent="0.35">
      <c r="C9090" s="51"/>
      <c r="D9090" s="51"/>
    </row>
    <row r="9091" spans="3:4" x14ac:dyDescent="0.35">
      <c r="C9091" s="51"/>
      <c r="D9091" s="51"/>
    </row>
    <row r="9092" spans="3:4" x14ac:dyDescent="0.35">
      <c r="C9092" s="51"/>
      <c r="D9092" s="51"/>
    </row>
    <row r="9093" spans="3:4" x14ac:dyDescent="0.35">
      <c r="C9093" s="51"/>
      <c r="D9093" s="51"/>
    </row>
    <row r="9094" spans="3:4" x14ac:dyDescent="0.35">
      <c r="C9094" s="51"/>
      <c r="D9094" s="51"/>
    </row>
    <row r="9095" spans="3:4" x14ac:dyDescent="0.35">
      <c r="C9095" s="51"/>
      <c r="D9095" s="51"/>
    </row>
    <row r="9096" spans="3:4" x14ac:dyDescent="0.35">
      <c r="C9096" s="51"/>
      <c r="D9096" s="51"/>
    </row>
    <row r="9097" spans="3:4" x14ac:dyDescent="0.35">
      <c r="C9097" s="51"/>
      <c r="D9097" s="51"/>
    </row>
    <row r="9098" spans="3:4" x14ac:dyDescent="0.35">
      <c r="C9098" s="51"/>
      <c r="D9098" s="51"/>
    </row>
    <row r="9099" spans="3:4" x14ac:dyDescent="0.35">
      <c r="C9099" s="51"/>
      <c r="D9099" s="51"/>
    </row>
    <row r="9100" spans="3:4" x14ac:dyDescent="0.35">
      <c r="C9100" s="51"/>
      <c r="D9100" s="51"/>
    </row>
    <row r="9101" spans="3:4" x14ac:dyDescent="0.35">
      <c r="C9101" s="51"/>
      <c r="D9101" s="51"/>
    </row>
    <row r="9102" spans="3:4" x14ac:dyDescent="0.35">
      <c r="C9102" s="51"/>
      <c r="D9102" s="51"/>
    </row>
    <row r="9103" spans="3:4" x14ac:dyDescent="0.35">
      <c r="C9103" s="51"/>
      <c r="D9103" s="51"/>
    </row>
    <row r="9104" spans="3:4" x14ac:dyDescent="0.35">
      <c r="C9104" s="51"/>
      <c r="D9104" s="51"/>
    </row>
    <row r="9105" spans="3:4" x14ac:dyDescent="0.35">
      <c r="C9105" s="51"/>
      <c r="D9105" s="51"/>
    </row>
    <row r="9106" spans="3:4" x14ac:dyDescent="0.35">
      <c r="C9106" s="51"/>
      <c r="D9106" s="51"/>
    </row>
    <row r="9107" spans="3:4" x14ac:dyDescent="0.35">
      <c r="C9107" s="51"/>
      <c r="D9107" s="51"/>
    </row>
    <row r="9108" spans="3:4" x14ac:dyDescent="0.35">
      <c r="C9108" s="51"/>
      <c r="D9108" s="51"/>
    </row>
    <row r="9109" spans="3:4" x14ac:dyDescent="0.35">
      <c r="C9109" s="51"/>
      <c r="D9109" s="51"/>
    </row>
    <row r="9110" spans="3:4" x14ac:dyDescent="0.35">
      <c r="C9110" s="51"/>
      <c r="D9110" s="51"/>
    </row>
    <row r="9111" spans="3:4" x14ac:dyDescent="0.35">
      <c r="C9111" s="51"/>
      <c r="D9111" s="51"/>
    </row>
    <row r="9112" spans="3:4" x14ac:dyDescent="0.35">
      <c r="C9112" s="51"/>
      <c r="D9112" s="51"/>
    </row>
    <row r="9113" spans="3:4" x14ac:dyDescent="0.35">
      <c r="C9113" s="51"/>
      <c r="D9113" s="51"/>
    </row>
    <row r="9114" spans="3:4" x14ac:dyDescent="0.35">
      <c r="C9114" s="51"/>
      <c r="D9114" s="51"/>
    </row>
    <row r="9115" spans="3:4" x14ac:dyDescent="0.35">
      <c r="C9115" s="51"/>
      <c r="D9115" s="51"/>
    </row>
    <row r="9116" spans="3:4" x14ac:dyDescent="0.35">
      <c r="C9116" s="51"/>
      <c r="D9116" s="51"/>
    </row>
    <row r="9117" spans="3:4" x14ac:dyDescent="0.35">
      <c r="C9117" s="51"/>
      <c r="D9117" s="51"/>
    </row>
    <row r="9118" spans="3:4" x14ac:dyDescent="0.35">
      <c r="C9118" s="51"/>
      <c r="D9118" s="51"/>
    </row>
    <row r="9119" spans="3:4" x14ac:dyDescent="0.35">
      <c r="C9119" s="51"/>
      <c r="D9119" s="51"/>
    </row>
    <row r="9120" spans="3:4" x14ac:dyDescent="0.35">
      <c r="C9120" s="51"/>
      <c r="D9120" s="51"/>
    </row>
    <row r="9121" spans="3:4" x14ac:dyDescent="0.35">
      <c r="C9121" s="51"/>
      <c r="D9121" s="51"/>
    </row>
    <row r="9122" spans="3:4" x14ac:dyDescent="0.35">
      <c r="C9122" s="51"/>
      <c r="D9122" s="51"/>
    </row>
    <row r="9123" spans="3:4" x14ac:dyDescent="0.35">
      <c r="C9123" s="51"/>
      <c r="D9123" s="51"/>
    </row>
    <row r="9124" spans="3:4" x14ac:dyDescent="0.35">
      <c r="C9124" s="51"/>
      <c r="D9124" s="51"/>
    </row>
    <row r="9125" spans="3:4" x14ac:dyDescent="0.35">
      <c r="C9125" s="51"/>
      <c r="D9125" s="51"/>
    </row>
    <row r="9126" spans="3:4" x14ac:dyDescent="0.35">
      <c r="C9126" s="51"/>
      <c r="D9126" s="51"/>
    </row>
    <row r="9127" spans="3:4" x14ac:dyDescent="0.35">
      <c r="C9127" s="51"/>
      <c r="D9127" s="51"/>
    </row>
    <row r="9128" spans="3:4" x14ac:dyDescent="0.35">
      <c r="C9128" s="51"/>
      <c r="D9128" s="51"/>
    </row>
    <row r="9129" spans="3:4" x14ac:dyDescent="0.35">
      <c r="C9129" s="51"/>
      <c r="D9129" s="51"/>
    </row>
    <row r="9130" spans="3:4" x14ac:dyDescent="0.35">
      <c r="C9130" s="51"/>
      <c r="D9130" s="51"/>
    </row>
    <row r="9131" spans="3:4" x14ac:dyDescent="0.35">
      <c r="C9131" s="51"/>
      <c r="D9131" s="51"/>
    </row>
    <row r="9132" spans="3:4" x14ac:dyDescent="0.35">
      <c r="C9132" s="51"/>
      <c r="D9132" s="51"/>
    </row>
    <row r="9133" spans="3:4" x14ac:dyDescent="0.35">
      <c r="C9133" s="51"/>
      <c r="D9133" s="51"/>
    </row>
    <row r="9134" spans="3:4" x14ac:dyDescent="0.35">
      <c r="C9134" s="51"/>
      <c r="D9134" s="51"/>
    </row>
    <row r="9135" spans="3:4" x14ac:dyDescent="0.35">
      <c r="C9135" s="51"/>
      <c r="D9135" s="51"/>
    </row>
    <row r="9136" spans="3:4" x14ac:dyDescent="0.35">
      <c r="C9136" s="51"/>
      <c r="D9136" s="51"/>
    </row>
    <row r="9137" spans="3:4" x14ac:dyDescent="0.35">
      <c r="C9137" s="51"/>
      <c r="D9137" s="51"/>
    </row>
    <row r="9138" spans="3:4" x14ac:dyDescent="0.35">
      <c r="C9138" s="51"/>
      <c r="D9138" s="51"/>
    </row>
    <row r="9139" spans="3:4" x14ac:dyDescent="0.35">
      <c r="C9139" s="51"/>
      <c r="D9139" s="51"/>
    </row>
    <row r="9140" spans="3:4" x14ac:dyDescent="0.35">
      <c r="C9140" s="51"/>
      <c r="D9140" s="51"/>
    </row>
    <row r="9141" spans="3:4" x14ac:dyDescent="0.35">
      <c r="C9141" s="51"/>
      <c r="D9141" s="51"/>
    </row>
    <row r="9142" spans="3:4" x14ac:dyDescent="0.35">
      <c r="C9142" s="51"/>
      <c r="D9142" s="51"/>
    </row>
    <row r="9143" spans="3:4" x14ac:dyDescent="0.35">
      <c r="C9143" s="51"/>
      <c r="D9143" s="51"/>
    </row>
    <row r="9144" spans="3:4" x14ac:dyDescent="0.35">
      <c r="C9144" s="51"/>
      <c r="D9144" s="51"/>
    </row>
    <row r="9145" spans="3:4" x14ac:dyDescent="0.35">
      <c r="C9145" s="51"/>
      <c r="D9145" s="51"/>
    </row>
    <row r="9146" spans="3:4" x14ac:dyDescent="0.35">
      <c r="C9146" s="51"/>
      <c r="D9146" s="51"/>
    </row>
    <row r="9147" spans="3:4" x14ac:dyDescent="0.35">
      <c r="C9147" s="51"/>
      <c r="D9147" s="51"/>
    </row>
    <row r="9148" spans="3:4" x14ac:dyDescent="0.35">
      <c r="C9148" s="51"/>
      <c r="D9148" s="51"/>
    </row>
    <row r="9149" spans="3:4" x14ac:dyDescent="0.35">
      <c r="C9149" s="51"/>
      <c r="D9149" s="51"/>
    </row>
    <row r="9150" spans="3:4" x14ac:dyDescent="0.35">
      <c r="C9150" s="51"/>
      <c r="D9150" s="51"/>
    </row>
    <row r="9151" spans="3:4" x14ac:dyDescent="0.35">
      <c r="C9151" s="51"/>
      <c r="D9151" s="51"/>
    </row>
    <row r="9152" spans="3:4" x14ac:dyDescent="0.35">
      <c r="C9152" s="51"/>
      <c r="D9152" s="51"/>
    </row>
    <row r="9153" spans="3:4" x14ac:dyDescent="0.35">
      <c r="C9153" s="51"/>
      <c r="D9153" s="51"/>
    </row>
    <row r="9154" spans="3:4" x14ac:dyDescent="0.35">
      <c r="C9154" s="51"/>
      <c r="D9154" s="51"/>
    </row>
    <row r="9155" spans="3:4" x14ac:dyDescent="0.35">
      <c r="C9155" s="51"/>
      <c r="D9155" s="51"/>
    </row>
    <row r="9156" spans="3:4" x14ac:dyDescent="0.35">
      <c r="C9156" s="51"/>
      <c r="D9156" s="51"/>
    </row>
    <row r="9157" spans="3:4" x14ac:dyDescent="0.35">
      <c r="C9157" s="51"/>
      <c r="D9157" s="51"/>
    </row>
    <row r="9158" spans="3:4" x14ac:dyDescent="0.35">
      <c r="C9158" s="51"/>
      <c r="D9158" s="51"/>
    </row>
    <row r="9159" spans="3:4" x14ac:dyDescent="0.35">
      <c r="C9159" s="51"/>
      <c r="D9159" s="51"/>
    </row>
    <row r="9160" spans="3:4" x14ac:dyDescent="0.35">
      <c r="C9160" s="51"/>
      <c r="D9160" s="51"/>
    </row>
    <row r="9161" spans="3:4" x14ac:dyDescent="0.35">
      <c r="C9161" s="51"/>
      <c r="D9161" s="51"/>
    </row>
    <row r="9162" spans="3:4" x14ac:dyDescent="0.35">
      <c r="C9162" s="51"/>
      <c r="D9162" s="51"/>
    </row>
    <row r="9163" spans="3:4" x14ac:dyDescent="0.35">
      <c r="C9163" s="51"/>
      <c r="D9163" s="51"/>
    </row>
    <row r="9164" spans="3:4" x14ac:dyDescent="0.35">
      <c r="C9164" s="51"/>
      <c r="D9164" s="51"/>
    </row>
    <row r="9165" spans="3:4" x14ac:dyDescent="0.35">
      <c r="C9165" s="51"/>
      <c r="D9165" s="51"/>
    </row>
    <row r="9166" spans="3:4" x14ac:dyDescent="0.35">
      <c r="C9166" s="51"/>
      <c r="D9166" s="51"/>
    </row>
    <row r="9167" spans="3:4" x14ac:dyDescent="0.35">
      <c r="C9167" s="51"/>
      <c r="D9167" s="51"/>
    </row>
    <row r="9168" spans="3:4" x14ac:dyDescent="0.35">
      <c r="C9168" s="51"/>
      <c r="D9168" s="51"/>
    </row>
    <row r="9169" spans="3:4" x14ac:dyDescent="0.35">
      <c r="C9169" s="51"/>
      <c r="D9169" s="51"/>
    </row>
    <row r="9170" spans="3:4" x14ac:dyDescent="0.35">
      <c r="C9170" s="51"/>
      <c r="D9170" s="51"/>
    </row>
    <row r="9171" spans="3:4" x14ac:dyDescent="0.35">
      <c r="C9171" s="51"/>
      <c r="D9171" s="51"/>
    </row>
    <row r="9172" spans="3:4" x14ac:dyDescent="0.35">
      <c r="C9172" s="51"/>
      <c r="D9172" s="51"/>
    </row>
    <row r="9173" spans="3:4" x14ac:dyDescent="0.35">
      <c r="C9173" s="51"/>
      <c r="D9173" s="51"/>
    </row>
    <row r="9174" spans="3:4" x14ac:dyDescent="0.35">
      <c r="C9174" s="51"/>
      <c r="D9174" s="51"/>
    </row>
    <row r="9175" spans="3:4" x14ac:dyDescent="0.35">
      <c r="C9175" s="51"/>
      <c r="D9175" s="51"/>
    </row>
    <row r="9176" spans="3:4" x14ac:dyDescent="0.35">
      <c r="C9176" s="51"/>
      <c r="D9176" s="51"/>
    </row>
    <row r="9177" spans="3:4" x14ac:dyDescent="0.35">
      <c r="C9177" s="51"/>
      <c r="D9177" s="51"/>
    </row>
    <row r="9178" spans="3:4" x14ac:dyDescent="0.35">
      <c r="C9178" s="51"/>
      <c r="D9178" s="51"/>
    </row>
    <row r="9179" spans="3:4" x14ac:dyDescent="0.35">
      <c r="C9179" s="51"/>
      <c r="D9179" s="51"/>
    </row>
    <row r="9180" spans="3:4" x14ac:dyDescent="0.35">
      <c r="C9180" s="51"/>
      <c r="D9180" s="51"/>
    </row>
    <row r="9181" spans="3:4" x14ac:dyDescent="0.35">
      <c r="C9181" s="51"/>
      <c r="D9181" s="51"/>
    </row>
    <row r="9182" spans="3:4" x14ac:dyDescent="0.35">
      <c r="C9182" s="51"/>
      <c r="D9182" s="51"/>
    </row>
    <row r="9183" spans="3:4" x14ac:dyDescent="0.35">
      <c r="C9183" s="51"/>
      <c r="D9183" s="51"/>
    </row>
    <row r="9184" spans="3:4" x14ac:dyDescent="0.35">
      <c r="C9184" s="51"/>
      <c r="D9184" s="51"/>
    </row>
    <row r="9185" spans="3:4" x14ac:dyDescent="0.35">
      <c r="C9185" s="51"/>
      <c r="D9185" s="51"/>
    </row>
    <row r="9186" spans="3:4" x14ac:dyDescent="0.35">
      <c r="C9186" s="51"/>
      <c r="D9186" s="51"/>
    </row>
    <row r="9187" spans="3:4" x14ac:dyDescent="0.35">
      <c r="C9187" s="51"/>
      <c r="D9187" s="51"/>
    </row>
    <row r="9188" spans="3:4" x14ac:dyDescent="0.35">
      <c r="C9188" s="51"/>
      <c r="D9188" s="51"/>
    </row>
    <row r="9189" spans="3:4" x14ac:dyDescent="0.35">
      <c r="C9189" s="51"/>
      <c r="D9189" s="51"/>
    </row>
    <row r="9190" spans="3:4" x14ac:dyDescent="0.35">
      <c r="C9190" s="51"/>
      <c r="D9190" s="51"/>
    </row>
    <row r="9191" spans="3:4" x14ac:dyDescent="0.35">
      <c r="C9191" s="51"/>
      <c r="D9191" s="51"/>
    </row>
    <row r="9192" spans="3:4" x14ac:dyDescent="0.35">
      <c r="C9192" s="51"/>
      <c r="D9192" s="51"/>
    </row>
    <row r="9193" spans="3:4" x14ac:dyDescent="0.35">
      <c r="C9193" s="51"/>
      <c r="D9193" s="51"/>
    </row>
    <row r="9194" spans="3:4" x14ac:dyDescent="0.35">
      <c r="C9194" s="51"/>
      <c r="D9194" s="51"/>
    </row>
    <row r="9195" spans="3:4" x14ac:dyDescent="0.35">
      <c r="C9195" s="51"/>
      <c r="D9195" s="51"/>
    </row>
    <row r="9196" spans="3:4" x14ac:dyDescent="0.35">
      <c r="C9196" s="51"/>
      <c r="D9196" s="51"/>
    </row>
    <row r="9197" spans="3:4" x14ac:dyDescent="0.35">
      <c r="C9197" s="51"/>
      <c r="D9197" s="51"/>
    </row>
    <row r="9198" spans="3:4" x14ac:dyDescent="0.35">
      <c r="C9198" s="51"/>
      <c r="D9198" s="51"/>
    </row>
    <row r="9199" spans="3:4" x14ac:dyDescent="0.35">
      <c r="C9199" s="51"/>
      <c r="D9199" s="51"/>
    </row>
    <row r="9200" spans="3:4" x14ac:dyDescent="0.35">
      <c r="C9200" s="51"/>
      <c r="D9200" s="51"/>
    </row>
    <row r="9201" spans="3:4" x14ac:dyDescent="0.35">
      <c r="C9201" s="51"/>
      <c r="D9201" s="51"/>
    </row>
    <row r="9202" spans="3:4" x14ac:dyDescent="0.35">
      <c r="C9202" s="51"/>
      <c r="D9202" s="51"/>
    </row>
    <row r="9203" spans="3:4" x14ac:dyDescent="0.35">
      <c r="C9203" s="51"/>
      <c r="D9203" s="51"/>
    </row>
    <row r="9204" spans="3:4" x14ac:dyDescent="0.35">
      <c r="C9204" s="51"/>
      <c r="D9204" s="51"/>
    </row>
    <row r="9205" spans="3:4" x14ac:dyDescent="0.35">
      <c r="C9205" s="51"/>
      <c r="D9205" s="51"/>
    </row>
    <row r="9206" spans="3:4" x14ac:dyDescent="0.35">
      <c r="C9206" s="51"/>
      <c r="D9206" s="51"/>
    </row>
    <row r="9207" spans="3:4" x14ac:dyDescent="0.35">
      <c r="C9207" s="51"/>
      <c r="D9207" s="51"/>
    </row>
    <row r="9208" spans="3:4" x14ac:dyDescent="0.35">
      <c r="C9208" s="51"/>
      <c r="D9208" s="51"/>
    </row>
    <row r="9209" spans="3:4" x14ac:dyDescent="0.35">
      <c r="C9209" s="51"/>
      <c r="D9209" s="51"/>
    </row>
    <row r="9210" spans="3:4" x14ac:dyDescent="0.35">
      <c r="C9210" s="51"/>
      <c r="D9210" s="51"/>
    </row>
    <row r="9211" spans="3:4" x14ac:dyDescent="0.35">
      <c r="C9211" s="51"/>
      <c r="D9211" s="51"/>
    </row>
    <row r="9212" spans="3:4" x14ac:dyDescent="0.35">
      <c r="C9212" s="51"/>
      <c r="D9212" s="51"/>
    </row>
    <row r="9213" spans="3:4" x14ac:dyDescent="0.35">
      <c r="C9213" s="51"/>
      <c r="D9213" s="51"/>
    </row>
    <row r="9214" spans="3:4" x14ac:dyDescent="0.35">
      <c r="C9214" s="51"/>
      <c r="D9214" s="51"/>
    </row>
    <row r="9215" spans="3:4" x14ac:dyDescent="0.35">
      <c r="C9215" s="51"/>
      <c r="D9215" s="51"/>
    </row>
    <row r="9216" spans="3:4" x14ac:dyDescent="0.35">
      <c r="C9216" s="51"/>
      <c r="D9216" s="51"/>
    </row>
    <row r="9217" spans="3:4" x14ac:dyDescent="0.35">
      <c r="C9217" s="51"/>
      <c r="D9217" s="51"/>
    </row>
    <row r="9218" spans="3:4" x14ac:dyDescent="0.35">
      <c r="C9218" s="51"/>
      <c r="D9218" s="51"/>
    </row>
    <row r="9219" spans="3:4" x14ac:dyDescent="0.35">
      <c r="C9219" s="51"/>
      <c r="D9219" s="51"/>
    </row>
    <row r="9220" spans="3:4" x14ac:dyDescent="0.35">
      <c r="C9220" s="51"/>
      <c r="D9220" s="51"/>
    </row>
    <row r="9221" spans="3:4" x14ac:dyDescent="0.35">
      <c r="C9221" s="51"/>
      <c r="D9221" s="51"/>
    </row>
    <row r="9222" spans="3:4" x14ac:dyDescent="0.35">
      <c r="C9222" s="51"/>
      <c r="D9222" s="51"/>
    </row>
    <row r="9223" spans="3:4" x14ac:dyDescent="0.35">
      <c r="C9223" s="51"/>
      <c r="D9223" s="51"/>
    </row>
    <row r="9224" spans="3:4" x14ac:dyDescent="0.35">
      <c r="C9224" s="51"/>
      <c r="D9224" s="51"/>
    </row>
    <row r="9225" spans="3:4" x14ac:dyDescent="0.35">
      <c r="C9225" s="51"/>
      <c r="D9225" s="51"/>
    </row>
    <row r="9226" spans="3:4" x14ac:dyDescent="0.35">
      <c r="C9226" s="51"/>
      <c r="D9226" s="51"/>
    </row>
    <row r="9227" spans="3:4" x14ac:dyDescent="0.35">
      <c r="C9227" s="51"/>
      <c r="D9227" s="51"/>
    </row>
    <row r="9228" spans="3:4" x14ac:dyDescent="0.35">
      <c r="C9228" s="51"/>
      <c r="D9228" s="51"/>
    </row>
    <row r="9229" spans="3:4" x14ac:dyDescent="0.35">
      <c r="C9229" s="51"/>
      <c r="D9229" s="51"/>
    </row>
    <row r="9230" spans="3:4" x14ac:dyDescent="0.35">
      <c r="C9230" s="51"/>
      <c r="D9230" s="51"/>
    </row>
    <row r="9231" spans="3:4" x14ac:dyDescent="0.35">
      <c r="C9231" s="51"/>
      <c r="D9231" s="51"/>
    </row>
    <row r="9232" spans="3:4" x14ac:dyDescent="0.35">
      <c r="C9232" s="51"/>
      <c r="D9232" s="51"/>
    </row>
    <row r="9233" spans="3:4" x14ac:dyDescent="0.35">
      <c r="C9233" s="51"/>
      <c r="D9233" s="51"/>
    </row>
    <row r="9234" spans="3:4" x14ac:dyDescent="0.35">
      <c r="C9234" s="51"/>
      <c r="D9234" s="51"/>
    </row>
    <row r="9235" spans="3:4" x14ac:dyDescent="0.35">
      <c r="C9235" s="51"/>
      <c r="D9235" s="51"/>
    </row>
    <row r="9236" spans="3:4" x14ac:dyDescent="0.35">
      <c r="C9236" s="51"/>
      <c r="D9236" s="51"/>
    </row>
    <row r="9237" spans="3:4" x14ac:dyDescent="0.35">
      <c r="C9237" s="51"/>
      <c r="D9237" s="51"/>
    </row>
    <row r="9238" spans="3:4" x14ac:dyDescent="0.35">
      <c r="C9238" s="51"/>
      <c r="D9238" s="51"/>
    </row>
    <row r="9239" spans="3:4" x14ac:dyDescent="0.35">
      <c r="C9239" s="51"/>
      <c r="D9239" s="51"/>
    </row>
    <row r="9240" spans="3:4" x14ac:dyDescent="0.35">
      <c r="C9240" s="51"/>
      <c r="D9240" s="51"/>
    </row>
    <row r="9241" spans="3:4" x14ac:dyDescent="0.35">
      <c r="C9241" s="51"/>
      <c r="D9241" s="51"/>
    </row>
    <row r="9242" spans="3:4" x14ac:dyDescent="0.35">
      <c r="C9242" s="51"/>
      <c r="D9242" s="51"/>
    </row>
    <row r="9243" spans="3:4" x14ac:dyDescent="0.35">
      <c r="C9243" s="51"/>
      <c r="D9243" s="51"/>
    </row>
    <row r="9244" spans="3:4" x14ac:dyDescent="0.35">
      <c r="C9244" s="51"/>
      <c r="D9244" s="51"/>
    </row>
    <row r="9245" spans="3:4" x14ac:dyDescent="0.35">
      <c r="C9245" s="51"/>
      <c r="D9245" s="51"/>
    </row>
    <row r="9246" spans="3:4" x14ac:dyDescent="0.35">
      <c r="C9246" s="51"/>
      <c r="D9246" s="51"/>
    </row>
    <row r="9247" spans="3:4" x14ac:dyDescent="0.35">
      <c r="C9247" s="51"/>
      <c r="D9247" s="51"/>
    </row>
    <row r="9248" spans="3:4" x14ac:dyDescent="0.35">
      <c r="C9248" s="51"/>
      <c r="D9248" s="51"/>
    </row>
    <row r="9249" spans="3:4" x14ac:dyDescent="0.35">
      <c r="C9249" s="51"/>
      <c r="D9249" s="51"/>
    </row>
    <row r="9250" spans="3:4" x14ac:dyDescent="0.35">
      <c r="C9250" s="51"/>
      <c r="D9250" s="51"/>
    </row>
    <row r="9251" spans="3:4" x14ac:dyDescent="0.35">
      <c r="C9251" s="51"/>
      <c r="D9251" s="51"/>
    </row>
    <row r="9252" spans="3:4" x14ac:dyDescent="0.35">
      <c r="C9252" s="51"/>
      <c r="D9252" s="51"/>
    </row>
    <row r="9253" spans="3:4" x14ac:dyDescent="0.35">
      <c r="C9253" s="51"/>
      <c r="D9253" s="51"/>
    </row>
    <row r="9254" spans="3:4" x14ac:dyDescent="0.35">
      <c r="C9254" s="51"/>
      <c r="D9254" s="51"/>
    </row>
    <row r="9255" spans="3:4" x14ac:dyDescent="0.35">
      <c r="C9255" s="51"/>
      <c r="D9255" s="51"/>
    </row>
    <row r="9256" spans="3:4" x14ac:dyDescent="0.35">
      <c r="C9256" s="51"/>
      <c r="D9256" s="51"/>
    </row>
    <row r="9257" spans="3:4" x14ac:dyDescent="0.35">
      <c r="C9257" s="51"/>
      <c r="D9257" s="51"/>
    </row>
    <row r="9258" spans="3:4" x14ac:dyDescent="0.35">
      <c r="C9258" s="51"/>
      <c r="D9258" s="51"/>
    </row>
    <row r="9259" spans="3:4" x14ac:dyDescent="0.35">
      <c r="C9259" s="51"/>
      <c r="D9259" s="51"/>
    </row>
    <row r="9260" spans="3:4" x14ac:dyDescent="0.35">
      <c r="C9260" s="51"/>
      <c r="D9260" s="51"/>
    </row>
    <row r="9261" spans="3:4" x14ac:dyDescent="0.35">
      <c r="C9261" s="51"/>
      <c r="D9261" s="51"/>
    </row>
    <row r="9262" spans="3:4" x14ac:dyDescent="0.35">
      <c r="C9262" s="51"/>
      <c r="D9262" s="51"/>
    </row>
    <row r="9263" spans="3:4" x14ac:dyDescent="0.35">
      <c r="C9263" s="51"/>
      <c r="D9263" s="51"/>
    </row>
    <row r="9264" spans="3:4" x14ac:dyDescent="0.35">
      <c r="C9264" s="51"/>
      <c r="D9264" s="51"/>
    </row>
    <row r="9265" spans="3:4" x14ac:dyDescent="0.35">
      <c r="C9265" s="51"/>
      <c r="D9265" s="51"/>
    </row>
    <row r="9266" spans="3:4" x14ac:dyDescent="0.35">
      <c r="C9266" s="51"/>
      <c r="D9266" s="51"/>
    </row>
    <row r="9267" spans="3:4" x14ac:dyDescent="0.35">
      <c r="C9267" s="51"/>
      <c r="D9267" s="51"/>
    </row>
    <row r="9268" spans="3:4" x14ac:dyDescent="0.35">
      <c r="C9268" s="51"/>
      <c r="D9268" s="51"/>
    </row>
    <row r="9269" spans="3:4" x14ac:dyDescent="0.35">
      <c r="C9269" s="51"/>
      <c r="D9269" s="51"/>
    </row>
    <row r="9270" spans="3:4" x14ac:dyDescent="0.35">
      <c r="C9270" s="51"/>
      <c r="D9270" s="51"/>
    </row>
    <row r="9271" spans="3:4" x14ac:dyDescent="0.35">
      <c r="C9271" s="51"/>
      <c r="D9271" s="51"/>
    </row>
    <row r="9272" spans="3:4" x14ac:dyDescent="0.35">
      <c r="C9272" s="51"/>
      <c r="D9272" s="51"/>
    </row>
    <row r="9273" spans="3:4" x14ac:dyDescent="0.35">
      <c r="C9273" s="51"/>
      <c r="D9273" s="51"/>
    </row>
    <row r="9274" spans="3:4" x14ac:dyDescent="0.35">
      <c r="C9274" s="51"/>
      <c r="D9274" s="51"/>
    </row>
    <row r="9275" spans="3:4" x14ac:dyDescent="0.35">
      <c r="C9275" s="51"/>
      <c r="D9275" s="51"/>
    </row>
    <row r="9276" spans="3:4" x14ac:dyDescent="0.35">
      <c r="C9276" s="51"/>
      <c r="D9276" s="51"/>
    </row>
    <row r="9277" spans="3:4" x14ac:dyDescent="0.35">
      <c r="C9277" s="51"/>
      <c r="D9277" s="51"/>
    </row>
    <row r="9278" spans="3:4" x14ac:dyDescent="0.35">
      <c r="C9278" s="51"/>
      <c r="D9278" s="51"/>
    </row>
    <row r="9279" spans="3:4" x14ac:dyDescent="0.35">
      <c r="C9279" s="51"/>
      <c r="D9279" s="51"/>
    </row>
    <row r="9280" spans="3:4" x14ac:dyDescent="0.35">
      <c r="C9280" s="51"/>
      <c r="D9280" s="51"/>
    </row>
    <row r="9281" spans="3:4" x14ac:dyDescent="0.35">
      <c r="C9281" s="51"/>
      <c r="D9281" s="51"/>
    </row>
    <row r="9282" spans="3:4" x14ac:dyDescent="0.35">
      <c r="C9282" s="51"/>
      <c r="D9282" s="51"/>
    </row>
    <row r="9283" spans="3:4" x14ac:dyDescent="0.35">
      <c r="C9283" s="51"/>
      <c r="D9283" s="51"/>
    </row>
    <row r="9284" spans="3:4" x14ac:dyDescent="0.35">
      <c r="C9284" s="51"/>
      <c r="D9284" s="51"/>
    </row>
    <row r="9285" spans="3:4" x14ac:dyDescent="0.35">
      <c r="C9285" s="51"/>
      <c r="D9285" s="51"/>
    </row>
    <row r="9286" spans="3:4" x14ac:dyDescent="0.35">
      <c r="C9286" s="51"/>
      <c r="D9286" s="51"/>
    </row>
    <row r="9287" spans="3:4" x14ac:dyDescent="0.35">
      <c r="C9287" s="51"/>
      <c r="D9287" s="51"/>
    </row>
    <row r="9288" spans="3:4" x14ac:dyDescent="0.35">
      <c r="C9288" s="51"/>
      <c r="D9288" s="51"/>
    </row>
    <row r="9289" spans="3:4" x14ac:dyDescent="0.35">
      <c r="C9289" s="51"/>
      <c r="D9289" s="51"/>
    </row>
    <row r="9290" spans="3:4" x14ac:dyDescent="0.35">
      <c r="C9290" s="51"/>
      <c r="D9290" s="51"/>
    </row>
    <row r="9291" spans="3:4" x14ac:dyDescent="0.35">
      <c r="C9291" s="51"/>
      <c r="D9291" s="51"/>
    </row>
    <row r="9292" spans="3:4" x14ac:dyDescent="0.35">
      <c r="C9292" s="51"/>
      <c r="D9292" s="51"/>
    </row>
    <row r="9293" spans="3:4" x14ac:dyDescent="0.35">
      <c r="C9293" s="51"/>
      <c r="D9293" s="51"/>
    </row>
    <row r="9294" spans="3:4" x14ac:dyDescent="0.35">
      <c r="C9294" s="51"/>
      <c r="D9294" s="51"/>
    </row>
    <row r="9295" spans="3:4" x14ac:dyDescent="0.35">
      <c r="C9295" s="51"/>
      <c r="D9295" s="51"/>
    </row>
    <row r="9296" spans="3:4" x14ac:dyDescent="0.35">
      <c r="C9296" s="51"/>
      <c r="D9296" s="51"/>
    </row>
    <row r="9297" spans="3:4" x14ac:dyDescent="0.35">
      <c r="C9297" s="51"/>
      <c r="D9297" s="51"/>
    </row>
    <row r="9298" spans="3:4" x14ac:dyDescent="0.35">
      <c r="C9298" s="51"/>
      <c r="D9298" s="51"/>
    </row>
    <row r="9299" spans="3:4" x14ac:dyDescent="0.35">
      <c r="C9299" s="51"/>
      <c r="D9299" s="51"/>
    </row>
    <row r="9300" spans="3:4" x14ac:dyDescent="0.35">
      <c r="C9300" s="51"/>
      <c r="D9300" s="51"/>
    </row>
    <row r="9301" spans="3:4" x14ac:dyDescent="0.35">
      <c r="C9301" s="51"/>
      <c r="D9301" s="51"/>
    </row>
    <row r="9302" spans="3:4" x14ac:dyDescent="0.35">
      <c r="C9302" s="51"/>
      <c r="D9302" s="51"/>
    </row>
    <row r="9303" spans="3:4" x14ac:dyDescent="0.35">
      <c r="C9303" s="51"/>
      <c r="D9303" s="51"/>
    </row>
    <row r="9304" spans="3:4" x14ac:dyDescent="0.35">
      <c r="C9304" s="51"/>
      <c r="D9304" s="51"/>
    </row>
    <row r="9305" spans="3:4" x14ac:dyDescent="0.35">
      <c r="C9305" s="51"/>
      <c r="D9305" s="51"/>
    </row>
    <row r="9306" spans="3:4" x14ac:dyDescent="0.35">
      <c r="C9306" s="51"/>
      <c r="D9306" s="51"/>
    </row>
    <row r="9307" spans="3:4" x14ac:dyDescent="0.35">
      <c r="C9307" s="51"/>
      <c r="D9307" s="51"/>
    </row>
    <row r="9308" spans="3:4" x14ac:dyDescent="0.35">
      <c r="C9308" s="51"/>
      <c r="D9308" s="51"/>
    </row>
    <row r="9309" spans="3:4" x14ac:dyDescent="0.35">
      <c r="C9309" s="51"/>
      <c r="D9309" s="51"/>
    </row>
    <row r="9310" spans="3:4" x14ac:dyDescent="0.35">
      <c r="C9310" s="51"/>
      <c r="D9310" s="51"/>
    </row>
    <row r="9311" spans="3:4" x14ac:dyDescent="0.35">
      <c r="C9311" s="51"/>
      <c r="D9311" s="51"/>
    </row>
    <row r="9312" spans="3:4" x14ac:dyDescent="0.35">
      <c r="C9312" s="51"/>
      <c r="D9312" s="51"/>
    </row>
    <row r="9313" spans="3:4" x14ac:dyDescent="0.35">
      <c r="C9313" s="51"/>
      <c r="D9313" s="51"/>
    </row>
    <row r="9314" spans="3:4" x14ac:dyDescent="0.35">
      <c r="C9314" s="51"/>
      <c r="D9314" s="51"/>
    </row>
    <row r="9315" spans="3:4" x14ac:dyDescent="0.35">
      <c r="C9315" s="51"/>
      <c r="D9315" s="51"/>
    </row>
    <row r="9316" spans="3:4" x14ac:dyDescent="0.35">
      <c r="C9316" s="51"/>
      <c r="D9316" s="51"/>
    </row>
    <row r="9317" spans="3:4" x14ac:dyDescent="0.35">
      <c r="C9317" s="51"/>
      <c r="D9317" s="51"/>
    </row>
    <row r="9318" spans="3:4" x14ac:dyDescent="0.35">
      <c r="C9318" s="51"/>
      <c r="D9318" s="51"/>
    </row>
    <row r="9319" spans="3:4" x14ac:dyDescent="0.35">
      <c r="C9319" s="51"/>
      <c r="D9319" s="51"/>
    </row>
    <row r="9320" spans="3:4" x14ac:dyDescent="0.35">
      <c r="C9320" s="51"/>
      <c r="D9320" s="51"/>
    </row>
    <row r="9321" spans="3:4" x14ac:dyDescent="0.35">
      <c r="C9321" s="51"/>
      <c r="D9321" s="51"/>
    </row>
    <row r="9322" spans="3:4" x14ac:dyDescent="0.35">
      <c r="C9322" s="51"/>
      <c r="D9322" s="51"/>
    </row>
    <row r="9323" spans="3:4" x14ac:dyDescent="0.35">
      <c r="C9323" s="51"/>
      <c r="D9323" s="51"/>
    </row>
    <row r="9324" spans="3:4" x14ac:dyDescent="0.35">
      <c r="C9324" s="51"/>
      <c r="D9324" s="51"/>
    </row>
    <row r="9325" spans="3:4" x14ac:dyDescent="0.35">
      <c r="C9325" s="51"/>
      <c r="D9325" s="51"/>
    </row>
    <row r="9326" spans="3:4" x14ac:dyDescent="0.35">
      <c r="C9326" s="51"/>
      <c r="D9326" s="51"/>
    </row>
    <row r="9327" spans="3:4" x14ac:dyDescent="0.35">
      <c r="C9327" s="51"/>
      <c r="D9327" s="51"/>
    </row>
    <row r="9328" spans="3:4" x14ac:dyDescent="0.35">
      <c r="C9328" s="51"/>
      <c r="D9328" s="51"/>
    </row>
    <row r="9329" spans="3:4" x14ac:dyDescent="0.35">
      <c r="C9329" s="51"/>
      <c r="D9329" s="51"/>
    </row>
    <row r="9330" spans="3:4" x14ac:dyDescent="0.35">
      <c r="C9330" s="51"/>
      <c r="D9330" s="51"/>
    </row>
    <row r="9331" spans="3:4" x14ac:dyDescent="0.35">
      <c r="C9331" s="51"/>
      <c r="D9331" s="51"/>
    </row>
    <row r="9332" spans="3:4" x14ac:dyDescent="0.35">
      <c r="C9332" s="51"/>
      <c r="D9332" s="51"/>
    </row>
    <row r="9333" spans="3:4" x14ac:dyDescent="0.35">
      <c r="C9333" s="51"/>
      <c r="D9333" s="51"/>
    </row>
    <row r="9334" spans="3:4" x14ac:dyDescent="0.35">
      <c r="C9334" s="51"/>
      <c r="D9334" s="51"/>
    </row>
    <row r="9335" spans="3:4" x14ac:dyDescent="0.35">
      <c r="C9335" s="51"/>
      <c r="D9335" s="51"/>
    </row>
    <row r="9336" spans="3:4" x14ac:dyDescent="0.35">
      <c r="C9336" s="51"/>
      <c r="D9336" s="51"/>
    </row>
    <row r="9337" spans="3:4" x14ac:dyDescent="0.35">
      <c r="C9337" s="51"/>
      <c r="D9337" s="51"/>
    </row>
    <row r="9338" spans="3:4" x14ac:dyDescent="0.35">
      <c r="C9338" s="51"/>
      <c r="D9338" s="51"/>
    </row>
    <row r="9339" spans="3:4" x14ac:dyDescent="0.35">
      <c r="C9339" s="51"/>
      <c r="D9339" s="51"/>
    </row>
    <row r="9340" spans="3:4" x14ac:dyDescent="0.35">
      <c r="C9340" s="51"/>
      <c r="D9340" s="51"/>
    </row>
    <row r="9341" spans="3:4" x14ac:dyDescent="0.35">
      <c r="C9341" s="51"/>
      <c r="D9341" s="51"/>
    </row>
    <row r="9342" spans="3:4" x14ac:dyDescent="0.35">
      <c r="C9342" s="51"/>
      <c r="D9342" s="51"/>
    </row>
    <row r="9343" spans="3:4" x14ac:dyDescent="0.35">
      <c r="C9343" s="51"/>
      <c r="D9343" s="51"/>
    </row>
    <row r="9344" spans="3:4" x14ac:dyDescent="0.35">
      <c r="C9344" s="51"/>
      <c r="D9344" s="51"/>
    </row>
    <row r="9345" spans="3:4" x14ac:dyDescent="0.35">
      <c r="C9345" s="51"/>
      <c r="D9345" s="51"/>
    </row>
    <row r="9346" spans="3:4" x14ac:dyDescent="0.35">
      <c r="C9346" s="51"/>
      <c r="D9346" s="51"/>
    </row>
    <row r="9347" spans="3:4" x14ac:dyDescent="0.35">
      <c r="C9347" s="51"/>
      <c r="D9347" s="51"/>
    </row>
    <row r="9348" spans="3:4" x14ac:dyDescent="0.35">
      <c r="C9348" s="51"/>
      <c r="D9348" s="51"/>
    </row>
    <row r="9349" spans="3:4" x14ac:dyDescent="0.35">
      <c r="C9349" s="51"/>
      <c r="D9349" s="51"/>
    </row>
    <row r="9350" spans="3:4" x14ac:dyDescent="0.35">
      <c r="C9350" s="51"/>
      <c r="D9350" s="51"/>
    </row>
    <row r="9351" spans="3:4" x14ac:dyDescent="0.35">
      <c r="C9351" s="51"/>
      <c r="D9351" s="51"/>
    </row>
    <row r="9352" spans="3:4" x14ac:dyDescent="0.35">
      <c r="C9352" s="51"/>
      <c r="D9352" s="51"/>
    </row>
    <row r="9353" spans="3:4" x14ac:dyDescent="0.35">
      <c r="C9353" s="51"/>
      <c r="D9353" s="51"/>
    </row>
    <row r="9354" spans="3:4" x14ac:dyDescent="0.35">
      <c r="C9354" s="51"/>
      <c r="D9354" s="51"/>
    </row>
    <row r="9355" spans="3:4" x14ac:dyDescent="0.35">
      <c r="C9355" s="51"/>
      <c r="D9355" s="51"/>
    </row>
    <row r="9356" spans="3:4" x14ac:dyDescent="0.35">
      <c r="C9356" s="51"/>
      <c r="D9356" s="51"/>
    </row>
    <row r="9357" spans="3:4" x14ac:dyDescent="0.35">
      <c r="C9357" s="51"/>
      <c r="D9357" s="51"/>
    </row>
    <row r="9358" spans="3:4" x14ac:dyDescent="0.35">
      <c r="C9358" s="51"/>
      <c r="D9358" s="51"/>
    </row>
    <row r="9359" spans="3:4" x14ac:dyDescent="0.35">
      <c r="C9359" s="51"/>
      <c r="D9359" s="51"/>
    </row>
    <row r="9360" spans="3:4" x14ac:dyDescent="0.35">
      <c r="C9360" s="51"/>
      <c r="D9360" s="51"/>
    </row>
    <row r="9361" spans="3:4" x14ac:dyDescent="0.35">
      <c r="C9361" s="51"/>
      <c r="D9361" s="51"/>
    </row>
    <row r="9362" spans="3:4" x14ac:dyDescent="0.35">
      <c r="C9362" s="51"/>
      <c r="D9362" s="51"/>
    </row>
    <row r="9363" spans="3:4" x14ac:dyDescent="0.35">
      <c r="C9363" s="51"/>
      <c r="D9363" s="51"/>
    </row>
    <row r="9364" spans="3:4" x14ac:dyDescent="0.35">
      <c r="C9364" s="51"/>
      <c r="D9364" s="51"/>
    </row>
    <row r="9365" spans="3:4" x14ac:dyDescent="0.35">
      <c r="C9365" s="51"/>
      <c r="D9365" s="51"/>
    </row>
    <row r="9366" spans="3:4" x14ac:dyDescent="0.35">
      <c r="C9366" s="51"/>
      <c r="D9366" s="51"/>
    </row>
    <row r="9367" spans="3:4" x14ac:dyDescent="0.35">
      <c r="C9367" s="51"/>
      <c r="D9367" s="51"/>
    </row>
    <row r="9368" spans="3:4" x14ac:dyDescent="0.35">
      <c r="C9368" s="51"/>
      <c r="D9368" s="51"/>
    </row>
    <row r="9369" spans="3:4" x14ac:dyDescent="0.35">
      <c r="C9369" s="51"/>
      <c r="D9369" s="51"/>
    </row>
    <row r="9370" spans="3:4" x14ac:dyDescent="0.35">
      <c r="C9370" s="51"/>
      <c r="D9370" s="51"/>
    </row>
    <row r="9371" spans="3:4" x14ac:dyDescent="0.35">
      <c r="C9371" s="51"/>
      <c r="D9371" s="51"/>
    </row>
    <row r="9372" spans="3:4" x14ac:dyDescent="0.35">
      <c r="C9372" s="51"/>
      <c r="D9372" s="51"/>
    </row>
    <row r="9373" spans="3:4" x14ac:dyDescent="0.35">
      <c r="C9373" s="51"/>
      <c r="D9373" s="51"/>
    </row>
    <row r="9374" spans="3:4" x14ac:dyDescent="0.35">
      <c r="C9374" s="51"/>
      <c r="D9374" s="51"/>
    </row>
    <row r="9375" spans="3:4" x14ac:dyDescent="0.35">
      <c r="C9375" s="51"/>
      <c r="D9375" s="51"/>
    </row>
    <row r="9376" spans="3:4" x14ac:dyDescent="0.35">
      <c r="C9376" s="51"/>
      <c r="D9376" s="51"/>
    </row>
    <row r="9377" spans="3:4" x14ac:dyDescent="0.35">
      <c r="C9377" s="51"/>
      <c r="D9377" s="51"/>
    </row>
    <row r="9378" spans="3:4" x14ac:dyDescent="0.35">
      <c r="C9378" s="51"/>
      <c r="D9378" s="51"/>
    </row>
    <row r="9379" spans="3:4" x14ac:dyDescent="0.35">
      <c r="C9379" s="51"/>
      <c r="D9379" s="51"/>
    </row>
    <row r="9380" spans="3:4" x14ac:dyDescent="0.35">
      <c r="C9380" s="51"/>
      <c r="D9380" s="51"/>
    </row>
    <row r="9381" spans="3:4" x14ac:dyDescent="0.35">
      <c r="C9381" s="51"/>
      <c r="D9381" s="51"/>
    </row>
    <row r="9382" spans="3:4" x14ac:dyDescent="0.35">
      <c r="C9382" s="51"/>
      <c r="D9382" s="51"/>
    </row>
    <row r="9383" spans="3:4" x14ac:dyDescent="0.35">
      <c r="C9383" s="51"/>
      <c r="D9383" s="51"/>
    </row>
    <row r="9384" spans="3:4" x14ac:dyDescent="0.35">
      <c r="C9384" s="51"/>
      <c r="D9384" s="51"/>
    </row>
    <row r="9385" spans="3:4" x14ac:dyDescent="0.35">
      <c r="C9385" s="51"/>
      <c r="D9385" s="51"/>
    </row>
    <row r="9386" spans="3:4" x14ac:dyDescent="0.35">
      <c r="C9386" s="51"/>
      <c r="D9386" s="51"/>
    </row>
    <row r="9387" spans="3:4" x14ac:dyDescent="0.35">
      <c r="C9387" s="51"/>
      <c r="D9387" s="51"/>
    </row>
    <row r="9388" spans="3:4" x14ac:dyDescent="0.35">
      <c r="C9388" s="51"/>
      <c r="D9388" s="51"/>
    </row>
    <row r="9389" spans="3:4" x14ac:dyDescent="0.35">
      <c r="C9389" s="51"/>
      <c r="D9389" s="51"/>
    </row>
    <row r="9390" spans="3:4" x14ac:dyDescent="0.35">
      <c r="C9390" s="51"/>
      <c r="D9390" s="51"/>
    </row>
    <row r="9391" spans="3:4" x14ac:dyDescent="0.35">
      <c r="C9391" s="51"/>
      <c r="D9391" s="51"/>
    </row>
    <row r="9392" spans="3:4" x14ac:dyDescent="0.35">
      <c r="C9392" s="51"/>
      <c r="D9392" s="51"/>
    </row>
    <row r="9393" spans="3:4" x14ac:dyDescent="0.35">
      <c r="C9393" s="51"/>
      <c r="D9393" s="51"/>
    </row>
    <row r="9394" spans="3:4" x14ac:dyDescent="0.35">
      <c r="C9394" s="51"/>
      <c r="D9394" s="51"/>
    </row>
    <row r="9395" spans="3:4" x14ac:dyDescent="0.35">
      <c r="C9395" s="51"/>
      <c r="D9395" s="51"/>
    </row>
    <row r="9396" spans="3:4" x14ac:dyDescent="0.35">
      <c r="C9396" s="51"/>
      <c r="D9396" s="51"/>
    </row>
    <row r="9397" spans="3:4" x14ac:dyDescent="0.35">
      <c r="C9397" s="51"/>
      <c r="D9397" s="51"/>
    </row>
    <row r="9398" spans="3:4" x14ac:dyDescent="0.35">
      <c r="C9398" s="51"/>
      <c r="D9398" s="51"/>
    </row>
    <row r="9399" spans="3:4" x14ac:dyDescent="0.35">
      <c r="C9399" s="51"/>
      <c r="D9399" s="51"/>
    </row>
    <row r="9400" spans="3:4" x14ac:dyDescent="0.35">
      <c r="C9400" s="51"/>
      <c r="D9400" s="51"/>
    </row>
    <row r="9401" spans="3:4" x14ac:dyDescent="0.35">
      <c r="C9401" s="51"/>
      <c r="D9401" s="51"/>
    </row>
    <row r="9402" spans="3:4" x14ac:dyDescent="0.35">
      <c r="C9402" s="51"/>
      <c r="D9402" s="51"/>
    </row>
    <row r="9403" spans="3:4" x14ac:dyDescent="0.35">
      <c r="C9403" s="51"/>
      <c r="D9403" s="51"/>
    </row>
    <row r="9404" spans="3:4" x14ac:dyDescent="0.35">
      <c r="C9404" s="51"/>
      <c r="D9404" s="51"/>
    </row>
    <row r="9405" spans="3:4" x14ac:dyDescent="0.35">
      <c r="C9405" s="51"/>
      <c r="D9405" s="51"/>
    </row>
    <row r="9406" spans="3:4" x14ac:dyDescent="0.35">
      <c r="C9406" s="51"/>
      <c r="D9406" s="51"/>
    </row>
    <row r="9407" spans="3:4" x14ac:dyDescent="0.35">
      <c r="C9407" s="51"/>
      <c r="D9407" s="51"/>
    </row>
    <row r="9408" spans="3:4" x14ac:dyDescent="0.35">
      <c r="C9408" s="51"/>
      <c r="D9408" s="51"/>
    </row>
    <row r="9409" spans="3:4" x14ac:dyDescent="0.35">
      <c r="C9409" s="51"/>
      <c r="D9409" s="51"/>
    </row>
    <row r="9410" spans="3:4" x14ac:dyDescent="0.35">
      <c r="C9410" s="51"/>
      <c r="D9410" s="51"/>
    </row>
    <row r="9411" spans="3:4" x14ac:dyDescent="0.35">
      <c r="C9411" s="51"/>
      <c r="D9411" s="51"/>
    </row>
    <row r="9412" spans="3:4" x14ac:dyDescent="0.35">
      <c r="C9412" s="51"/>
      <c r="D9412" s="51"/>
    </row>
    <row r="9413" spans="3:4" x14ac:dyDescent="0.35">
      <c r="C9413" s="51"/>
      <c r="D9413" s="51"/>
    </row>
    <row r="9414" spans="3:4" x14ac:dyDescent="0.35">
      <c r="C9414" s="51"/>
      <c r="D9414" s="51"/>
    </row>
    <row r="9415" spans="3:4" x14ac:dyDescent="0.35">
      <c r="C9415" s="51"/>
      <c r="D9415" s="51"/>
    </row>
    <row r="9416" spans="3:4" x14ac:dyDescent="0.35">
      <c r="C9416" s="51"/>
      <c r="D9416" s="51"/>
    </row>
    <row r="9417" spans="3:4" x14ac:dyDescent="0.35">
      <c r="C9417" s="51"/>
      <c r="D9417" s="51"/>
    </row>
    <row r="9418" spans="3:4" x14ac:dyDescent="0.35">
      <c r="C9418" s="51"/>
      <c r="D9418" s="51"/>
    </row>
    <row r="9419" spans="3:4" x14ac:dyDescent="0.35">
      <c r="C9419" s="51"/>
      <c r="D9419" s="51"/>
    </row>
    <row r="9420" spans="3:4" x14ac:dyDescent="0.35">
      <c r="C9420" s="51"/>
      <c r="D9420" s="51"/>
    </row>
    <row r="9421" spans="3:4" x14ac:dyDescent="0.35">
      <c r="C9421" s="51"/>
      <c r="D9421" s="51"/>
    </row>
    <row r="9422" spans="3:4" x14ac:dyDescent="0.35">
      <c r="C9422" s="51"/>
      <c r="D9422" s="51"/>
    </row>
    <row r="9423" spans="3:4" x14ac:dyDescent="0.35">
      <c r="C9423" s="51"/>
      <c r="D9423" s="51"/>
    </row>
    <row r="9424" spans="3:4" x14ac:dyDescent="0.35">
      <c r="C9424" s="51"/>
      <c r="D9424" s="51"/>
    </row>
    <row r="9425" spans="3:4" x14ac:dyDescent="0.35">
      <c r="C9425" s="51"/>
      <c r="D9425" s="51"/>
    </row>
    <row r="9426" spans="3:4" x14ac:dyDescent="0.35">
      <c r="C9426" s="51"/>
      <c r="D9426" s="51"/>
    </row>
    <row r="9427" spans="3:4" x14ac:dyDescent="0.35">
      <c r="C9427" s="51"/>
      <c r="D9427" s="51"/>
    </row>
    <row r="9428" spans="3:4" x14ac:dyDescent="0.35">
      <c r="C9428" s="51"/>
      <c r="D9428" s="51"/>
    </row>
    <row r="9429" spans="3:4" x14ac:dyDescent="0.35">
      <c r="C9429" s="51"/>
      <c r="D9429" s="51"/>
    </row>
    <row r="9430" spans="3:4" x14ac:dyDescent="0.35">
      <c r="C9430" s="51"/>
      <c r="D9430" s="51"/>
    </row>
    <row r="9431" spans="3:4" x14ac:dyDescent="0.35">
      <c r="C9431" s="51"/>
      <c r="D9431" s="51"/>
    </row>
    <row r="9432" spans="3:4" x14ac:dyDescent="0.35">
      <c r="C9432" s="51"/>
      <c r="D9432" s="51"/>
    </row>
    <row r="9433" spans="3:4" x14ac:dyDescent="0.35">
      <c r="C9433" s="51"/>
      <c r="D9433" s="51"/>
    </row>
    <row r="9434" spans="3:4" x14ac:dyDescent="0.35">
      <c r="C9434" s="51"/>
      <c r="D9434" s="51"/>
    </row>
    <row r="9435" spans="3:4" x14ac:dyDescent="0.35">
      <c r="C9435" s="51"/>
      <c r="D9435" s="51"/>
    </row>
    <row r="9436" spans="3:4" x14ac:dyDescent="0.35">
      <c r="C9436" s="51"/>
      <c r="D9436" s="51"/>
    </row>
    <row r="9437" spans="3:4" x14ac:dyDescent="0.35">
      <c r="C9437" s="51"/>
      <c r="D9437" s="51"/>
    </row>
    <row r="9438" spans="3:4" x14ac:dyDescent="0.35">
      <c r="C9438" s="51"/>
      <c r="D9438" s="51"/>
    </row>
    <row r="9439" spans="3:4" x14ac:dyDescent="0.35">
      <c r="C9439" s="51"/>
      <c r="D9439" s="51"/>
    </row>
    <row r="9440" spans="3:4" x14ac:dyDescent="0.35">
      <c r="C9440" s="51"/>
      <c r="D9440" s="51"/>
    </row>
    <row r="9441" spans="3:4" x14ac:dyDescent="0.35">
      <c r="C9441" s="51"/>
      <c r="D9441" s="51"/>
    </row>
    <row r="9442" spans="3:4" x14ac:dyDescent="0.35">
      <c r="C9442" s="51"/>
      <c r="D9442" s="51"/>
    </row>
    <row r="9443" spans="3:4" x14ac:dyDescent="0.35">
      <c r="C9443" s="51"/>
      <c r="D9443" s="51"/>
    </row>
    <row r="9444" spans="3:4" x14ac:dyDescent="0.35">
      <c r="C9444" s="51"/>
      <c r="D9444" s="51"/>
    </row>
    <row r="9445" spans="3:4" x14ac:dyDescent="0.35">
      <c r="C9445" s="51"/>
      <c r="D9445" s="51"/>
    </row>
    <row r="9446" spans="3:4" x14ac:dyDescent="0.35">
      <c r="C9446" s="51"/>
      <c r="D9446" s="51"/>
    </row>
    <row r="9447" spans="3:4" x14ac:dyDescent="0.35">
      <c r="C9447" s="51"/>
      <c r="D9447" s="51"/>
    </row>
    <row r="9448" spans="3:4" x14ac:dyDescent="0.35">
      <c r="C9448" s="51"/>
      <c r="D9448" s="51"/>
    </row>
    <row r="9449" spans="3:4" x14ac:dyDescent="0.35">
      <c r="C9449" s="51"/>
      <c r="D9449" s="51"/>
    </row>
    <row r="9450" spans="3:4" x14ac:dyDescent="0.35">
      <c r="C9450" s="51"/>
      <c r="D9450" s="51"/>
    </row>
    <row r="9451" spans="3:4" x14ac:dyDescent="0.35">
      <c r="C9451" s="51"/>
      <c r="D9451" s="51"/>
    </row>
    <row r="9452" spans="3:4" x14ac:dyDescent="0.35">
      <c r="C9452" s="51"/>
      <c r="D9452" s="51"/>
    </row>
    <row r="9453" spans="3:4" x14ac:dyDescent="0.35">
      <c r="C9453" s="51"/>
      <c r="D9453" s="51"/>
    </row>
    <row r="9454" spans="3:4" x14ac:dyDescent="0.35">
      <c r="C9454" s="51"/>
      <c r="D9454" s="51"/>
    </row>
    <row r="9455" spans="3:4" x14ac:dyDescent="0.35">
      <c r="C9455" s="51"/>
      <c r="D9455" s="51"/>
    </row>
    <row r="9456" spans="3:4" x14ac:dyDescent="0.35">
      <c r="C9456" s="51"/>
      <c r="D9456" s="51"/>
    </row>
    <row r="9457" spans="3:4" x14ac:dyDescent="0.35">
      <c r="C9457" s="51"/>
      <c r="D9457" s="51"/>
    </row>
    <row r="9458" spans="3:4" x14ac:dyDescent="0.35">
      <c r="C9458" s="51"/>
      <c r="D9458" s="51"/>
    </row>
    <row r="9459" spans="3:4" x14ac:dyDescent="0.35">
      <c r="C9459" s="51"/>
      <c r="D9459" s="51"/>
    </row>
    <row r="9460" spans="3:4" x14ac:dyDescent="0.35">
      <c r="C9460" s="51"/>
      <c r="D9460" s="51"/>
    </row>
    <row r="9461" spans="3:4" x14ac:dyDescent="0.35">
      <c r="C9461" s="51"/>
      <c r="D9461" s="51"/>
    </row>
    <row r="9462" spans="3:4" x14ac:dyDescent="0.35">
      <c r="C9462" s="51"/>
      <c r="D9462" s="51"/>
    </row>
    <row r="9463" spans="3:4" x14ac:dyDescent="0.35">
      <c r="C9463" s="51"/>
      <c r="D9463" s="51"/>
    </row>
    <row r="9464" spans="3:4" x14ac:dyDescent="0.35">
      <c r="C9464" s="51"/>
      <c r="D9464" s="51"/>
    </row>
    <row r="9465" spans="3:4" x14ac:dyDescent="0.35">
      <c r="C9465" s="51"/>
      <c r="D9465" s="51"/>
    </row>
    <row r="9466" spans="3:4" x14ac:dyDescent="0.35">
      <c r="C9466" s="51"/>
      <c r="D9466" s="51"/>
    </row>
    <row r="9467" spans="3:4" x14ac:dyDescent="0.35">
      <c r="C9467" s="51"/>
      <c r="D9467" s="51"/>
    </row>
    <row r="9468" spans="3:4" x14ac:dyDescent="0.35">
      <c r="C9468" s="51"/>
      <c r="D9468" s="51"/>
    </row>
    <row r="9469" spans="3:4" x14ac:dyDescent="0.35">
      <c r="C9469" s="51"/>
      <c r="D9469" s="51"/>
    </row>
    <row r="9470" spans="3:4" x14ac:dyDescent="0.35">
      <c r="C9470" s="51"/>
      <c r="D9470" s="51"/>
    </row>
    <row r="9471" spans="3:4" x14ac:dyDescent="0.35">
      <c r="C9471" s="51"/>
      <c r="D9471" s="51"/>
    </row>
    <row r="9472" spans="3:4" x14ac:dyDescent="0.35">
      <c r="C9472" s="51"/>
      <c r="D9472" s="51"/>
    </row>
    <row r="9473" spans="3:4" x14ac:dyDescent="0.35">
      <c r="C9473" s="51"/>
      <c r="D9473" s="51"/>
    </row>
    <row r="9474" spans="3:4" x14ac:dyDescent="0.35">
      <c r="C9474" s="51"/>
      <c r="D9474" s="51"/>
    </row>
    <row r="9475" spans="3:4" x14ac:dyDescent="0.35">
      <c r="C9475" s="51"/>
      <c r="D9475" s="51"/>
    </row>
    <row r="9476" spans="3:4" x14ac:dyDescent="0.35">
      <c r="C9476" s="51"/>
      <c r="D9476" s="51"/>
    </row>
    <row r="9477" spans="3:4" x14ac:dyDescent="0.35">
      <c r="C9477" s="51"/>
      <c r="D9477" s="51"/>
    </row>
    <row r="9478" spans="3:4" x14ac:dyDescent="0.35">
      <c r="C9478" s="51"/>
      <c r="D9478" s="51"/>
    </row>
    <row r="9479" spans="3:4" x14ac:dyDescent="0.35">
      <c r="C9479" s="51"/>
      <c r="D9479" s="51"/>
    </row>
    <row r="9480" spans="3:4" x14ac:dyDescent="0.35">
      <c r="C9480" s="51"/>
      <c r="D9480" s="51"/>
    </row>
    <row r="9481" spans="3:4" x14ac:dyDescent="0.35">
      <c r="C9481" s="51"/>
      <c r="D9481" s="51"/>
    </row>
    <row r="9482" spans="3:4" x14ac:dyDescent="0.35">
      <c r="C9482" s="51"/>
      <c r="D9482" s="51"/>
    </row>
    <row r="9483" spans="3:4" x14ac:dyDescent="0.35">
      <c r="C9483" s="51"/>
      <c r="D9483" s="51"/>
    </row>
    <row r="9484" spans="3:4" x14ac:dyDescent="0.35">
      <c r="C9484" s="51"/>
      <c r="D9484" s="51"/>
    </row>
    <row r="9485" spans="3:4" x14ac:dyDescent="0.35">
      <c r="C9485" s="51"/>
      <c r="D9485" s="51"/>
    </row>
    <row r="9486" spans="3:4" x14ac:dyDescent="0.35">
      <c r="C9486" s="51"/>
      <c r="D9486" s="51"/>
    </row>
    <row r="9487" spans="3:4" x14ac:dyDescent="0.35">
      <c r="C9487" s="51"/>
      <c r="D9487" s="51"/>
    </row>
    <row r="9488" spans="3:4" x14ac:dyDescent="0.35">
      <c r="C9488" s="51"/>
      <c r="D9488" s="51"/>
    </row>
    <row r="9489" spans="3:4" x14ac:dyDescent="0.35">
      <c r="C9489" s="51"/>
      <c r="D9489" s="51"/>
    </row>
    <row r="9490" spans="3:4" x14ac:dyDescent="0.35">
      <c r="C9490" s="51"/>
      <c r="D9490" s="51"/>
    </row>
    <row r="9491" spans="3:4" x14ac:dyDescent="0.35">
      <c r="C9491" s="51"/>
      <c r="D9491" s="51"/>
    </row>
    <row r="9492" spans="3:4" x14ac:dyDescent="0.35">
      <c r="C9492" s="51"/>
      <c r="D9492" s="51"/>
    </row>
    <row r="9493" spans="3:4" x14ac:dyDescent="0.35">
      <c r="C9493" s="51"/>
      <c r="D9493" s="51"/>
    </row>
    <row r="9494" spans="3:4" x14ac:dyDescent="0.35">
      <c r="C9494" s="51"/>
      <c r="D9494" s="51"/>
    </row>
    <row r="9495" spans="3:4" x14ac:dyDescent="0.35">
      <c r="C9495" s="51"/>
      <c r="D9495" s="51"/>
    </row>
    <row r="9496" spans="3:4" x14ac:dyDescent="0.35">
      <c r="C9496" s="51"/>
      <c r="D9496" s="51"/>
    </row>
    <row r="9497" spans="3:4" x14ac:dyDescent="0.35">
      <c r="C9497" s="51"/>
      <c r="D9497" s="51"/>
    </row>
    <row r="9498" spans="3:4" x14ac:dyDescent="0.35">
      <c r="C9498" s="51"/>
      <c r="D9498" s="51"/>
    </row>
    <row r="9499" spans="3:4" x14ac:dyDescent="0.35">
      <c r="C9499" s="51"/>
      <c r="D9499" s="51"/>
    </row>
    <row r="9500" spans="3:4" x14ac:dyDescent="0.35">
      <c r="C9500" s="51"/>
      <c r="D9500" s="51"/>
    </row>
    <row r="9501" spans="3:4" x14ac:dyDescent="0.35">
      <c r="C9501" s="51"/>
      <c r="D9501" s="51"/>
    </row>
    <row r="9502" spans="3:4" x14ac:dyDescent="0.35">
      <c r="C9502" s="51"/>
      <c r="D9502" s="51"/>
    </row>
    <row r="9503" spans="3:4" x14ac:dyDescent="0.35">
      <c r="C9503" s="51"/>
      <c r="D9503" s="51"/>
    </row>
    <row r="9504" spans="3:4" x14ac:dyDescent="0.35">
      <c r="C9504" s="51"/>
      <c r="D9504" s="51"/>
    </row>
    <row r="9505" spans="3:4" x14ac:dyDescent="0.35">
      <c r="C9505" s="51"/>
      <c r="D9505" s="51"/>
    </row>
    <row r="9506" spans="3:4" x14ac:dyDescent="0.35">
      <c r="C9506" s="51"/>
      <c r="D9506" s="51"/>
    </row>
    <row r="9507" spans="3:4" x14ac:dyDescent="0.35">
      <c r="C9507" s="51"/>
      <c r="D9507" s="51"/>
    </row>
    <row r="9508" spans="3:4" x14ac:dyDescent="0.35">
      <c r="C9508" s="51"/>
      <c r="D9508" s="51"/>
    </row>
    <row r="9509" spans="3:4" x14ac:dyDescent="0.35">
      <c r="C9509" s="51"/>
      <c r="D9509" s="51"/>
    </row>
    <row r="9510" spans="3:4" x14ac:dyDescent="0.35">
      <c r="C9510" s="51"/>
      <c r="D9510" s="51"/>
    </row>
    <row r="9511" spans="3:4" x14ac:dyDescent="0.35">
      <c r="C9511" s="51"/>
      <c r="D9511" s="51"/>
    </row>
    <row r="9512" spans="3:4" x14ac:dyDescent="0.35">
      <c r="C9512" s="51"/>
      <c r="D9512" s="51"/>
    </row>
    <row r="9513" spans="3:4" x14ac:dyDescent="0.35">
      <c r="C9513" s="51"/>
      <c r="D9513" s="51"/>
    </row>
    <row r="9514" spans="3:4" x14ac:dyDescent="0.35">
      <c r="C9514" s="51"/>
      <c r="D9514" s="51"/>
    </row>
    <row r="9515" spans="3:4" x14ac:dyDescent="0.35">
      <c r="C9515" s="51"/>
      <c r="D9515" s="51"/>
    </row>
    <row r="9516" spans="3:4" x14ac:dyDescent="0.35">
      <c r="C9516" s="51"/>
      <c r="D9516" s="51"/>
    </row>
    <row r="9517" spans="3:4" x14ac:dyDescent="0.35">
      <c r="C9517" s="51"/>
      <c r="D9517" s="51"/>
    </row>
    <row r="9518" spans="3:4" x14ac:dyDescent="0.35">
      <c r="C9518" s="51"/>
      <c r="D9518" s="51"/>
    </row>
    <row r="9519" spans="3:4" x14ac:dyDescent="0.35">
      <c r="C9519" s="51"/>
      <c r="D9519" s="51"/>
    </row>
    <row r="9520" spans="3:4" x14ac:dyDescent="0.35">
      <c r="C9520" s="51"/>
      <c r="D9520" s="51"/>
    </row>
    <row r="9521" spans="3:4" x14ac:dyDescent="0.35">
      <c r="C9521" s="51"/>
      <c r="D9521" s="51"/>
    </row>
    <row r="9522" spans="3:4" x14ac:dyDescent="0.35">
      <c r="C9522" s="51"/>
      <c r="D9522" s="51"/>
    </row>
    <row r="9523" spans="3:4" x14ac:dyDescent="0.35">
      <c r="C9523" s="51"/>
      <c r="D9523" s="51"/>
    </row>
    <row r="9524" spans="3:4" x14ac:dyDescent="0.35">
      <c r="C9524" s="51"/>
      <c r="D9524" s="51"/>
    </row>
    <row r="9525" spans="3:4" x14ac:dyDescent="0.35">
      <c r="C9525" s="51"/>
      <c r="D9525" s="51"/>
    </row>
    <row r="9526" spans="3:4" x14ac:dyDescent="0.35">
      <c r="C9526" s="51"/>
      <c r="D9526" s="51"/>
    </row>
    <row r="9527" spans="3:4" x14ac:dyDescent="0.35">
      <c r="C9527" s="51"/>
      <c r="D9527" s="51"/>
    </row>
    <row r="9528" spans="3:4" x14ac:dyDescent="0.35">
      <c r="C9528" s="51"/>
      <c r="D9528" s="51"/>
    </row>
    <row r="9529" spans="3:4" x14ac:dyDescent="0.35">
      <c r="C9529" s="51"/>
      <c r="D9529" s="51"/>
    </row>
    <row r="9530" spans="3:4" x14ac:dyDescent="0.35">
      <c r="C9530" s="51"/>
      <c r="D9530" s="51"/>
    </row>
    <row r="9531" spans="3:4" x14ac:dyDescent="0.35">
      <c r="C9531" s="51"/>
      <c r="D9531" s="51"/>
    </row>
    <row r="9532" spans="3:4" x14ac:dyDescent="0.35">
      <c r="C9532" s="51"/>
      <c r="D9532" s="51"/>
    </row>
    <row r="9533" spans="3:4" x14ac:dyDescent="0.35">
      <c r="C9533" s="51"/>
      <c r="D9533" s="51"/>
    </row>
    <row r="9534" spans="3:4" x14ac:dyDescent="0.35">
      <c r="C9534" s="51"/>
      <c r="D9534" s="51"/>
    </row>
    <row r="9535" spans="3:4" x14ac:dyDescent="0.35">
      <c r="C9535" s="51"/>
      <c r="D9535" s="51"/>
    </row>
    <row r="9536" spans="3:4" x14ac:dyDescent="0.35">
      <c r="C9536" s="51"/>
      <c r="D9536" s="51"/>
    </row>
    <row r="9537" spans="3:4" x14ac:dyDescent="0.35">
      <c r="C9537" s="51"/>
      <c r="D9537" s="51"/>
    </row>
    <row r="9538" spans="3:4" x14ac:dyDescent="0.35">
      <c r="C9538" s="51"/>
      <c r="D9538" s="51"/>
    </row>
    <row r="9539" spans="3:4" x14ac:dyDescent="0.35">
      <c r="C9539" s="51"/>
      <c r="D9539" s="51"/>
    </row>
    <row r="9540" spans="3:4" x14ac:dyDescent="0.35">
      <c r="C9540" s="51"/>
      <c r="D9540" s="51"/>
    </row>
    <row r="9541" spans="3:4" x14ac:dyDescent="0.35">
      <c r="C9541" s="51"/>
      <c r="D9541" s="51"/>
    </row>
    <row r="9542" spans="3:4" x14ac:dyDescent="0.35">
      <c r="C9542" s="51"/>
      <c r="D9542" s="51"/>
    </row>
    <row r="9543" spans="3:4" x14ac:dyDescent="0.35">
      <c r="C9543" s="51"/>
      <c r="D9543" s="51"/>
    </row>
    <row r="9544" spans="3:4" x14ac:dyDescent="0.35">
      <c r="C9544" s="51"/>
      <c r="D9544" s="51"/>
    </row>
    <row r="9545" spans="3:4" x14ac:dyDescent="0.35">
      <c r="C9545" s="51"/>
      <c r="D9545" s="51"/>
    </row>
    <row r="9546" spans="3:4" x14ac:dyDescent="0.35">
      <c r="C9546" s="51"/>
      <c r="D9546" s="51"/>
    </row>
    <row r="9547" spans="3:4" x14ac:dyDescent="0.35">
      <c r="C9547" s="51"/>
      <c r="D9547" s="51"/>
    </row>
    <row r="9548" spans="3:4" x14ac:dyDescent="0.35">
      <c r="C9548" s="51"/>
      <c r="D9548" s="51"/>
    </row>
    <row r="9549" spans="3:4" x14ac:dyDescent="0.35">
      <c r="C9549" s="51"/>
      <c r="D9549" s="51"/>
    </row>
    <row r="9550" spans="3:4" x14ac:dyDescent="0.35">
      <c r="C9550" s="51"/>
      <c r="D9550" s="51"/>
    </row>
    <row r="9551" spans="3:4" x14ac:dyDescent="0.35">
      <c r="C9551" s="51"/>
      <c r="D9551" s="51"/>
    </row>
    <row r="9552" spans="3:4" x14ac:dyDescent="0.35">
      <c r="C9552" s="51"/>
      <c r="D9552" s="51"/>
    </row>
    <row r="9553" spans="3:4" x14ac:dyDescent="0.35">
      <c r="C9553" s="51"/>
      <c r="D9553" s="51"/>
    </row>
    <row r="9554" spans="3:4" x14ac:dyDescent="0.35">
      <c r="C9554" s="51"/>
      <c r="D9554" s="51"/>
    </row>
    <row r="9555" spans="3:4" x14ac:dyDescent="0.35">
      <c r="C9555" s="51"/>
      <c r="D9555" s="51"/>
    </row>
    <row r="9556" spans="3:4" x14ac:dyDescent="0.35">
      <c r="C9556" s="51"/>
      <c r="D9556" s="51"/>
    </row>
    <row r="9557" spans="3:4" x14ac:dyDescent="0.35">
      <c r="C9557" s="51"/>
      <c r="D9557" s="51"/>
    </row>
    <row r="9558" spans="3:4" x14ac:dyDescent="0.35">
      <c r="C9558" s="51"/>
      <c r="D9558" s="51"/>
    </row>
    <row r="9559" spans="3:4" x14ac:dyDescent="0.35">
      <c r="C9559" s="51"/>
      <c r="D9559" s="51"/>
    </row>
    <row r="9560" spans="3:4" x14ac:dyDescent="0.35">
      <c r="C9560" s="51"/>
      <c r="D9560" s="51"/>
    </row>
    <row r="9561" spans="3:4" x14ac:dyDescent="0.35">
      <c r="C9561" s="51"/>
      <c r="D9561" s="51"/>
    </row>
    <row r="9562" spans="3:4" x14ac:dyDescent="0.35">
      <c r="C9562" s="51"/>
      <c r="D9562" s="51"/>
    </row>
    <row r="9563" spans="3:4" x14ac:dyDescent="0.35">
      <c r="C9563" s="51"/>
      <c r="D9563" s="51"/>
    </row>
    <row r="9564" spans="3:4" x14ac:dyDescent="0.35">
      <c r="C9564" s="51"/>
      <c r="D9564" s="51"/>
    </row>
    <row r="9565" spans="3:4" x14ac:dyDescent="0.35">
      <c r="C9565" s="51"/>
      <c r="D9565" s="51"/>
    </row>
    <row r="9566" spans="3:4" x14ac:dyDescent="0.35">
      <c r="C9566" s="51"/>
      <c r="D9566" s="51"/>
    </row>
    <row r="9567" spans="3:4" x14ac:dyDescent="0.35">
      <c r="C9567" s="51"/>
      <c r="D9567" s="51"/>
    </row>
    <row r="9568" spans="3:4" x14ac:dyDescent="0.35">
      <c r="C9568" s="51"/>
      <c r="D9568" s="51"/>
    </row>
    <row r="9569" spans="3:4" x14ac:dyDescent="0.35">
      <c r="C9569" s="51"/>
      <c r="D9569" s="51"/>
    </row>
    <row r="9570" spans="3:4" x14ac:dyDescent="0.35">
      <c r="C9570" s="51"/>
      <c r="D9570" s="51"/>
    </row>
    <row r="9571" spans="3:4" x14ac:dyDescent="0.35">
      <c r="C9571" s="51"/>
      <c r="D9571" s="51"/>
    </row>
    <row r="9572" spans="3:4" x14ac:dyDescent="0.35">
      <c r="C9572" s="51"/>
      <c r="D9572" s="51"/>
    </row>
    <row r="9573" spans="3:4" x14ac:dyDescent="0.35">
      <c r="C9573" s="51"/>
      <c r="D9573" s="51"/>
    </row>
    <row r="9574" spans="3:4" x14ac:dyDescent="0.35">
      <c r="C9574" s="51"/>
      <c r="D9574" s="51"/>
    </row>
    <row r="9575" spans="3:4" x14ac:dyDescent="0.35">
      <c r="C9575" s="51"/>
      <c r="D9575" s="51"/>
    </row>
    <row r="9576" spans="3:4" x14ac:dyDescent="0.35">
      <c r="C9576" s="51"/>
      <c r="D9576" s="51"/>
    </row>
    <row r="9577" spans="3:4" x14ac:dyDescent="0.35">
      <c r="C9577" s="51"/>
      <c r="D9577" s="51"/>
    </row>
    <row r="9578" spans="3:4" x14ac:dyDescent="0.35">
      <c r="C9578" s="51"/>
      <c r="D9578" s="51"/>
    </row>
    <row r="9579" spans="3:4" x14ac:dyDescent="0.35">
      <c r="C9579" s="51"/>
      <c r="D9579" s="51"/>
    </row>
    <row r="9580" spans="3:4" x14ac:dyDescent="0.35">
      <c r="C9580" s="51"/>
      <c r="D9580" s="51"/>
    </row>
    <row r="9581" spans="3:4" x14ac:dyDescent="0.35">
      <c r="C9581" s="51"/>
      <c r="D9581" s="51"/>
    </row>
    <row r="9582" spans="3:4" x14ac:dyDescent="0.35">
      <c r="C9582" s="51"/>
      <c r="D9582" s="51"/>
    </row>
    <row r="9583" spans="3:4" x14ac:dyDescent="0.35">
      <c r="C9583" s="51"/>
      <c r="D9583" s="51"/>
    </row>
    <row r="9584" spans="3:4" x14ac:dyDescent="0.35">
      <c r="C9584" s="51"/>
      <c r="D9584" s="51"/>
    </row>
    <row r="9585" spans="3:4" x14ac:dyDescent="0.35">
      <c r="C9585" s="51"/>
      <c r="D9585" s="51"/>
    </row>
    <row r="9586" spans="3:4" x14ac:dyDescent="0.35">
      <c r="C9586" s="51"/>
      <c r="D9586" s="51"/>
    </row>
    <row r="9587" spans="3:4" x14ac:dyDescent="0.35">
      <c r="C9587" s="51"/>
      <c r="D9587" s="51"/>
    </row>
    <row r="9588" spans="3:4" x14ac:dyDescent="0.35">
      <c r="C9588" s="51"/>
      <c r="D9588" s="51"/>
    </row>
    <row r="9589" spans="3:4" x14ac:dyDescent="0.35">
      <c r="C9589" s="51"/>
      <c r="D9589" s="51"/>
    </row>
    <row r="9590" spans="3:4" x14ac:dyDescent="0.35">
      <c r="C9590" s="51"/>
      <c r="D9590" s="51"/>
    </row>
    <row r="9591" spans="3:4" x14ac:dyDescent="0.35">
      <c r="C9591" s="51"/>
      <c r="D9591" s="51"/>
    </row>
    <row r="9592" spans="3:4" x14ac:dyDescent="0.35">
      <c r="C9592" s="51"/>
      <c r="D9592" s="51"/>
    </row>
    <row r="9593" spans="3:4" x14ac:dyDescent="0.35">
      <c r="C9593" s="51"/>
      <c r="D9593" s="51"/>
    </row>
    <row r="9594" spans="3:4" x14ac:dyDescent="0.35">
      <c r="C9594" s="51"/>
      <c r="D9594" s="51"/>
    </row>
    <row r="9595" spans="3:4" x14ac:dyDescent="0.35">
      <c r="C9595" s="51"/>
      <c r="D9595" s="51"/>
    </row>
    <row r="9596" spans="3:4" x14ac:dyDescent="0.35">
      <c r="C9596" s="51"/>
      <c r="D9596" s="51"/>
    </row>
    <row r="9597" spans="3:4" x14ac:dyDescent="0.35">
      <c r="C9597" s="51"/>
      <c r="D9597" s="51"/>
    </row>
    <row r="9598" spans="3:4" x14ac:dyDescent="0.35">
      <c r="C9598" s="51"/>
      <c r="D9598" s="51"/>
    </row>
    <row r="9599" spans="3:4" x14ac:dyDescent="0.35">
      <c r="C9599" s="51"/>
      <c r="D9599" s="51"/>
    </row>
    <row r="9600" spans="3:4" x14ac:dyDescent="0.35">
      <c r="C9600" s="51"/>
      <c r="D9600" s="51"/>
    </row>
    <row r="9601" spans="3:4" x14ac:dyDescent="0.35">
      <c r="C9601" s="51"/>
      <c r="D9601" s="51"/>
    </row>
    <row r="9602" spans="3:4" x14ac:dyDescent="0.35">
      <c r="C9602" s="51"/>
      <c r="D9602" s="51"/>
    </row>
    <row r="9603" spans="3:4" x14ac:dyDescent="0.35">
      <c r="C9603" s="51"/>
      <c r="D9603" s="51"/>
    </row>
    <row r="9604" spans="3:4" x14ac:dyDescent="0.35">
      <c r="C9604" s="51"/>
      <c r="D9604" s="51"/>
    </row>
    <row r="9605" spans="3:4" x14ac:dyDescent="0.35">
      <c r="C9605" s="51"/>
      <c r="D9605" s="51"/>
    </row>
    <row r="9606" spans="3:4" x14ac:dyDescent="0.35">
      <c r="C9606" s="51"/>
      <c r="D9606" s="51"/>
    </row>
    <row r="9607" spans="3:4" x14ac:dyDescent="0.35">
      <c r="C9607" s="51"/>
      <c r="D9607" s="51"/>
    </row>
    <row r="9608" spans="3:4" x14ac:dyDescent="0.35">
      <c r="C9608" s="51"/>
      <c r="D9608" s="51"/>
    </row>
    <row r="9609" spans="3:4" x14ac:dyDescent="0.35">
      <c r="C9609" s="51"/>
      <c r="D9609" s="51"/>
    </row>
    <row r="9610" spans="3:4" x14ac:dyDescent="0.35">
      <c r="C9610" s="51"/>
      <c r="D9610" s="51"/>
    </row>
    <row r="9611" spans="3:4" x14ac:dyDescent="0.35">
      <c r="C9611" s="51"/>
      <c r="D9611" s="51"/>
    </row>
    <row r="9612" spans="3:4" x14ac:dyDescent="0.35">
      <c r="C9612" s="51"/>
      <c r="D9612" s="51"/>
    </row>
    <row r="9613" spans="3:4" x14ac:dyDescent="0.35">
      <c r="C9613" s="51"/>
      <c r="D9613" s="51"/>
    </row>
    <row r="9614" spans="3:4" x14ac:dyDescent="0.35">
      <c r="C9614" s="51"/>
      <c r="D9614" s="51"/>
    </row>
    <row r="9615" spans="3:4" x14ac:dyDescent="0.35">
      <c r="C9615" s="51"/>
      <c r="D9615" s="51"/>
    </row>
    <row r="9616" spans="3:4" x14ac:dyDescent="0.35">
      <c r="C9616" s="51"/>
      <c r="D9616" s="51"/>
    </row>
    <row r="9617" spans="3:4" x14ac:dyDescent="0.35">
      <c r="C9617" s="51"/>
      <c r="D9617" s="51"/>
    </row>
    <row r="9618" spans="3:4" x14ac:dyDescent="0.35">
      <c r="C9618" s="51"/>
      <c r="D9618" s="51"/>
    </row>
    <row r="9619" spans="3:4" x14ac:dyDescent="0.35">
      <c r="C9619" s="51"/>
      <c r="D9619" s="51"/>
    </row>
    <row r="9620" spans="3:4" x14ac:dyDescent="0.35">
      <c r="C9620" s="51"/>
      <c r="D9620" s="51"/>
    </row>
    <row r="9621" spans="3:4" x14ac:dyDescent="0.35">
      <c r="C9621" s="51"/>
      <c r="D9621" s="51"/>
    </row>
    <row r="9622" spans="3:4" x14ac:dyDescent="0.35">
      <c r="C9622" s="51"/>
      <c r="D9622" s="51"/>
    </row>
    <row r="9623" spans="3:4" x14ac:dyDescent="0.35">
      <c r="C9623" s="51"/>
      <c r="D9623" s="51"/>
    </row>
    <row r="9624" spans="3:4" x14ac:dyDescent="0.35">
      <c r="C9624" s="51"/>
      <c r="D9624" s="51"/>
    </row>
    <row r="9625" spans="3:4" x14ac:dyDescent="0.35">
      <c r="C9625" s="51"/>
      <c r="D9625" s="51"/>
    </row>
    <row r="9626" spans="3:4" x14ac:dyDescent="0.35">
      <c r="C9626" s="51"/>
      <c r="D9626" s="51"/>
    </row>
    <row r="9627" spans="3:4" x14ac:dyDescent="0.35">
      <c r="C9627" s="51"/>
      <c r="D9627" s="51"/>
    </row>
    <row r="9628" spans="3:4" x14ac:dyDescent="0.35">
      <c r="C9628" s="51"/>
      <c r="D9628" s="51"/>
    </row>
    <row r="9629" spans="3:4" x14ac:dyDescent="0.35">
      <c r="C9629" s="51"/>
      <c r="D9629" s="51"/>
    </row>
    <row r="9630" spans="3:4" x14ac:dyDescent="0.35">
      <c r="C9630" s="51"/>
      <c r="D9630" s="51"/>
    </row>
    <row r="9631" spans="3:4" x14ac:dyDescent="0.35">
      <c r="C9631" s="51"/>
      <c r="D9631" s="51"/>
    </row>
    <row r="9632" spans="3:4" x14ac:dyDescent="0.35">
      <c r="C9632" s="51"/>
      <c r="D9632" s="51"/>
    </row>
    <row r="9633" spans="3:4" x14ac:dyDescent="0.35">
      <c r="C9633" s="51"/>
      <c r="D9633" s="51"/>
    </row>
    <row r="9634" spans="3:4" x14ac:dyDescent="0.35">
      <c r="C9634" s="51"/>
      <c r="D9634" s="51"/>
    </row>
    <row r="9635" spans="3:4" x14ac:dyDescent="0.35">
      <c r="C9635" s="51"/>
      <c r="D9635" s="51"/>
    </row>
    <row r="9636" spans="3:4" x14ac:dyDescent="0.35">
      <c r="C9636" s="51"/>
      <c r="D9636" s="51"/>
    </row>
    <row r="9637" spans="3:4" x14ac:dyDescent="0.35">
      <c r="C9637" s="51"/>
      <c r="D9637" s="51"/>
    </row>
    <row r="9638" spans="3:4" x14ac:dyDescent="0.35">
      <c r="C9638" s="51"/>
      <c r="D9638" s="51"/>
    </row>
    <row r="9639" spans="3:4" x14ac:dyDescent="0.35">
      <c r="C9639" s="51"/>
      <c r="D9639" s="51"/>
    </row>
    <row r="9640" spans="3:4" x14ac:dyDescent="0.35">
      <c r="C9640" s="51"/>
      <c r="D9640" s="51"/>
    </row>
    <row r="9641" spans="3:4" x14ac:dyDescent="0.35">
      <c r="C9641" s="51"/>
      <c r="D9641" s="51"/>
    </row>
    <row r="9642" spans="3:4" x14ac:dyDescent="0.35">
      <c r="C9642" s="51"/>
      <c r="D9642" s="51"/>
    </row>
    <row r="9643" spans="3:4" x14ac:dyDescent="0.35">
      <c r="C9643" s="51"/>
      <c r="D9643" s="51"/>
    </row>
    <row r="9644" spans="3:4" x14ac:dyDescent="0.35">
      <c r="C9644" s="51"/>
      <c r="D9644" s="51"/>
    </row>
    <row r="9645" spans="3:4" x14ac:dyDescent="0.35">
      <c r="C9645" s="51"/>
      <c r="D9645" s="51"/>
    </row>
    <row r="9646" spans="3:4" x14ac:dyDescent="0.35">
      <c r="C9646" s="51"/>
      <c r="D9646" s="51"/>
    </row>
    <row r="9647" spans="3:4" x14ac:dyDescent="0.35">
      <c r="C9647" s="51"/>
      <c r="D9647" s="51"/>
    </row>
    <row r="9648" spans="3:4" x14ac:dyDescent="0.35">
      <c r="C9648" s="51"/>
      <c r="D9648" s="51"/>
    </row>
    <row r="9649" spans="3:4" x14ac:dyDescent="0.35">
      <c r="C9649" s="51"/>
      <c r="D9649" s="51"/>
    </row>
    <row r="9650" spans="3:4" x14ac:dyDescent="0.35">
      <c r="C9650" s="51"/>
      <c r="D9650" s="51"/>
    </row>
    <row r="9651" spans="3:4" x14ac:dyDescent="0.35">
      <c r="C9651" s="51"/>
      <c r="D9651" s="51"/>
    </row>
    <row r="9652" spans="3:4" x14ac:dyDescent="0.35">
      <c r="C9652" s="51"/>
      <c r="D9652" s="51"/>
    </row>
    <row r="9653" spans="3:4" x14ac:dyDescent="0.35">
      <c r="C9653" s="51"/>
      <c r="D9653" s="51"/>
    </row>
    <row r="9654" spans="3:4" x14ac:dyDescent="0.35">
      <c r="C9654" s="51"/>
      <c r="D9654" s="51"/>
    </row>
    <row r="9655" spans="3:4" x14ac:dyDescent="0.35">
      <c r="C9655" s="51"/>
      <c r="D9655" s="51"/>
    </row>
    <row r="9656" spans="3:4" x14ac:dyDescent="0.35">
      <c r="C9656" s="51"/>
      <c r="D9656" s="51"/>
    </row>
    <row r="9657" spans="3:4" x14ac:dyDescent="0.35">
      <c r="C9657" s="51"/>
      <c r="D9657" s="51"/>
    </row>
    <row r="9658" spans="3:4" x14ac:dyDescent="0.35">
      <c r="C9658" s="51"/>
      <c r="D9658" s="51"/>
    </row>
    <row r="9659" spans="3:4" x14ac:dyDescent="0.35">
      <c r="C9659" s="51"/>
      <c r="D9659" s="51"/>
    </row>
    <row r="9660" spans="3:4" x14ac:dyDescent="0.35">
      <c r="C9660" s="51"/>
      <c r="D9660" s="51"/>
    </row>
    <row r="9661" spans="3:4" x14ac:dyDescent="0.35">
      <c r="C9661" s="51"/>
      <c r="D9661" s="51"/>
    </row>
    <row r="9662" spans="3:4" x14ac:dyDescent="0.35">
      <c r="C9662" s="51"/>
      <c r="D9662" s="51"/>
    </row>
    <row r="9663" spans="3:4" x14ac:dyDescent="0.35">
      <c r="C9663" s="51"/>
      <c r="D9663" s="51"/>
    </row>
    <row r="9664" spans="3:4" x14ac:dyDescent="0.35">
      <c r="C9664" s="51"/>
      <c r="D9664" s="51"/>
    </row>
    <row r="9665" spans="3:4" x14ac:dyDescent="0.35">
      <c r="C9665" s="51"/>
      <c r="D9665" s="51"/>
    </row>
    <row r="9666" spans="3:4" x14ac:dyDescent="0.35">
      <c r="C9666" s="51"/>
      <c r="D9666" s="51"/>
    </row>
    <row r="9667" spans="3:4" x14ac:dyDescent="0.35">
      <c r="C9667" s="51"/>
      <c r="D9667" s="51"/>
    </row>
    <row r="9668" spans="3:4" x14ac:dyDescent="0.35">
      <c r="C9668" s="51"/>
      <c r="D9668" s="51"/>
    </row>
    <row r="9669" spans="3:4" x14ac:dyDescent="0.35">
      <c r="C9669" s="51"/>
      <c r="D9669" s="51"/>
    </row>
    <row r="9670" spans="3:4" x14ac:dyDescent="0.35">
      <c r="C9670" s="51"/>
      <c r="D9670" s="51"/>
    </row>
    <row r="9671" spans="3:4" x14ac:dyDescent="0.35">
      <c r="C9671" s="51"/>
      <c r="D9671" s="51"/>
    </row>
    <row r="9672" spans="3:4" x14ac:dyDescent="0.35">
      <c r="C9672" s="51"/>
      <c r="D9672" s="51"/>
    </row>
    <row r="9673" spans="3:4" x14ac:dyDescent="0.35">
      <c r="C9673" s="51"/>
      <c r="D9673" s="51"/>
    </row>
    <row r="9674" spans="3:4" x14ac:dyDescent="0.35">
      <c r="C9674" s="51"/>
      <c r="D9674" s="51"/>
    </row>
    <row r="9675" spans="3:4" x14ac:dyDescent="0.35">
      <c r="C9675" s="51"/>
      <c r="D9675" s="51"/>
    </row>
    <row r="9676" spans="3:4" x14ac:dyDescent="0.35">
      <c r="C9676" s="51"/>
      <c r="D9676" s="51"/>
    </row>
    <row r="9677" spans="3:4" x14ac:dyDescent="0.35">
      <c r="C9677" s="51"/>
      <c r="D9677" s="51"/>
    </row>
    <row r="9678" spans="3:4" x14ac:dyDescent="0.35">
      <c r="C9678" s="51"/>
      <c r="D9678" s="51"/>
    </row>
    <row r="9679" spans="3:4" x14ac:dyDescent="0.35">
      <c r="C9679" s="51"/>
      <c r="D9679" s="51"/>
    </row>
    <row r="9680" spans="3:4" x14ac:dyDescent="0.35">
      <c r="C9680" s="51"/>
      <c r="D9680" s="51"/>
    </row>
    <row r="9681" spans="3:4" x14ac:dyDescent="0.35">
      <c r="C9681" s="51"/>
      <c r="D9681" s="51"/>
    </row>
    <row r="9682" spans="3:4" x14ac:dyDescent="0.35">
      <c r="C9682" s="51"/>
      <c r="D9682" s="51"/>
    </row>
    <row r="9683" spans="3:4" x14ac:dyDescent="0.35">
      <c r="C9683" s="51"/>
      <c r="D9683" s="51"/>
    </row>
    <row r="9684" spans="3:4" x14ac:dyDescent="0.35">
      <c r="C9684" s="51"/>
      <c r="D9684" s="51"/>
    </row>
    <row r="9685" spans="3:4" x14ac:dyDescent="0.35">
      <c r="C9685" s="51"/>
      <c r="D9685" s="51"/>
    </row>
    <row r="9686" spans="3:4" x14ac:dyDescent="0.35">
      <c r="C9686" s="51"/>
      <c r="D9686" s="51"/>
    </row>
    <row r="9687" spans="3:4" x14ac:dyDescent="0.35">
      <c r="C9687" s="51"/>
      <c r="D9687" s="51"/>
    </row>
    <row r="9688" spans="3:4" x14ac:dyDescent="0.35">
      <c r="C9688" s="51"/>
      <c r="D9688" s="51"/>
    </row>
    <row r="9689" spans="3:4" x14ac:dyDescent="0.35">
      <c r="C9689" s="51"/>
      <c r="D9689" s="51"/>
    </row>
    <row r="9690" spans="3:4" x14ac:dyDescent="0.35">
      <c r="C9690" s="51"/>
      <c r="D9690" s="51"/>
    </row>
    <row r="9691" spans="3:4" x14ac:dyDescent="0.35">
      <c r="C9691" s="51"/>
      <c r="D9691" s="51"/>
    </row>
    <row r="9692" spans="3:4" x14ac:dyDescent="0.35">
      <c r="C9692" s="51"/>
      <c r="D9692" s="51"/>
    </row>
    <row r="9693" spans="3:4" x14ac:dyDescent="0.35">
      <c r="C9693" s="51"/>
      <c r="D9693" s="51"/>
    </row>
    <row r="9694" spans="3:4" x14ac:dyDescent="0.35">
      <c r="C9694" s="51"/>
      <c r="D9694" s="51"/>
    </row>
    <row r="9695" spans="3:4" x14ac:dyDescent="0.35">
      <c r="C9695" s="51"/>
      <c r="D9695" s="51"/>
    </row>
    <row r="9696" spans="3:4" x14ac:dyDescent="0.35">
      <c r="C9696" s="51"/>
      <c r="D9696" s="51"/>
    </row>
    <row r="9697" spans="3:4" x14ac:dyDescent="0.35">
      <c r="C9697" s="51"/>
      <c r="D9697" s="51"/>
    </row>
    <row r="9698" spans="3:4" x14ac:dyDescent="0.35">
      <c r="C9698" s="51"/>
      <c r="D9698" s="51"/>
    </row>
    <row r="9699" spans="3:4" x14ac:dyDescent="0.35">
      <c r="C9699" s="51"/>
      <c r="D9699" s="51"/>
    </row>
    <row r="9700" spans="3:4" x14ac:dyDescent="0.35">
      <c r="C9700" s="51"/>
      <c r="D9700" s="51"/>
    </row>
    <row r="9701" spans="3:4" x14ac:dyDescent="0.35">
      <c r="C9701" s="51"/>
      <c r="D9701" s="51"/>
    </row>
    <row r="9702" spans="3:4" x14ac:dyDescent="0.35">
      <c r="C9702" s="51"/>
      <c r="D9702" s="51"/>
    </row>
    <row r="9703" spans="3:4" x14ac:dyDescent="0.35">
      <c r="C9703" s="51"/>
      <c r="D9703" s="51"/>
    </row>
    <row r="9704" spans="3:4" x14ac:dyDescent="0.35">
      <c r="C9704" s="51"/>
      <c r="D9704" s="51"/>
    </row>
    <row r="9705" spans="3:4" x14ac:dyDescent="0.35">
      <c r="C9705" s="51"/>
      <c r="D9705" s="51"/>
    </row>
    <row r="9706" spans="3:4" x14ac:dyDescent="0.35">
      <c r="C9706" s="51"/>
      <c r="D9706" s="51"/>
    </row>
    <row r="9707" spans="3:4" x14ac:dyDescent="0.35">
      <c r="C9707" s="51"/>
      <c r="D9707" s="51"/>
    </row>
    <row r="9708" spans="3:4" x14ac:dyDescent="0.35">
      <c r="C9708" s="51"/>
      <c r="D9708" s="51"/>
    </row>
    <row r="9709" spans="3:4" x14ac:dyDescent="0.35">
      <c r="C9709" s="51"/>
      <c r="D9709" s="51"/>
    </row>
    <row r="9710" spans="3:4" x14ac:dyDescent="0.35">
      <c r="C9710" s="51"/>
      <c r="D9710" s="51"/>
    </row>
    <row r="9711" spans="3:4" x14ac:dyDescent="0.35">
      <c r="C9711" s="51"/>
      <c r="D9711" s="51"/>
    </row>
    <row r="9712" spans="3:4" x14ac:dyDescent="0.35">
      <c r="C9712" s="51"/>
      <c r="D9712" s="51"/>
    </row>
    <row r="9713" spans="3:4" x14ac:dyDescent="0.35">
      <c r="C9713" s="51"/>
      <c r="D9713" s="51"/>
    </row>
    <row r="9714" spans="3:4" x14ac:dyDescent="0.35">
      <c r="C9714" s="51"/>
      <c r="D9714" s="51"/>
    </row>
    <row r="9715" spans="3:4" x14ac:dyDescent="0.35">
      <c r="C9715" s="51"/>
      <c r="D9715" s="51"/>
    </row>
    <row r="9716" spans="3:4" x14ac:dyDescent="0.35">
      <c r="C9716" s="51"/>
      <c r="D9716" s="51"/>
    </row>
    <row r="9717" spans="3:4" x14ac:dyDescent="0.35">
      <c r="C9717" s="51"/>
      <c r="D9717" s="51"/>
    </row>
    <row r="9718" spans="3:4" x14ac:dyDescent="0.35">
      <c r="C9718" s="51"/>
      <c r="D9718" s="51"/>
    </row>
    <row r="9719" spans="3:4" x14ac:dyDescent="0.35">
      <c r="C9719" s="51"/>
      <c r="D9719" s="51"/>
    </row>
    <row r="9720" spans="3:4" x14ac:dyDescent="0.35">
      <c r="C9720" s="51"/>
      <c r="D9720" s="51"/>
    </row>
    <row r="9721" spans="3:4" x14ac:dyDescent="0.35">
      <c r="C9721" s="51"/>
      <c r="D9721" s="51"/>
    </row>
    <row r="9722" spans="3:4" x14ac:dyDescent="0.35">
      <c r="C9722" s="51"/>
      <c r="D9722" s="51"/>
    </row>
    <row r="9723" spans="3:4" x14ac:dyDescent="0.35">
      <c r="C9723" s="51"/>
      <c r="D9723" s="51"/>
    </row>
    <row r="9724" spans="3:4" x14ac:dyDescent="0.35">
      <c r="C9724" s="51"/>
      <c r="D9724" s="51"/>
    </row>
    <row r="9725" spans="3:4" x14ac:dyDescent="0.35">
      <c r="C9725" s="51"/>
      <c r="D9725" s="51"/>
    </row>
    <row r="9726" spans="3:4" x14ac:dyDescent="0.35">
      <c r="C9726" s="51"/>
      <c r="D9726" s="51"/>
    </row>
    <row r="9727" spans="3:4" x14ac:dyDescent="0.35">
      <c r="C9727" s="51"/>
      <c r="D9727" s="51"/>
    </row>
    <row r="9728" spans="3:4" x14ac:dyDescent="0.35">
      <c r="C9728" s="51"/>
      <c r="D9728" s="51"/>
    </row>
    <row r="9729" spans="3:4" x14ac:dyDescent="0.35">
      <c r="C9729" s="51"/>
      <c r="D9729" s="51"/>
    </row>
    <row r="9730" spans="3:4" x14ac:dyDescent="0.35">
      <c r="C9730" s="51"/>
      <c r="D9730" s="51"/>
    </row>
    <row r="9731" spans="3:4" x14ac:dyDescent="0.35">
      <c r="C9731" s="51"/>
      <c r="D9731" s="51"/>
    </row>
    <row r="9732" spans="3:4" x14ac:dyDescent="0.35">
      <c r="C9732" s="51"/>
      <c r="D9732" s="51"/>
    </row>
    <row r="9733" spans="3:4" x14ac:dyDescent="0.35">
      <c r="C9733" s="51"/>
      <c r="D9733" s="51"/>
    </row>
    <row r="9734" spans="3:4" x14ac:dyDescent="0.35">
      <c r="C9734" s="51"/>
      <c r="D9734" s="51"/>
    </row>
    <row r="9735" spans="3:4" x14ac:dyDescent="0.35">
      <c r="C9735" s="51"/>
      <c r="D9735" s="51"/>
    </row>
    <row r="9736" spans="3:4" x14ac:dyDescent="0.35">
      <c r="C9736" s="51"/>
      <c r="D9736" s="51"/>
    </row>
    <row r="9737" spans="3:4" x14ac:dyDescent="0.35">
      <c r="C9737" s="51"/>
      <c r="D9737" s="51"/>
    </row>
    <row r="9738" spans="3:4" x14ac:dyDescent="0.35">
      <c r="C9738" s="51"/>
      <c r="D9738" s="51"/>
    </row>
    <row r="9739" spans="3:4" x14ac:dyDescent="0.35">
      <c r="C9739" s="51"/>
      <c r="D9739" s="51"/>
    </row>
    <row r="9740" spans="3:4" x14ac:dyDescent="0.35">
      <c r="C9740" s="51"/>
      <c r="D9740" s="51"/>
    </row>
    <row r="9741" spans="3:4" x14ac:dyDescent="0.35">
      <c r="C9741" s="51"/>
      <c r="D9741" s="51"/>
    </row>
    <row r="9742" spans="3:4" x14ac:dyDescent="0.35">
      <c r="C9742" s="51"/>
      <c r="D9742" s="51"/>
    </row>
    <row r="9743" spans="3:4" x14ac:dyDescent="0.35">
      <c r="C9743" s="51"/>
      <c r="D9743" s="51"/>
    </row>
    <row r="9744" spans="3:4" x14ac:dyDescent="0.35">
      <c r="C9744" s="51"/>
      <c r="D9744" s="51"/>
    </row>
    <row r="9745" spans="3:4" x14ac:dyDescent="0.35">
      <c r="C9745" s="51"/>
      <c r="D9745" s="51"/>
    </row>
    <row r="9746" spans="3:4" x14ac:dyDescent="0.35">
      <c r="C9746" s="51"/>
      <c r="D9746" s="51"/>
    </row>
    <row r="9747" spans="3:4" x14ac:dyDescent="0.35">
      <c r="C9747" s="51"/>
      <c r="D9747" s="51"/>
    </row>
    <row r="9748" spans="3:4" x14ac:dyDescent="0.35">
      <c r="C9748" s="51"/>
      <c r="D9748" s="51"/>
    </row>
    <row r="9749" spans="3:4" x14ac:dyDescent="0.35">
      <c r="C9749" s="51"/>
      <c r="D9749" s="51"/>
    </row>
    <row r="9750" spans="3:4" x14ac:dyDescent="0.35">
      <c r="C9750" s="51"/>
      <c r="D9750" s="51"/>
    </row>
    <row r="9751" spans="3:4" x14ac:dyDescent="0.35">
      <c r="C9751" s="51"/>
      <c r="D9751" s="51"/>
    </row>
    <row r="9752" spans="3:4" x14ac:dyDescent="0.35">
      <c r="C9752" s="51"/>
      <c r="D9752" s="51"/>
    </row>
    <row r="9753" spans="3:4" x14ac:dyDescent="0.35">
      <c r="C9753" s="51"/>
      <c r="D9753" s="51"/>
    </row>
    <row r="9754" spans="3:4" x14ac:dyDescent="0.35">
      <c r="C9754" s="51"/>
      <c r="D9754" s="51"/>
    </row>
    <row r="9755" spans="3:4" x14ac:dyDescent="0.35">
      <c r="C9755" s="51"/>
      <c r="D9755" s="51"/>
    </row>
    <row r="9756" spans="3:4" x14ac:dyDescent="0.35">
      <c r="C9756" s="51"/>
      <c r="D9756" s="51"/>
    </row>
    <row r="9757" spans="3:4" x14ac:dyDescent="0.35">
      <c r="C9757" s="51"/>
      <c r="D9757" s="51"/>
    </row>
    <row r="9758" spans="3:4" x14ac:dyDescent="0.35">
      <c r="C9758" s="51"/>
      <c r="D9758" s="51"/>
    </row>
    <row r="9759" spans="3:4" x14ac:dyDescent="0.35">
      <c r="C9759" s="51"/>
      <c r="D9759" s="51"/>
    </row>
    <row r="9760" spans="3:4" x14ac:dyDescent="0.35">
      <c r="C9760" s="51"/>
      <c r="D9760" s="51"/>
    </row>
    <row r="9761" spans="3:4" x14ac:dyDescent="0.35">
      <c r="C9761" s="51"/>
      <c r="D9761" s="51"/>
    </row>
    <row r="9762" spans="3:4" x14ac:dyDescent="0.35">
      <c r="C9762" s="51"/>
      <c r="D9762" s="51"/>
    </row>
    <row r="9763" spans="3:4" x14ac:dyDescent="0.35">
      <c r="C9763" s="51"/>
      <c r="D9763" s="51"/>
    </row>
    <row r="9764" spans="3:4" x14ac:dyDescent="0.35">
      <c r="C9764" s="51"/>
      <c r="D9764" s="51"/>
    </row>
    <row r="9765" spans="3:4" x14ac:dyDescent="0.35">
      <c r="C9765" s="51"/>
      <c r="D9765" s="51"/>
    </row>
    <row r="9766" spans="3:4" x14ac:dyDescent="0.35">
      <c r="C9766" s="51"/>
      <c r="D9766" s="51"/>
    </row>
    <row r="9767" spans="3:4" x14ac:dyDescent="0.35">
      <c r="C9767" s="51"/>
      <c r="D9767" s="51"/>
    </row>
    <row r="9768" spans="3:4" x14ac:dyDescent="0.35">
      <c r="C9768" s="51"/>
      <c r="D9768" s="51"/>
    </row>
    <row r="9769" spans="3:4" x14ac:dyDescent="0.35">
      <c r="C9769" s="51"/>
      <c r="D9769" s="51"/>
    </row>
    <row r="9770" spans="3:4" x14ac:dyDescent="0.35">
      <c r="C9770" s="51"/>
      <c r="D9770" s="51"/>
    </row>
    <row r="9771" spans="3:4" x14ac:dyDescent="0.35">
      <c r="C9771" s="51"/>
      <c r="D9771" s="51"/>
    </row>
    <row r="9772" spans="3:4" x14ac:dyDescent="0.35">
      <c r="C9772" s="51"/>
      <c r="D9772" s="51"/>
    </row>
    <row r="9773" spans="3:4" x14ac:dyDescent="0.35">
      <c r="C9773" s="51"/>
      <c r="D9773" s="51"/>
    </row>
    <row r="9774" spans="3:4" x14ac:dyDescent="0.35">
      <c r="C9774" s="51"/>
      <c r="D9774" s="51"/>
    </row>
    <row r="9775" spans="3:4" x14ac:dyDescent="0.35">
      <c r="C9775" s="51"/>
      <c r="D9775" s="51"/>
    </row>
    <row r="9776" spans="3:4" x14ac:dyDescent="0.35">
      <c r="C9776" s="51"/>
      <c r="D9776" s="51"/>
    </row>
    <row r="9777" spans="3:4" x14ac:dyDescent="0.35">
      <c r="C9777" s="51"/>
      <c r="D9777" s="51"/>
    </row>
    <row r="9778" spans="3:4" x14ac:dyDescent="0.35">
      <c r="C9778" s="51"/>
      <c r="D9778" s="51"/>
    </row>
    <row r="9779" spans="3:4" x14ac:dyDescent="0.35">
      <c r="C9779" s="51"/>
      <c r="D9779" s="51"/>
    </row>
    <row r="9780" spans="3:4" x14ac:dyDescent="0.35">
      <c r="C9780" s="51"/>
      <c r="D9780" s="51"/>
    </row>
    <row r="9781" spans="3:4" x14ac:dyDescent="0.35">
      <c r="C9781" s="51"/>
      <c r="D9781" s="51"/>
    </row>
    <row r="9782" spans="3:4" x14ac:dyDescent="0.35">
      <c r="C9782" s="51"/>
      <c r="D9782" s="51"/>
    </row>
    <row r="9783" spans="3:4" x14ac:dyDescent="0.35">
      <c r="C9783" s="51"/>
      <c r="D9783" s="51"/>
    </row>
    <row r="9784" spans="3:4" x14ac:dyDescent="0.35">
      <c r="C9784" s="51"/>
      <c r="D9784" s="51"/>
    </row>
    <row r="9785" spans="3:4" x14ac:dyDescent="0.35">
      <c r="C9785" s="51"/>
      <c r="D9785" s="51"/>
    </row>
    <row r="9786" spans="3:4" x14ac:dyDescent="0.35">
      <c r="C9786" s="51"/>
      <c r="D9786" s="51"/>
    </row>
    <row r="9787" spans="3:4" x14ac:dyDescent="0.35">
      <c r="C9787" s="51"/>
      <c r="D9787" s="51"/>
    </row>
    <row r="9788" spans="3:4" x14ac:dyDescent="0.35">
      <c r="C9788" s="51"/>
      <c r="D9788" s="51"/>
    </row>
    <row r="9789" spans="3:4" x14ac:dyDescent="0.35">
      <c r="C9789" s="51"/>
      <c r="D9789" s="51"/>
    </row>
    <row r="9790" spans="3:4" x14ac:dyDescent="0.35">
      <c r="C9790" s="51"/>
      <c r="D9790" s="51"/>
    </row>
    <row r="9791" spans="3:4" x14ac:dyDescent="0.35">
      <c r="C9791" s="51"/>
      <c r="D9791" s="51"/>
    </row>
    <row r="9792" spans="3:4" x14ac:dyDescent="0.35">
      <c r="C9792" s="51"/>
      <c r="D9792" s="51"/>
    </row>
    <row r="9793" spans="3:4" x14ac:dyDescent="0.35">
      <c r="C9793" s="51"/>
      <c r="D9793" s="51"/>
    </row>
    <row r="9794" spans="3:4" x14ac:dyDescent="0.35">
      <c r="C9794" s="51"/>
      <c r="D9794" s="51"/>
    </row>
    <row r="9795" spans="3:4" x14ac:dyDescent="0.35">
      <c r="C9795" s="51"/>
      <c r="D9795" s="51"/>
    </row>
    <row r="9796" spans="3:4" x14ac:dyDescent="0.35">
      <c r="C9796" s="51"/>
      <c r="D9796" s="51"/>
    </row>
    <row r="9797" spans="3:4" x14ac:dyDescent="0.35">
      <c r="C9797" s="51"/>
      <c r="D9797" s="51"/>
    </row>
    <row r="9798" spans="3:4" x14ac:dyDescent="0.35">
      <c r="C9798" s="51"/>
      <c r="D9798" s="51"/>
    </row>
    <row r="9799" spans="3:4" x14ac:dyDescent="0.35">
      <c r="C9799" s="51"/>
      <c r="D9799" s="51"/>
    </row>
    <row r="9800" spans="3:4" x14ac:dyDescent="0.35">
      <c r="C9800" s="51"/>
      <c r="D9800" s="51"/>
    </row>
    <row r="9801" spans="3:4" x14ac:dyDescent="0.35">
      <c r="C9801" s="51"/>
      <c r="D9801" s="51"/>
    </row>
    <row r="9802" spans="3:4" x14ac:dyDescent="0.35">
      <c r="C9802" s="51"/>
      <c r="D9802" s="51"/>
    </row>
    <row r="9803" spans="3:4" x14ac:dyDescent="0.35">
      <c r="C9803" s="51"/>
      <c r="D9803" s="51"/>
    </row>
    <row r="9804" spans="3:4" x14ac:dyDescent="0.35">
      <c r="C9804" s="51"/>
      <c r="D9804" s="51"/>
    </row>
    <row r="9805" spans="3:4" x14ac:dyDescent="0.35">
      <c r="C9805" s="51"/>
      <c r="D9805" s="51"/>
    </row>
    <row r="9806" spans="3:4" x14ac:dyDescent="0.35">
      <c r="C9806" s="51"/>
      <c r="D9806" s="51"/>
    </row>
    <row r="9807" spans="3:4" x14ac:dyDescent="0.35">
      <c r="C9807" s="51"/>
      <c r="D9807" s="51"/>
    </row>
    <row r="9808" spans="3:4" x14ac:dyDescent="0.35">
      <c r="C9808" s="51"/>
      <c r="D9808" s="51"/>
    </row>
    <row r="9809" spans="3:4" x14ac:dyDescent="0.35">
      <c r="C9809" s="51"/>
      <c r="D9809" s="51"/>
    </row>
    <row r="9810" spans="3:4" x14ac:dyDescent="0.35">
      <c r="C9810" s="51"/>
      <c r="D9810" s="51"/>
    </row>
    <row r="9811" spans="3:4" x14ac:dyDescent="0.35">
      <c r="C9811" s="51"/>
      <c r="D9811" s="51"/>
    </row>
    <row r="9812" spans="3:4" x14ac:dyDescent="0.35">
      <c r="C9812" s="51"/>
      <c r="D9812" s="51"/>
    </row>
    <row r="9813" spans="3:4" x14ac:dyDescent="0.35">
      <c r="C9813" s="51"/>
      <c r="D9813" s="51"/>
    </row>
    <row r="9814" spans="3:4" x14ac:dyDescent="0.35">
      <c r="C9814" s="51"/>
      <c r="D9814" s="51"/>
    </row>
    <row r="9815" spans="3:4" x14ac:dyDescent="0.35">
      <c r="C9815" s="51"/>
      <c r="D9815" s="51"/>
    </row>
    <row r="9816" spans="3:4" x14ac:dyDescent="0.35">
      <c r="C9816" s="51"/>
      <c r="D9816" s="51"/>
    </row>
    <row r="9817" spans="3:4" x14ac:dyDescent="0.35">
      <c r="C9817" s="51"/>
      <c r="D9817" s="51"/>
    </row>
    <row r="9818" spans="3:4" x14ac:dyDescent="0.35">
      <c r="C9818" s="51"/>
      <c r="D9818" s="51"/>
    </row>
    <row r="9819" spans="3:4" x14ac:dyDescent="0.35">
      <c r="C9819" s="51"/>
      <c r="D9819" s="51"/>
    </row>
    <row r="9820" spans="3:4" x14ac:dyDescent="0.35">
      <c r="C9820" s="51"/>
      <c r="D9820" s="51"/>
    </row>
    <row r="9821" spans="3:4" x14ac:dyDescent="0.35">
      <c r="C9821" s="51"/>
      <c r="D9821" s="51"/>
    </row>
    <row r="9822" spans="3:4" x14ac:dyDescent="0.35">
      <c r="C9822" s="51"/>
      <c r="D9822" s="51"/>
    </row>
    <row r="9823" spans="3:4" x14ac:dyDescent="0.35">
      <c r="C9823" s="51"/>
      <c r="D9823" s="51"/>
    </row>
    <row r="9824" spans="3:4" x14ac:dyDescent="0.35">
      <c r="C9824" s="51"/>
      <c r="D9824" s="51"/>
    </row>
    <row r="9825" spans="3:4" x14ac:dyDescent="0.35">
      <c r="C9825" s="51"/>
      <c r="D9825" s="51"/>
    </row>
    <row r="9826" spans="3:4" x14ac:dyDescent="0.35">
      <c r="C9826" s="51"/>
      <c r="D9826" s="51"/>
    </row>
    <row r="9827" spans="3:4" x14ac:dyDescent="0.35">
      <c r="C9827" s="51"/>
      <c r="D9827" s="51"/>
    </row>
    <row r="9828" spans="3:4" x14ac:dyDescent="0.35">
      <c r="C9828" s="51"/>
      <c r="D9828" s="51"/>
    </row>
    <row r="9829" spans="3:4" x14ac:dyDescent="0.35">
      <c r="C9829" s="51"/>
      <c r="D9829" s="51"/>
    </row>
    <row r="9830" spans="3:4" x14ac:dyDescent="0.35">
      <c r="C9830" s="51"/>
      <c r="D9830" s="51"/>
    </row>
    <row r="9831" spans="3:4" x14ac:dyDescent="0.35">
      <c r="C9831" s="51"/>
      <c r="D9831" s="51"/>
    </row>
    <row r="9832" spans="3:4" x14ac:dyDescent="0.35">
      <c r="C9832" s="51"/>
      <c r="D9832" s="51"/>
    </row>
    <row r="9833" spans="3:4" x14ac:dyDescent="0.35">
      <c r="C9833" s="51"/>
      <c r="D9833" s="51"/>
    </row>
    <row r="9834" spans="3:4" x14ac:dyDescent="0.35">
      <c r="C9834" s="51"/>
      <c r="D9834" s="51"/>
    </row>
    <row r="9835" spans="3:4" x14ac:dyDescent="0.35">
      <c r="C9835" s="51"/>
      <c r="D9835" s="51"/>
    </row>
    <row r="9836" spans="3:4" x14ac:dyDescent="0.35">
      <c r="C9836" s="51"/>
      <c r="D9836" s="51"/>
    </row>
    <row r="9837" spans="3:4" x14ac:dyDescent="0.35">
      <c r="C9837" s="51"/>
      <c r="D9837" s="51"/>
    </row>
    <row r="9838" spans="3:4" x14ac:dyDescent="0.35">
      <c r="C9838" s="51"/>
      <c r="D9838" s="51"/>
    </row>
    <row r="9839" spans="3:4" x14ac:dyDescent="0.35">
      <c r="C9839" s="51"/>
      <c r="D9839" s="51"/>
    </row>
    <row r="9840" spans="3:4" x14ac:dyDescent="0.35">
      <c r="C9840" s="51"/>
      <c r="D9840" s="51"/>
    </row>
    <row r="9841" spans="3:4" x14ac:dyDescent="0.35">
      <c r="C9841" s="51"/>
      <c r="D9841" s="51"/>
    </row>
    <row r="9842" spans="3:4" x14ac:dyDescent="0.35">
      <c r="C9842" s="51"/>
      <c r="D9842" s="51"/>
    </row>
    <row r="9843" spans="3:4" x14ac:dyDescent="0.35">
      <c r="C9843" s="51"/>
      <c r="D9843" s="51"/>
    </row>
    <row r="9844" spans="3:4" x14ac:dyDescent="0.35">
      <c r="C9844" s="51"/>
      <c r="D9844" s="51"/>
    </row>
    <row r="9845" spans="3:4" x14ac:dyDescent="0.35">
      <c r="C9845" s="51"/>
      <c r="D9845" s="51"/>
    </row>
    <row r="9846" spans="3:4" x14ac:dyDescent="0.35">
      <c r="C9846" s="51"/>
      <c r="D9846" s="51"/>
    </row>
    <row r="9847" spans="3:4" x14ac:dyDescent="0.35">
      <c r="C9847" s="51"/>
      <c r="D9847" s="51"/>
    </row>
    <row r="9848" spans="3:4" x14ac:dyDescent="0.35">
      <c r="C9848" s="51"/>
      <c r="D9848" s="51"/>
    </row>
    <row r="9849" spans="3:4" x14ac:dyDescent="0.35">
      <c r="C9849" s="51"/>
      <c r="D9849" s="51"/>
    </row>
    <row r="9850" spans="3:4" x14ac:dyDescent="0.35">
      <c r="C9850" s="51"/>
      <c r="D9850" s="51"/>
    </row>
    <row r="9851" spans="3:4" x14ac:dyDescent="0.35">
      <c r="C9851" s="51"/>
      <c r="D9851" s="51"/>
    </row>
    <row r="9852" spans="3:4" x14ac:dyDescent="0.35">
      <c r="C9852" s="51"/>
      <c r="D9852" s="51"/>
    </row>
    <row r="9853" spans="3:4" x14ac:dyDescent="0.35">
      <c r="C9853" s="51"/>
      <c r="D9853" s="51"/>
    </row>
    <row r="9854" spans="3:4" x14ac:dyDescent="0.35">
      <c r="C9854" s="51"/>
      <c r="D9854" s="51"/>
    </row>
    <row r="9855" spans="3:4" x14ac:dyDescent="0.35">
      <c r="C9855" s="51"/>
      <c r="D9855" s="51"/>
    </row>
    <row r="9856" spans="3:4" x14ac:dyDescent="0.35">
      <c r="C9856" s="51"/>
      <c r="D9856" s="51"/>
    </row>
    <row r="9857" spans="3:4" x14ac:dyDescent="0.35">
      <c r="C9857" s="51"/>
      <c r="D9857" s="51"/>
    </row>
    <row r="9858" spans="3:4" x14ac:dyDescent="0.35">
      <c r="C9858" s="51"/>
      <c r="D9858" s="51"/>
    </row>
    <row r="9859" spans="3:4" x14ac:dyDescent="0.35">
      <c r="C9859" s="51"/>
      <c r="D9859" s="51"/>
    </row>
    <row r="9860" spans="3:4" x14ac:dyDescent="0.35">
      <c r="C9860" s="51"/>
      <c r="D9860" s="51"/>
    </row>
    <row r="9861" spans="3:4" x14ac:dyDescent="0.35">
      <c r="C9861" s="51"/>
      <c r="D9861" s="51"/>
    </row>
    <row r="9862" spans="3:4" x14ac:dyDescent="0.35">
      <c r="C9862" s="51"/>
      <c r="D9862" s="51"/>
    </row>
    <row r="9863" spans="3:4" x14ac:dyDescent="0.35">
      <c r="C9863" s="51"/>
      <c r="D9863" s="51"/>
    </row>
    <row r="9864" spans="3:4" x14ac:dyDescent="0.35">
      <c r="C9864" s="51"/>
      <c r="D9864" s="51"/>
    </row>
    <row r="9865" spans="3:4" x14ac:dyDescent="0.35">
      <c r="C9865" s="51"/>
      <c r="D9865" s="51"/>
    </row>
    <row r="9866" spans="3:4" x14ac:dyDescent="0.35">
      <c r="C9866" s="51"/>
      <c r="D9866" s="51"/>
    </row>
    <row r="9867" spans="3:4" x14ac:dyDescent="0.35">
      <c r="C9867" s="51"/>
      <c r="D9867" s="51"/>
    </row>
    <row r="9868" spans="3:4" x14ac:dyDescent="0.35">
      <c r="C9868" s="51"/>
      <c r="D9868" s="51"/>
    </row>
    <row r="9869" spans="3:4" x14ac:dyDescent="0.35">
      <c r="C9869" s="51"/>
      <c r="D9869" s="51"/>
    </row>
    <row r="9870" spans="3:4" x14ac:dyDescent="0.35">
      <c r="C9870" s="51"/>
      <c r="D9870" s="51"/>
    </row>
    <row r="9871" spans="3:4" x14ac:dyDescent="0.35">
      <c r="C9871" s="51"/>
      <c r="D9871" s="51"/>
    </row>
    <row r="9872" spans="3:4" x14ac:dyDescent="0.35">
      <c r="C9872" s="51"/>
      <c r="D9872" s="51"/>
    </row>
    <row r="9873" spans="3:4" x14ac:dyDescent="0.35">
      <c r="C9873" s="51"/>
      <c r="D9873" s="51"/>
    </row>
    <row r="9874" spans="3:4" x14ac:dyDescent="0.35">
      <c r="C9874" s="51"/>
      <c r="D9874" s="51"/>
    </row>
    <row r="9875" spans="3:4" x14ac:dyDescent="0.35">
      <c r="C9875" s="51"/>
      <c r="D9875" s="51"/>
    </row>
    <row r="9876" spans="3:4" x14ac:dyDescent="0.35">
      <c r="C9876" s="51"/>
      <c r="D9876" s="51"/>
    </row>
    <row r="9877" spans="3:4" x14ac:dyDescent="0.35">
      <c r="C9877" s="51"/>
      <c r="D9877" s="51"/>
    </row>
    <row r="9878" spans="3:4" x14ac:dyDescent="0.35">
      <c r="C9878" s="51"/>
      <c r="D9878" s="51"/>
    </row>
    <row r="9879" spans="3:4" x14ac:dyDescent="0.35">
      <c r="C9879" s="51"/>
      <c r="D9879" s="51"/>
    </row>
    <row r="9880" spans="3:4" x14ac:dyDescent="0.35">
      <c r="C9880" s="51"/>
      <c r="D9880" s="51"/>
    </row>
    <row r="9881" spans="3:4" x14ac:dyDescent="0.35">
      <c r="C9881" s="51"/>
      <c r="D9881" s="51"/>
    </row>
    <row r="9882" spans="3:4" x14ac:dyDescent="0.35">
      <c r="C9882" s="51"/>
      <c r="D9882" s="51"/>
    </row>
    <row r="9883" spans="3:4" x14ac:dyDescent="0.35">
      <c r="C9883" s="51"/>
      <c r="D9883" s="51"/>
    </row>
    <row r="9884" spans="3:4" x14ac:dyDescent="0.35">
      <c r="C9884" s="51"/>
      <c r="D9884" s="51"/>
    </row>
    <row r="9885" spans="3:4" x14ac:dyDescent="0.35">
      <c r="C9885" s="51"/>
      <c r="D9885" s="51"/>
    </row>
    <row r="9886" spans="3:4" x14ac:dyDescent="0.35">
      <c r="C9886" s="51"/>
      <c r="D9886" s="51"/>
    </row>
    <row r="9887" spans="3:4" x14ac:dyDescent="0.35">
      <c r="C9887" s="51"/>
      <c r="D9887" s="51"/>
    </row>
    <row r="9888" spans="3:4" x14ac:dyDescent="0.35">
      <c r="C9888" s="51"/>
      <c r="D9888" s="51"/>
    </row>
    <row r="9889" spans="3:4" x14ac:dyDescent="0.35">
      <c r="C9889" s="51"/>
      <c r="D9889" s="51"/>
    </row>
    <row r="9890" spans="3:4" x14ac:dyDescent="0.35">
      <c r="C9890" s="51"/>
      <c r="D9890" s="51"/>
    </row>
    <row r="9891" spans="3:4" x14ac:dyDescent="0.35">
      <c r="C9891" s="51"/>
      <c r="D9891" s="51"/>
    </row>
    <row r="9892" spans="3:4" x14ac:dyDescent="0.35">
      <c r="C9892" s="51"/>
      <c r="D9892" s="51"/>
    </row>
    <row r="9893" spans="3:4" x14ac:dyDescent="0.35">
      <c r="C9893" s="51"/>
      <c r="D9893" s="51"/>
    </row>
    <row r="9894" spans="3:4" x14ac:dyDescent="0.35">
      <c r="C9894" s="51"/>
      <c r="D9894" s="51"/>
    </row>
    <row r="9895" spans="3:4" x14ac:dyDescent="0.35">
      <c r="C9895" s="51"/>
      <c r="D9895" s="51"/>
    </row>
    <row r="9896" spans="3:4" x14ac:dyDescent="0.35">
      <c r="C9896" s="51"/>
      <c r="D9896" s="51"/>
    </row>
    <row r="9897" spans="3:4" x14ac:dyDescent="0.35">
      <c r="C9897" s="51"/>
      <c r="D9897" s="51"/>
    </row>
    <row r="9898" spans="3:4" x14ac:dyDescent="0.35">
      <c r="C9898" s="51"/>
      <c r="D9898" s="51"/>
    </row>
    <row r="9899" spans="3:4" x14ac:dyDescent="0.35">
      <c r="C9899" s="51"/>
      <c r="D9899" s="51"/>
    </row>
    <row r="9900" spans="3:4" x14ac:dyDescent="0.35">
      <c r="C9900" s="51"/>
      <c r="D9900" s="51"/>
    </row>
    <row r="9901" spans="3:4" x14ac:dyDescent="0.35">
      <c r="C9901" s="51"/>
      <c r="D9901" s="51"/>
    </row>
    <row r="9902" spans="3:4" x14ac:dyDescent="0.35">
      <c r="C9902" s="51"/>
      <c r="D9902" s="51"/>
    </row>
    <row r="9903" spans="3:4" x14ac:dyDescent="0.35">
      <c r="C9903" s="51"/>
      <c r="D9903" s="51"/>
    </row>
    <row r="9904" spans="3:4" x14ac:dyDescent="0.35">
      <c r="C9904" s="51"/>
      <c r="D9904" s="51"/>
    </row>
    <row r="9905" spans="3:4" x14ac:dyDescent="0.35">
      <c r="C9905" s="51"/>
      <c r="D9905" s="51"/>
    </row>
    <row r="9906" spans="3:4" x14ac:dyDescent="0.35">
      <c r="C9906" s="51"/>
      <c r="D9906" s="51"/>
    </row>
    <row r="9907" spans="3:4" x14ac:dyDescent="0.35">
      <c r="C9907" s="51"/>
      <c r="D9907" s="51"/>
    </row>
    <row r="9908" spans="3:4" x14ac:dyDescent="0.35">
      <c r="C9908" s="51"/>
      <c r="D9908" s="51"/>
    </row>
    <row r="9909" spans="3:4" x14ac:dyDescent="0.35">
      <c r="C9909" s="51"/>
      <c r="D9909" s="51"/>
    </row>
    <row r="9910" spans="3:4" x14ac:dyDescent="0.35">
      <c r="C9910" s="51"/>
      <c r="D9910" s="51"/>
    </row>
    <row r="9911" spans="3:4" x14ac:dyDescent="0.35">
      <c r="C9911" s="51"/>
      <c r="D9911" s="51"/>
    </row>
    <row r="9912" spans="3:4" x14ac:dyDescent="0.35">
      <c r="C9912" s="51"/>
      <c r="D9912" s="51"/>
    </row>
    <row r="9913" spans="3:4" x14ac:dyDescent="0.35">
      <c r="C9913" s="51"/>
      <c r="D9913" s="51"/>
    </row>
    <row r="9914" spans="3:4" x14ac:dyDescent="0.35">
      <c r="C9914" s="51"/>
      <c r="D9914" s="51"/>
    </row>
    <row r="9915" spans="3:4" x14ac:dyDescent="0.35">
      <c r="C9915" s="51"/>
      <c r="D9915" s="51"/>
    </row>
    <row r="9916" spans="3:4" x14ac:dyDescent="0.35">
      <c r="C9916" s="51"/>
      <c r="D9916" s="51"/>
    </row>
    <row r="9917" spans="3:4" x14ac:dyDescent="0.35">
      <c r="C9917" s="51"/>
      <c r="D9917" s="51"/>
    </row>
    <row r="9918" spans="3:4" x14ac:dyDescent="0.35">
      <c r="C9918" s="51"/>
      <c r="D9918" s="51"/>
    </row>
    <row r="9919" spans="3:4" x14ac:dyDescent="0.35">
      <c r="C9919" s="51"/>
      <c r="D9919" s="51"/>
    </row>
    <row r="9920" spans="3:4" x14ac:dyDescent="0.35">
      <c r="C9920" s="51"/>
      <c r="D9920" s="51"/>
    </row>
    <row r="9921" spans="3:4" x14ac:dyDescent="0.35">
      <c r="C9921" s="51"/>
      <c r="D9921" s="51"/>
    </row>
    <row r="9922" spans="3:4" x14ac:dyDescent="0.35">
      <c r="C9922" s="51"/>
      <c r="D9922" s="51"/>
    </row>
    <row r="9923" spans="3:4" x14ac:dyDescent="0.35">
      <c r="C9923" s="51"/>
      <c r="D9923" s="51"/>
    </row>
    <row r="9924" spans="3:4" x14ac:dyDescent="0.35">
      <c r="C9924" s="51"/>
      <c r="D9924" s="51"/>
    </row>
    <row r="9925" spans="3:4" x14ac:dyDescent="0.35">
      <c r="C9925" s="51"/>
      <c r="D9925" s="51"/>
    </row>
    <row r="9926" spans="3:4" x14ac:dyDescent="0.35">
      <c r="C9926" s="51"/>
      <c r="D9926" s="51"/>
    </row>
    <row r="9927" spans="3:4" x14ac:dyDescent="0.35">
      <c r="C9927" s="51"/>
      <c r="D9927" s="51"/>
    </row>
    <row r="9928" spans="3:4" x14ac:dyDescent="0.35">
      <c r="C9928" s="51"/>
      <c r="D9928" s="51"/>
    </row>
    <row r="9929" spans="3:4" x14ac:dyDescent="0.35">
      <c r="C9929" s="51"/>
      <c r="D9929" s="51"/>
    </row>
    <row r="9930" spans="3:4" x14ac:dyDescent="0.35">
      <c r="C9930" s="51"/>
      <c r="D9930" s="51"/>
    </row>
    <row r="9931" spans="3:4" x14ac:dyDescent="0.35">
      <c r="C9931" s="51"/>
      <c r="D9931" s="51"/>
    </row>
    <row r="9932" spans="3:4" x14ac:dyDescent="0.35">
      <c r="C9932" s="51"/>
      <c r="D9932" s="51"/>
    </row>
    <row r="9933" spans="3:4" x14ac:dyDescent="0.35">
      <c r="C9933" s="51"/>
      <c r="D9933" s="51"/>
    </row>
    <row r="9934" spans="3:4" x14ac:dyDescent="0.35">
      <c r="C9934" s="51"/>
      <c r="D9934" s="51"/>
    </row>
    <row r="9935" spans="3:4" x14ac:dyDescent="0.35">
      <c r="C9935" s="51"/>
      <c r="D9935" s="51"/>
    </row>
    <row r="9936" spans="3:4" x14ac:dyDescent="0.35">
      <c r="C9936" s="51"/>
      <c r="D9936" s="51"/>
    </row>
    <row r="9937" spans="3:4" x14ac:dyDescent="0.35">
      <c r="C9937" s="51"/>
      <c r="D9937" s="51"/>
    </row>
    <row r="9938" spans="3:4" x14ac:dyDescent="0.35">
      <c r="C9938" s="51"/>
      <c r="D9938" s="51"/>
    </row>
    <row r="9939" spans="3:4" x14ac:dyDescent="0.35">
      <c r="C9939" s="51"/>
      <c r="D9939" s="51"/>
    </row>
    <row r="9940" spans="3:4" x14ac:dyDescent="0.35">
      <c r="C9940" s="51"/>
      <c r="D9940" s="51"/>
    </row>
    <row r="9941" spans="3:4" x14ac:dyDescent="0.35">
      <c r="C9941" s="51"/>
      <c r="D9941" s="51"/>
    </row>
    <row r="9942" spans="3:4" x14ac:dyDescent="0.35">
      <c r="C9942" s="51"/>
      <c r="D9942" s="51"/>
    </row>
    <row r="9943" spans="3:4" x14ac:dyDescent="0.35">
      <c r="C9943" s="51"/>
      <c r="D9943" s="51"/>
    </row>
    <row r="9944" spans="3:4" x14ac:dyDescent="0.35">
      <c r="C9944" s="51"/>
      <c r="D9944" s="51"/>
    </row>
    <row r="9945" spans="3:4" x14ac:dyDescent="0.35">
      <c r="C9945" s="51"/>
      <c r="D9945" s="51"/>
    </row>
    <row r="9946" spans="3:4" x14ac:dyDescent="0.35">
      <c r="C9946" s="51"/>
      <c r="D9946" s="51"/>
    </row>
    <row r="9947" spans="3:4" x14ac:dyDescent="0.35">
      <c r="C9947" s="51"/>
      <c r="D9947" s="51"/>
    </row>
    <row r="9948" spans="3:4" x14ac:dyDescent="0.35">
      <c r="C9948" s="51"/>
      <c r="D9948" s="51"/>
    </row>
    <row r="9949" spans="3:4" x14ac:dyDescent="0.35">
      <c r="C9949" s="51"/>
      <c r="D9949" s="51"/>
    </row>
    <row r="9950" spans="3:4" x14ac:dyDescent="0.35">
      <c r="C9950" s="51"/>
      <c r="D9950" s="51"/>
    </row>
    <row r="9951" spans="3:4" x14ac:dyDescent="0.35">
      <c r="C9951" s="51"/>
      <c r="D9951" s="51"/>
    </row>
    <row r="9952" spans="3:4" x14ac:dyDescent="0.35">
      <c r="C9952" s="51"/>
      <c r="D9952" s="51"/>
    </row>
    <row r="9953" spans="3:4" x14ac:dyDescent="0.35">
      <c r="C9953" s="51"/>
      <c r="D9953" s="51"/>
    </row>
    <row r="9954" spans="3:4" x14ac:dyDescent="0.35">
      <c r="C9954" s="51"/>
      <c r="D9954" s="51"/>
    </row>
    <row r="9955" spans="3:4" x14ac:dyDescent="0.35">
      <c r="C9955" s="51"/>
      <c r="D9955" s="51"/>
    </row>
    <row r="9956" spans="3:4" x14ac:dyDescent="0.35">
      <c r="C9956" s="51"/>
      <c r="D9956" s="51"/>
    </row>
    <row r="9957" spans="3:4" x14ac:dyDescent="0.35">
      <c r="C9957" s="51"/>
      <c r="D9957" s="51"/>
    </row>
    <row r="9958" spans="3:4" x14ac:dyDescent="0.35">
      <c r="C9958" s="51"/>
      <c r="D9958" s="51"/>
    </row>
    <row r="9959" spans="3:4" x14ac:dyDescent="0.35">
      <c r="C9959" s="51"/>
      <c r="D9959" s="51"/>
    </row>
    <row r="9960" spans="3:4" x14ac:dyDescent="0.35">
      <c r="C9960" s="51"/>
      <c r="D9960" s="51"/>
    </row>
    <row r="9961" spans="3:4" x14ac:dyDescent="0.35">
      <c r="C9961" s="51"/>
      <c r="D9961" s="51"/>
    </row>
    <row r="9962" spans="3:4" x14ac:dyDescent="0.35">
      <c r="C9962" s="51"/>
      <c r="D9962" s="51"/>
    </row>
    <row r="9963" spans="3:4" x14ac:dyDescent="0.35">
      <c r="C9963" s="51"/>
      <c r="D9963" s="51"/>
    </row>
    <row r="9964" spans="3:4" x14ac:dyDescent="0.35">
      <c r="C9964" s="51"/>
      <c r="D9964" s="51"/>
    </row>
    <row r="9965" spans="3:4" x14ac:dyDescent="0.35">
      <c r="C9965" s="51"/>
      <c r="D9965" s="51"/>
    </row>
    <row r="9966" spans="3:4" x14ac:dyDescent="0.35">
      <c r="C9966" s="51"/>
      <c r="D9966" s="51"/>
    </row>
    <row r="9967" spans="3:4" x14ac:dyDescent="0.35">
      <c r="C9967" s="51"/>
      <c r="D9967" s="51"/>
    </row>
    <row r="9968" spans="3:4" x14ac:dyDescent="0.35">
      <c r="C9968" s="51"/>
      <c r="D9968" s="51"/>
    </row>
    <row r="9969" spans="3:4" x14ac:dyDescent="0.35">
      <c r="C9969" s="51"/>
      <c r="D9969" s="51"/>
    </row>
    <row r="9970" spans="3:4" x14ac:dyDescent="0.35">
      <c r="C9970" s="51"/>
      <c r="D9970" s="51"/>
    </row>
    <row r="9971" spans="3:4" x14ac:dyDescent="0.35">
      <c r="C9971" s="51"/>
      <c r="D9971" s="51"/>
    </row>
    <row r="9972" spans="3:4" x14ac:dyDescent="0.35">
      <c r="C9972" s="51"/>
      <c r="D9972" s="51"/>
    </row>
    <row r="9973" spans="3:4" x14ac:dyDescent="0.35">
      <c r="C9973" s="51"/>
      <c r="D9973" s="51"/>
    </row>
    <row r="9974" spans="3:4" x14ac:dyDescent="0.35">
      <c r="C9974" s="51"/>
      <c r="D9974" s="51"/>
    </row>
    <row r="9975" spans="3:4" x14ac:dyDescent="0.35">
      <c r="C9975" s="51"/>
      <c r="D9975" s="51"/>
    </row>
    <row r="9976" spans="3:4" x14ac:dyDescent="0.35">
      <c r="C9976" s="51"/>
      <c r="D9976" s="51"/>
    </row>
    <row r="9977" spans="3:4" x14ac:dyDescent="0.35">
      <c r="C9977" s="51"/>
      <c r="D9977" s="51"/>
    </row>
    <row r="9978" spans="3:4" x14ac:dyDescent="0.35">
      <c r="C9978" s="51"/>
      <c r="D9978" s="51"/>
    </row>
    <row r="9979" spans="3:4" x14ac:dyDescent="0.35">
      <c r="C9979" s="51"/>
      <c r="D9979" s="51"/>
    </row>
    <row r="9980" spans="3:4" x14ac:dyDescent="0.35">
      <c r="C9980" s="51"/>
      <c r="D9980" s="51"/>
    </row>
    <row r="9981" spans="3:4" x14ac:dyDescent="0.35">
      <c r="C9981" s="51"/>
      <c r="D9981" s="51"/>
    </row>
    <row r="9982" spans="3:4" x14ac:dyDescent="0.35">
      <c r="C9982" s="51"/>
      <c r="D9982" s="51"/>
    </row>
    <row r="9983" spans="3:4" x14ac:dyDescent="0.35">
      <c r="C9983" s="51"/>
      <c r="D9983" s="51"/>
    </row>
    <row r="9984" spans="3:4" x14ac:dyDescent="0.35">
      <c r="C9984" s="51"/>
      <c r="D9984" s="51"/>
    </row>
    <row r="9985" spans="3:4" x14ac:dyDescent="0.35">
      <c r="C9985" s="51"/>
      <c r="D9985" s="51"/>
    </row>
    <row r="9986" spans="3:4" x14ac:dyDescent="0.35">
      <c r="C9986" s="51"/>
      <c r="D9986" s="51"/>
    </row>
    <row r="9987" spans="3:4" x14ac:dyDescent="0.35">
      <c r="C9987" s="51"/>
      <c r="D9987" s="51"/>
    </row>
    <row r="9988" spans="3:4" x14ac:dyDescent="0.35">
      <c r="C9988" s="51"/>
      <c r="D9988" s="51"/>
    </row>
    <row r="9989" spans="3:4" x14ac:dyDescent="0.35">
      <c r="C9989" s="51"/>
      <c r="D9989" s="51"/>
    </row>
    <row r="9990" spans="3:4" x14ac:dyDescent="0.35">
      <c r="C9990" s="51"/>
      <c r="D9990" s="51"/>
    </row>
    <row r="9991" spans="3:4" x14ac:dyDescent="0.35">
      <c r="C9991" s="51"/>
      <c r="D9991" s="51"/>
    </row>
    <row r="9992" spans="3:4" x14ac:dyDescent="0.35">
      <c r="C9992" s="51"/>
      <c r="D9992" s="51"/>
    </row>
    <row r="9993" spans="3:4" x14ac:dyDescent="0.35">
      <c r="C9993" s="51"/>
      <c r="D9993" s="51"/>
    </row>
    <row r="9994" spans="3:4" x14ac:dyDescent="0.35">
      <c r="C9994" s="51"/>
      <c r="D9994" s="51"/>
    </row>
    <row r="9995" spans="3:4" x14ac:dyDescent="0.35">
      <c r="C9995" s="51"/>
      <c r="D9995" s="51"/>
    </row>
    <row r="9996" spans="3:4" x14ac:dyDescent="0.35">
      <c r="C9996" s="51"/>
      <c r="D9996" s="51"/>
    </row>
    <row r="9997" spans="3:4" x14ac:dyDescent="0.35">
      <c r="C9997" s="51"/>
      <c r="D9997" s="51"/>
    </row>
    <row r="9998" spans="3:4" x14ac:dyDescent="0.35">
      <c r="C9998" s="51"/>
      <c r="D9998" s="51"/>
    </row>
    <row r="9999" spans="3:4" x14ac:dyDescent="0.35">
      <c r="C9999" s="51"/>
      <c r="D9999" s="51"/>
    </row>
    <row r="10000" spans="3:4" x14ac:dyDescent="0.35">
      <c r="C10000" s="51"/>
      <c r="D10000" s="51"/>
    </row>
    <row r="10001" spans="3:4" x14ac:dyDescent="0.35">
      <c r="C10001" s="51"/>
      <c r="D10001" s="51"/>
    </row>
    <row r="10002" spans="3:4" x14ac:dyDescent="0.35">
      <c r="C10002" s="51"/>
      <c r="D10002" s="51"/>
    </row>
    <row r="10003" spans="3:4" x14ac:dyDescent="0.35">
      <c r="C10003" s="51"/>
      <c r="D10003" s="51"/>
    </row>
    <row r="10004" spans="3:4" x14ac:dyDescent="0.35">
      <c r="C10004" s="51"/>
      <c r="D10004" s="51"/>
    </row>
    <row r="10005" spans="3:4" x14ac:dyDescent="0.35">
      <c r="C10005" s="51"/>
      <c r="D10005" s="51"/>
    </row>
    <row r="10006" spans="3:4" x14ac:dyDescent="0.35">
      <c r="C10006" s="51"/>
      <c r="D10006" s="51"/>
    </row>
    <row r="10007" spans="3:4" x14ac:dyDescent="0.35">
      <c r="C10007" s="51"/>
      <c r="D10007" s="51"/>
    </row>
    <row r="10008" spans="3:4" x14ac:dyDescent="0.35">
      <c r="C10008" s="51"/>
      <c r="D10008" s="51"/>
    </row>
    <row r="10009" spans="3:4" x14ac:dyDescent="0.35">
      <c r="C10009" s="51"/>
      <c r="D10009" s="51"/>
    </row>
    <row r="10010" spans="3:4" x14ac:dyDescent="0.35">
      <c r="C10010" s="51"/>
      <c r="D10010" s="51"/>
    </row>
    <row r="10011" spans="3:4" x14ac:dyDescent="0.35">
      <c r="C10011" s="51"/>
      <c r="D10011" s="51"/>
    </row>
    <row r="10012" spans="3:4" x14ac:dyDescent="0.35">
      <c r="C10012" s="51"/>
      <c r="D10012" s="51"/>
    </row>
    <row r="10013" spans="3:4" x14ac:dyDescent="0.35">
      <c r="C10013" s="51"/>
      <c r="D10013" s="51"/>
    </row>
    <row r="10014" spans="3:4" x14ac:dyDescent="0.35">
      <c r="C10014" s="51"/>
      <c r="D10014" s="51"/>
    </row>
    <row r="10015" spans="3:4" x14ac:dyDescent="0.35">
      <c r="C10015" s="51"/>
      <c r="D10015" s="51"/>
    </row>
    <row r="10016" spans="3:4" x14ac:dyDescent="0.35">
      <c r="C10016" s="51"/>
      <c r="D10016" s="51"/>
    </row>
    <row r="10017" spans="3:4" x14ac:dyDescent="0.35">
      <c r="C10017" s="51"/>
      <c r="D10017" s="51"/>
    </row>
    <row r="10018" spans="3:4" x14ac:dyDescent="0.35">
      <c r="C10018" s="51"/>
      <c r="D10018" s="51"/>
    </row>
    <row r="10019" spans="3:4" x14ac:dyDescent="0.35">
      <c r="C10019" s="51"/>
      <c r="D10019" s="51"/>
    </row>
    <row r="10020" spans="3:4" x14ac:dyDescent="0.35">
      <c r="C10020" s="51"/>
      <c r="D10020" s="51"/>
    </row>
    <row r="10021" spans="3:4" x14ac:dyDescent="0.35">
      <c r="C10021" s="51"/>
      <c r="D10021" s="51"/>
    </row>
    <row r="10022" spans="3:4" x14ac:dyDescent="0.35">
      <c r="C10022" s="51"/>
      <c r="D10022" s="51"/>
    </row>
    <row r="10023" spans="3:4" x14ac:dyDescent="0.35">
      <c r="C10023" s="51"/>
      <c r="D10023" s="51"/>
    </row>
    <row r="10024" spans="3:4" x14ac:dyDescent="0.35">
      <c r="C10024" s="51"/>
      <c r="D10024" s="51"/>
    </row>
    <row r="10025" spans="3:4" x14ac:dyDescent="0.35">
      <c r="C10025" s="51"/>
      <c r="D10025" s="51"/>
    </row>
    <row r="10026" spans="3:4" x14ac:dyDescent="0.35">
      <c r="C10026" s="51"/>
      <c r="D10026" s="51"/>
    </row>
    <row r="10027" spans="3:4" x14ac:dyDescent="0.35">
      <c r="C10027" s="51"/>
      <c r="D10027" s="51"/>
    </row>
    <row r="10028" spans="3:4" x14ac:dyDescent="0.35">
      <c r="C10028" s="51"/>
      <c r="D10028" s="51"/>
    </row>
    <row r="10029" spans="3:4" x14ac:dyDescent="0.35">
      <c r="C10029" s="51"/>
      <c r="D10029" s="51"/>
    </row>
    <row r="10030" spans="3:4" x14ac:dyDescent="0.35">
      <c r="C10030" s="51"/>
      <c r="D10030" s="51"/>
    </row>
    <row r="10031" spans="3:4" x14ac:dyDescent="0.35">
      <c r="C10031" s="51"/>
      <c r="D10031" s="51"/>
    </row>
    <row r="10032" spans="3:4" x14ac:dyDescent="0.35">
      <c r="C10032" s="51"/>
      <c r="D10032" s="51"/>
    </row>
    <row r="10033" spans="3:4" x14ac:dyDescent="0.35">
      <c r="C10033" s="51"/>
      <c r="D10033" s="51"/>
    </row>
    <row r="10034" spans="3:4" x14ac:dyDescent="0.35">
      <c r="C10034" s="51"/>
      <c r="D10034" s="51"/>
    </row>
    <row r="10035" spans="3:4" x14ac:dyDescent="0.35">
      <c r="C10035" s="51"/>
      <c r="D10035" s="51"/>
    </row>
    <row r="10036" spans="3:4" x14ac:dyDescent="0.35">
      <c r="C10036" s="51"/>
      <c r="D10036" s="51"/>
    </row>
    <row r="10037" spans="3:4" x14ac:dyDescent="0.35">
      <c r="C10037" s="51"/>
      <c r="D10037" s="51"/>
    </row>
    <row r="10038" spans="3:4" x14ac:dyDescent="0.35">
      <c r="C10038" s="51"/>
      <c r="D10038" s="51"/>
    </row>
    <row r="10039" spans="3:4" x14ac:dyDescent="0.35">
      <c r="C10039" s="51"/>
      <c r="D10039" s="51"/>
    </row>
    <row r="10040" spans="3:4" x14ac:dyDescent="0.35">
      <c r="C10040" s="51"/>
      <c r="D10040" s="51"/>
    </row>
    <row r="10041" spans="3:4" x14ac:dyDescent="0.35">
      <c r="C10041" s="51"/>
      <c r="D10041" s="51"/>
    </row>
    <row r="10042" spans="3:4" x14ac:dyDescent="0.35">
      <c r="C10042" s="51"/>
      <c r="D10042" s="51"/>
    </row>
    <row r="10043" spans="3:4" x14ac:dyDescent="0.35">
      <c r="C10043" s="51"/>
      <c r="D10043" s="51"/>
    </row>
    <row r="10044" spans="3:4" x14ac:dyDescent="0.35">
      <c r="C10044" s="51"/>
      <c r="D10044" s="51"/>
    </row>
    <row r="10045" spans="3:4" x14ac:dyDescent="0.35">
      <c r="C10045" s="51"/>
      <c r="D10045" s="51"/>
    </row>
    <row r="10046" spans="3:4" x14ac:dyDescent="0.35">
      <c r="C10046" s="51"/>
      <c r="D10046" s="51"/>
    </row>
    <row r="10047" spans="3:4" x14ac:dyDescent="0.35">
      <c r="C10047" s="51"/>
      <c r="D10047" s="51"/>
    </row>
    <row r="10048" spans="3:4" x14ac:dyDescent="0.35">
      <c r="C10048" s="51"/>
      <c r="D10048" s="51"/>
    </row>
    <row r="10049" spans="3:4" x14ac:dyDescent="0.35">
      <c r="C10049" s="51"/>
      <c r="D10049" s="51"/>
    </row>
    <row r="10050" spans="3:4" x14ac:dyDescent="0.35">
      <c r="C10050" s="51"/>
      <c r="D10050" s="51"/>
    </row>
    <row r="10051" spans="3:4" x14ac:dyDescent="0.35">
      <c r="C10051" s="51"/>
      <c r="D10051" s="51"/>
    </row>
    <row r="10052" spans="3:4" x14ac:dyDescent="0.35">
      <c r="C10052" s="51"/>
      <c r="D10052" s="51"/>
    </row>
    <row r="10053" spans="3:4" x14ac:dyDescent="0.35">
      <c r="C10053" s="51"/>
      <c r="D10053" s="51"/>
    </row>
    <row r="10054" spans="3:4" x14ac:dyDescent="0.35">
      <c r="C10054" s="51"/>
      <c r="D10054" s="51"/>
    </row>
    <row r="10055" spans="3:4" x14ac:dyDescent="0.35">
      <c r="C10055" s="51"/>
      <c r="D10055" s="51"/>
    </row>
    <row r="10056" spans="3:4" x14ac:dyDescent="0.35">
      <c r="C10056" s="51"/>
      <c r="D10056" s="51"/>
    </row>
    <row r="10057" spans="3:4" x14ac:dyDescent="0.35">
      <c r="C10057" s="51"/>
      <c r="D10057" s="51"/>
    </row>
    <row r="10058" spans="3:4" x14ac:dyDescent="0.35">
      <c r="C10058" s="51"/>
      <c r="D10058" s="51"/>
    </row>
    <row r="10059" spans="3:4" x14ac:dyDescent="0.35">
      <c r="C10059" s="51"/>
      <c r="D10059" s="51"/>
    </row>
    <row r="10060" spans="3:4" x14ac:dyDescent="0.35">
      <c r="C10060" s="51"/>
      <c r="D10060" s="51"/>
    </row>
    <row r="10061" spans="3:4" x14ac:dyDescent="0.35">
      <c r="C10061" s="51"/>
      <c r="D10061" s="51"/>
    </row>
    <row r="10062" spans="3:4" x14ac:dyDescent="0.35">
      <c r="C10062" s="51"/>
      <c r="D10062" s="51"/>
    </row>
    <row r="10063" spans="3:4" x14ac:dyDescent="0.35">
      <c r="C10063" s="51"/>
      <c r="D10063" s="51"/>
    </row>
    <row r="10064" spans="3:4" x14ac:dyDescent="0.35">
      <c r="C10064" s="51"/>
      <c r="D10064" s="51"/>
    </row>
    <row r="10065" spans="3:4" x14ac:dyDescent="0.35">
      <c r="C10065" s="51"/>
      <c r="D10065" s="51"/>
    </row>
    <row r="10066" spans="3:4" x14ac:dyDescent="0.35">
      <c r="C10066" s="51"/>
      <c r="D10066" s="51"/>
    </row>
    <row r="10067" spans="3:4" x14ac:dyDescent="0.35">
      <c r="C10067" s="51"/>
      <c r="D10067" s="51"/>
    </row>
    <row r="10068" spans="3:4" x14ac:dyDescent="0.35">
      <c r="C10068" s="51"/>
      <c r="D10068" s="51"/>
    </row>
    <row r="10069" spans="3:4" x14ac:dyDescent="0.35">
      <c r="C10069" s="51"/>
      <c r="D10069" s="51"/>
    </row>
    <row r="10070" spans="3:4" x14ac:dyDescent="0.35">
      <c r="C10070" s="51"/>
      <c r="D10070" s="51"/>
    </row>
    <row r="10071" spans="3:4" x14ac:dyDescent="0.35">
      <c r="C10071" s="51"/>
      <c r="D10071" s="51"/>
    </row>
    <row r="10072" spans="3:4" x14ac:dyDescent="0.35">
      <c r="C10072" s="51"/>
      <c r="D10072" s="51"/>
    </row>
    <row r="10073" spans="3:4" x14ac:dyDescent="0.35">
      <c r="C10073" s="51"/>
      <c r="D10073" s="51"/>
    </row>
    <row r="10074" spans="3:4" x14ac:dyDescent="0.35">
      <c r="C10074" s="51"/>
      <c r="D10074" s="51"/>
    </row>
    <row r="10075" spans="3:4" x14ac:dyDescent="0.35">
      <c r="C10075" s="51"/>
      <c r="D10075" s="51"/>
    </row>
    <row r="10076" spans="3:4" x14ac:dyDescent="0.35">
      <c r="C10076" s="51"/>
      <c r="D10076" s="51"/>
    </row>
    <row r="10077" spans="3:4" x14ac:dyDescent="0.35">
      <c r="C10077" s="51"/>
      <c r="D10077" s="51"/>
    </row>
    <row r="10078" spans="3:4" x14ac:dyDescent="0.35">
      <c r="C10078" s="51"/>
      <c r="D10078" s="51"/>
    </row>
    <row r="10079" spans="3:4" x14ac:dyDescent="0.35">
      <c r="C10079" s="51"/>
      <c r="D10079" s="51"/>
    </row>
    <row r="10080" spans="3:4" x14ac:dyDescent="0.35">
      <c r="C10080" s="51"/>
      <c r="D10080" s="51"/>
    </row>
    <row r="10081" spans="3:4" x14ac:dyDescent="0.35">
      <c r="C10081" s="51"/>
      <c r="D10081" s="51"/>
    </row>
    <row r="10082" spans="3:4" x14ac:dyDescent="0.35">
      <c r="C10082" s="51"/>
      <c r="D10082" s="51"/>
    </row>
    <row r="10083" spans="3:4" x14ac:dyDescent="0.35">
      <c r="C10083" s="51"/>
      <c r="D10083" s="51"/>
    </row>
    <row r="10084" spans="3:4" x14ac:dyDescent="0.35">
      <c r="C10084" s="51"/>
      <c r="D10084" s="51"/>
    </row>
    <row r="10085" spans="3:4" x14ac:dyDescent="0.35">
      <c r="C10085" s="51"/>
      <c r="D10085" s="51"/>
    </row>
    <row r="10086" spans="3:4" x14ac:dyDescent="0.35">
      <c r="C10086" s="51"/>
      <c r="D10086" s="51"/>
    </row>
    <row r="10087" spans="3:4" x14ac:dyDescent="0.35">
      <c r="C10087" s="51"/>
      <c r="D10087" s="51"/>
    </row>
    <row r="10088" spans="3:4" x14ac:dyDescent="0.35">
      <c r="C10088" s="51"/>
      <c r="D10088" s="51"/>
    </row>
    <row r="10089" spans="3:4" x14ac:dyDescent="0.35">
      <c r="C10089" s="51"/>
      <c r="D10089" s="51"/>
    </row>
    <row r="10090" spans="3:4" x14ac:dyDescent="0.35">
      <c r="C10090" s="51"/>
      <c r="D10090" s="51"/>
    </row>
    <row r="10091" spans="3:4" x14ac:dyDescent="0.35">
      <c r="C10091" s="51"/>
      <c r="D10091" s="51"/>
    </row>
    <row r="10092" spans="3:4" x14ac:dyDescent="0.35">
      <c r="C10092" s="51"/>
      <c r="D10092" s="51"/>
    </row>
    <row r="10093" spans="3:4" x14ac:dyDescent="0.35">
      <c r="C10093" s="51"/>
      <c r="D10093" s="51"/>
    </row>
    <row r="10094" spans="3:4" x14ac:dyDescent="0.35">
      <c r="C10094" s="51"/>
      <c r="D10094" s="51"/>
    </row>
    <row r="10095" spans="3:4" x14ac:dyDescent="0.35">
      <c r="C10095" s="51"/>
      <c r="D10095" s="51"/>
    </row>
    <row r="10096" spans="3:4" x14ac:dyDescent="0.35">
      <c r="C10096" s="51"/>
      <c r="D10096" s="51"/>
    </row>
    <row r="10097" spans="3:4" x14ac:dyDescent="0.35">
      <c r="C10097" s="51"/>
      <c r="D10097" s="51"/>
    </row>
    <row r="10098" spans="3:4" x14ac:dyDescent="0.35">
      <c r="C10098" s="51"/>
      <c r="D10098" s="51"/>
    </row>
    <row r="10099" spans="3:4" x14ac:dyDescent="0.35">
      <c r="C10099" s="51"/>
      <c r="D10099" s="51"/>
    </row>
    <row r="10100" spans="3:4" x14ac:dyDescent="0.35">
      <c r="C10100" s="51"/>
      <c r="D10100" s="51"/>
    </row>
    <row r="10101" spans="3:4" x14ac:dyDescent="0.35">
      <c r="C10101" s="51"/>
      <c r="D10101" s="51"/>
    </row>
    <row r="10102" spans="3:4" x14ac:dyDescent="0.35">
      <c r="C10102" s="51"/>
      <c r="D10102" s="51"/>
    </row>
    <row r="10103" spans="3:4" x14ac:dyDescent="0.35">
      <c r="C10103" s="51"/>
      <c r="D10103" s="51"/>
    </row>
    <row r="10104" spans="3:4" x14ac:dyDescent="0.35">
      <c r="C10104" s="51"/>
      <c r="D10104" s="51"/>
    </row>
    <row r="10105" spans="3:4" x14ac:dyDescent="0.35">
      <c r="C10105" s="51"/>
      <c r="D10105" s="51"/>
    </row>
    <row r="10106" spans="3:4" x14ac:dyDescent="0.35">
      <c r="C10106" s="51"/>
      <c r="D10106" s="51"/>
    </row>
    <row r="10107" spans="3:4" x14ac:dyDescent="0.35">
      <c r="C10107" s="51"/>
      <c r="D10107" s="51"/>
    </row>
    <row r="10108" spans="3:4" x14ac:dyDescent="0.35">
      <c r="C10108" s="51"/>
      <c r="D10108" s="51"/>
    </row>
    <row r="10109" spans="3:4" x14ac:dyDescent="0.35">
      <c r="C10109" s="51"/>
      <c r="D10109" s="51"/>
    </row>
    <row r="10110" spans="3:4" x14ac:dyDescent="0.35">
      <c r="C10110" s="51"/>
      <c r="D10110" s="51"/>
    </row>
    <row r="10111" spans="3:4" x14ac:dyDescent="0.35">
      <c r="C10111" s="51"/>
      <c r="D10111" s="51"/>
    </row>
    <row r="10112" spans="3:4" x14ac:dyDescent="0.35">
      <c r="C10112" s="51"/>
      <c r="D10112" s="51"/>
    </row>
    <row r="10113" spans="3:4" x14ac:dyDescent="0.35">
      <c r="C10113" s="51"/>
      <c r="D10113" s="51"/>
    </row>
    <row r="10114" spans="3:4" x14ac:dyDescent="0.35">
      <c r="C10114" s="51"/>
      <c r="D10114" s="51"/>
    </row>
    <row r="10115" spans="3:4" x14ac:dyDescent="0.35">
      <c r="C10115" s="51"/>
      <c r="D10115" s="51"/>
    </row>
    <row r="10116" spans="3:4" x14ac:dyDescent="0.35">
      <c r="C10116" s="51"/>
      <c r="D10116" s="51"/>
    </row>
    <row r="10117" spans="3:4" x14ac:dyDescent="0.35">
      <c r="C10117" s="51"/>
      <c r="D10117" s="51"/>
    </row>
    <row r="10118" spans="3:4" x14ac:dyDescent="0.35">
      <c r="C10118" s="51"/>
      <c r="D10118" s="51"/>
    </row>
    <row r="10119" spans="3:4" x14ac:dyDescent="0.35">
      <c r="C10119" s="51"/>
      <c r="D10119" s="51"/>
    </row>
    <row r="10120" spans="3:4" x14ac:dyDescent="0.35">
      <c r="C10120" s="51"/>
      <c r="D10120" s="51"/>
    </row>
    <row r="10121" spans="3:4" x14ac:dyDescent="0.35">
      <c r="C10121" s="51"/>
      <c r="D10121" s="51"/>
    </row>
    <row r="10122" spans="3:4" x14ac:dyDescent="0.35">
      <c r="C10122" s="51"/>
      <c r="D10122" s="51"/>
    </row>
    <row r="10123" spans="3:4" x14ac:dyDescent="0.35">
      <c r="C10123" s="51"/>
      <c r="D10123" s="51"/>
    </row>
    <row r="10124" spans="3:4" x14ac:dyDescent="0.35">
      <c r="C10124" s="51"/>
      <c r="D10124" s="51"/>
    </row>
    <row r="10125" spans="3:4" x14ac:dyDescent="0.35">
      <c r="C10125" s="51"/>
      <c r="D10125" s="51"/>
    </row>
    <row r="10126" spans="3:4" x14ac:dyDescent="0.35">
      <c r="C10126" s="51"/>
      <c r="D10126" s="51"/>
    </row>
    <row r="10127" spans="3:4" x14ac:dyDescent="0.35">
      <c r="C10127" s="51"/>
      <c r="D10127" s="51"/>
    </row>
    <row r="10128" spans="3:4" x14ac:dyDescent="0.35">
      <c r="C10128" s="51"/>
      <c r="D10128" s="51"/>
    </row>
    <row r="10129" spans="3:4" x14ac:dyDescent="0.35">
      <c r="C10129" s="51"/>
      <c r="D10129" s="51"/>
    </row>
    <row r="10130" spans="3:4" x14ac:dyDescent="0.35">
      <c r="C10130" s="51"/>
      <c r="D10130" s="51"/>
    </row>
    <row r="10131" spans="3:4" x14ac:dyDescent="0.35">
      <c r="C10131" s="51"/>
      <c r="D10131" s="51"/>
    </row>
    <row r="10132" spans="3:4" x14ac:dyDescent="0.35">
      <c r="C10132" s="51"/>
      <c r="D10132" s="51"/>
    </row>
    <row r="10133" spans="3:4" x14ac:dyDescent="0.35">
      <c r="C10133" s="51"/>
      <c r="D10133" s="51"/>
    </row>
    <row r="10134" spans="3:4" x14ac:dyDescent="0.35">
      <c r="C10134" s="51"/>
      <c r="D10134" s="51"/>
    </row>
    <row r="10135" spans="3:4" x14ac:dyDescent="0.35">
      <c r="C10135" s="51"/>
      <c r="D10135" s="51"/>
    </row>
    <row r="10136" spans="3:4" x14ac:dyDescent="0.35">
      <c r="C10136" s="51"/>
      <c r="D10136" s="51"/>
    </row>
    <row r="10137" spans="3:4" x14ac:dyDescent="0.35">
      <c r="C10137" s="51"/>
      <c r="D10137" s="51"/>
    </row>
    <row r="10138" spans="3:4" x14ac:dyDescent="0.35">
      <c r="C10138" s="51"/>
      <c r="D10138" s="51"/>
    </row>
    <row r="10139" spans="3:4" x14ac:dyDescent="0.35">
      <c r="C10139" s="51"/>
      <c r="D10139" s="51"/>
    </row>
    <row r="10140" spans="3:4" x14ac:dyDescent="0.35">
      <c r="C10140" s="51"/>
      <c r="D10140" s="51"/>
    </row>
    <row r="10141" spans="3:4" x14ac:dyDescent="0.35">
      <c r="C10141" s="51"/>
      <c r="D10141" s="51"/>
    </row>
    <row r="10142" spans="3:4" x14ac:dyDescent="0.35">
      <c r="C10142" s="51"/>
      <c r="D10142" s="51"/>
    </row>
    <row r="10143" spans="3:4" x14ac:dyDescent="0.35">
      <c r="C10143" s="51"/>
      <c r="D10143" s="51"/>
    </row>
    <row r="10144" spans="3:4" x14ac:dyDescent="0.35">
      <c r="C10144" s="51"/>
      <c r="D10144" s="51"/>
    </row>
    <row r="10145" spans="3:4" x14ac:dyDescent="0.35">
      <c r="C10145" s="51"/>
      <c r="D10145" s="51"/>
    </row>
    <row r="10146" spans="3:4" x14ac:dyDescent="0.35">
      <c r="C10146" s="51"/>
      <c r="D10146" s="51"/>
    </row>
    <row r="10147" spans="3:4" x14ac:dyDescent="0.35">
      <c r="C10147" s="51"/>
      <c r="D10147" s="51"/>
    </row>
    <row r="10148" spans="3:4" x14ac:dyDescent="0.35">
      <c r="C10148" s="51"/>
      <c r="D10148" s="51"/>
    </row>
    <row r="10149" spans="3:4" x14ac:dyDescent="0.35">
      <c r="C10149" s="51"/>
      <c r="D10149" s="51"/>
    </row>
    <row r="10150" spans="3:4" x14ac:dyDescent="0.35">
      <c r="C10150" s="51"/>
      <c r="D10150" s="51"/>
    </row>
    <row r="10151" spans="3:4" x14ac:dyDescent="0.35">
      <c r="C10151" s="51"/>
      <c r="D10151" s="51"/>
    </row>
    <row r="10152" spans="3:4" x14ac:dyDescent="0.35">
      <c r="C10152" s="51"/>
      <c r="D10152" s="51"/>
    </row>
    <row r="10153" spans="3:4" x14ac:dyDescent="0.35">
      <c r="C10153" s="51"/>
      <c r="D10153" s="51"/>
    </row>
    <row r="10154" spans="3:4" x14ac:dyDescent="0.35">
      <c r="C10154" s="51"/>
      <c r="D10154" s="51"/>
    </row>
    <row r="10155" spans="3:4" x14ac:dyDescent="0.35">
      <c r="C10155" s="51"/>
      <c r="D10155" s="51"/>
    </row>
    <row r="10156" spans="3:4" x14ac:dyDescent="0.35">
      <c r="C10156" s="51"/>
      <c r="D10156" s="51"/>
    </row>
    <row r="10157" spans="3:4" x14ac:dyDescent="0.35">
      <c r="C10157" s="51"/>
      <c r="D10157" s="51"/>
    </row>
    <row r="10158" spans="3:4" x14ac:dyDescent="0.35">
      <c r="C10158" s="51"/>
      <c r="D10158" s="51"/>
    </row>
    <row r="10159" spans="3:4" x14ac:dyDescent="0.35">
      <c r="C10159" s="51"/>
      <c r="D10159" s="51"/>
    </row>
    <row r="10160" spans="3:4" x14ac:dyDescent="0.35">
      <c r="C10160" s="51"/>
      <c r="D10160" s="51"/>
    </row>
    <row r="10161" spans="3:4" x14ac:dyDescent="0.35">
      <c r="C10161" s="51"/>
      <c r="D10161" s="51"/>
    </row>
    <row r="10162" spans="3:4" x14ac:dyDescent="0.35">
      <c r="C10162" s="51"/>
      <c r="D10162" s="51"/>
    </row>
    <row r="10163" spans="3:4" x14ac:dyDescent="0.35">
      <c r="C10163" s="51"/>
      <c r="D10163" s="51"/>
    </row>
    <row r="10164" spans="3:4" x14ac:dyDescent="0.35">
      <c r="C10164" s="51"/>
      <c r="D10164" s="51"/>
    </row>
    <row r="10165" spans="3:4" x14ac:dyDescent="0.35">
      <c r="C10165" s="51"/>
      <c r="D10165" s="51"/>
    </row>
    <row r="10166" spans="3:4" x14ac:dyDescent="0.35">
      <c r="C10166" s="51"/>
      <c r="D10166" s="51"/>
    </row>
    <row r="10167" spans="3:4" x14ac:dyDescent="0.35">
      <c r="C10167" s="51"/>
      <c r="D10167" s="51"/>
    </row>
    <row r="10168" spans="3:4" x14ac:dyDescent="0.35">
      <c r="C10168" s="51"/>
      <c r="D10168" s="51"/>
    </row>
    <row r="10169" spans="3:4" x14ac:dyDescent="0.35">
      <c r="C10169" s="51"/>
      <c r="D10169" s="51"/>
    </row>
    <row r="10170" spans="3:4" x14ac:dyDescent="0.35">
      <c r="C10170" s="51"/>
      <c r="D10170" s="51"/>
    </row>
    <row r="10171" spans="3:4" x14ac:dyDescent="0.35">
      <c r="C10171" s="51"/>
      <c r="D10171" s="51"/>
    </row>
    <row r="10172" spans="3:4" x14ac:dyDescent="0.35">
      <c r="C10172" s="51"/>
      <c r="D10172" s="51"/>
    </row>
    <row r="10173" spans="3:4" x14ac:dyDescent="0.35">
      <c r="C10173" s="51"/>
      <c r="D10173" s="51"/>
    </row>
    <row r="10174" spans="3:4" x14ac:dyDescent="0.35">
      <c r="C10174" s="51"/>
      <c r="D10174" s="51"/>
    </row>
    <row r="10175" spans="3:4" x14ac:dyDescent="0.35">
      <c r="C10175" s="51"/>
      <c r="D10175" s="51"/>
    </row>
    <row r="10176" spans="3:4" x14ac:dyDescent="0.35">
      <c r="C10176" s="51"/>
      <c r="D10176" s="51"/>
    </row>
    <row r="10177" spans="3:4" x14ac:dyDescent="0.35">
      <c r="C10177" s="51"/>
      <c r="D10177" s="51"/>
    </row>
    <row r="10178" spans="3:4" x14ac:dyDescent="0.35">
      <c r="C10178" s="51"/>
      <c r="D10178" s="51"/>
    </row>
    <row r="10179" spans="3:4" x14ac:dyDescent="0.35">
      <c r="C10179" s="51"/>
      <c r="D10179" s="51"/>
    </row>
    <row r="10180" spans="3:4" x14ac:dyDescent="0.35">
      <c r="C10180" s="51"/>
      <c r="D10180" s="51"/>
    </row>
    <row r="10181" spans="3:4" x14ac:dyDescent="0.35">
      <c r="C10181" s="51"/>
      <c r="D10181" s="51"/>
    </row>
    <row r="10182" spans="3:4" x14ac:dyDescent="0.35">
      <c r="C10182" s="51"/>
      <c r="D10182" s="51"/>
    </row>
    <row r="10183" spans="3:4" x14ac:dyDescent="0.35">
      <c r="C10183" s="51"/>
      <c r="D10183" s="51"/>
    </row>
    <row r="10184" spans="3:4" x14ac:dyDescent="0.35">
      <c r="C10184" s="51"/>
      <c r="D10184" s="51"/>
    </row>
    <row r="10185" spans="3:4" x14ac:dyDescent="0.35">
      <c r="C10185" s="51"/>
      <c r="D10185" s="51"/>
    </row>
    <row r="10186" spans="3:4" x14ac:dyDescent="0.35">
      <c r="C10186" s="51"/>
      <c r="D10186" s="51"/>
    </row>
    <row r="10187" spans="3:4" x14ac:dyDescent="0.35">
      <c r="C10187" s="51"/>
      <c r="D10187" s="51"/>
    </row>
    <row r="10188" spans="3:4" x14ac:dyDescent="0.35">
      <c r="C10188" s="51"/>
      <c r="D10188" s="51"/>
    </row>
    <row r="10189" spans="3:4" x14ac:dyDescent="0.35">
      <c r="C10189" s="51"/>
      <c r="D10189" s="51"/>
    </row>
    <row r="10190" spans="3:4" x14ac:dyDescent="0.35">
      <c r="C10190" s="51"/>
      <c r="D10190" s="51"/>
    </row>
    <row r="10191" spans="3:4" x14ac:dyDescent="0.35">
      <c r="C10191" s="51"/>
      <c r="D10191" s="51"/>
    </row>
    <row r="10192" spans="3:4" x14ac:dyDescent="0.35">
      <c r="C10192" s="51"/>
      <c r="D10192" s="51"/>
    </row>
    <row r="10193" spans="3:4" x14ac:dyDescent="0.35">
      <c r="C10193" s="51"/>
      <c r="D10193" s="51"/>
    </row>
    <row r="10194" spans="3:4" x14ac:dyDescent="0.35">
      <c r="C10194" s="51"/>
      <c r="D10194" s="51"/>
    </row>
    <row r="10195" spans="3:4" x14ac:dyDescent="0.35">
      <c r="C10195" s="51"/>
      <c r="D10195" s="51"/>
    </row>
    <row r="10196" spans="3:4" x14ac:dyDescent="0.35">
      <c r="C10196" s="51"/>
      <c r="D10196" s="51"/>
    </row>
    <row r="10197" spans="3:4" x14ac:dyDescent="0.35">
      <c r="C10197" s="51"/>
      <c r="D10197" s="51"/>
    </row>
    <row r="10198" spans="3:4" x14ac:dyDescent="0.35">
      <c r="C10198" s="51"/>
      <c r="D10198" s="51"/>
    </row>
    <row r="10199" spans="3:4" x14ac:dyDescent="0.35">
      <c r="C10199" s="51"/>
      <c r="D10199" s="51"/>
    </row>
    <row r="10200" spans="3:4" x14ac:dyDescent="0.35">
      <c r="C10200" s="51"/>
      <c r="D10200" s="51"/>
    </row>
    <row r="10201" spans="3:4" x14ac:dyDescent="0.35">
      <c r="C10201" s="51"/>
      <c r="D10201" s="51"/>
    </row>
    <row r="10202" spans="3:4" x14ac:dyDescent="0.35">
      <c r="C10202" s="51"/>
      <c r="D10202" s="51"/>
    </row>
    <row r="10203" spans="3:4" x14ac:dyDescent="0.35">
      <c r="C10203" s="51"/>
      <c r="D10203" s="51"/>
    </row>
    <row r="10204" spans="3:4" x14ac:dyDescent="0.35">
      <c r="C10204" s="51"/>
      <c r="D10204" s="51"/>
    </row>
    <row r="10205" spans="3:4" x14ac:dyDescent="0.35">
      <c r="C10205" s="51"/>
      <c r="D10205" s="51"/>
    </row>
    <row r="10206" spans="3:4" x14ac:dyDescent="0.35">
      <c r="C10206" s="51"/>
      <c r="D10206" s="51"/>
    </row>
    <row r="10207" spans="3:4" x14ac:dyDescent="0.35">
      <c r="C10207" s="51"/>
      <c r="D10207" s="51"/>
    </row>
    <row r="10208" spans="3:4" x14ac:dyDescent="0.35">
      <c r="C10208" s="51"/>
      <c r="D10208" s="51"/>
    </row>
    <row r="10209" spans="3:4" x14ac:dyDescent="0.35">
      <c r="C10209" s="51"/>
      <c r="D10209" s="51"/>
    </row>
    <row r="10210" spans="3:4" x14ac:dyDescent="0.35">
      <c r="C10210" s="51"/>
      <c r="D10210" s="51"/>
    </row>
    <row r="10211" spans="3:4" x14ac:dyDescent="0.35">
      <c r="C10211" s="51"/>
      <c r="D10211" s="51"/>
    </row>
    <row r="10212" spans="3:4" x14ac:dyDescent="0.35">
      <c r="C10212" s="51"/>
      <c r="D10212" s="51"/>
    </row>
    <row r="10213" spans="3:4" x14ac:dyDescent="0.35">
      <c r="C10213" s="51"/>
      <c r="D10213" s="51"/>
    </row>
    <row r="10214" spans="3:4" x14ac:dyDescent="0.35">
      <c r="C10214" s="51"/>
      <c r="D10214" s="51"/>
    </row>
    <row r="10215" spans="3:4" x14ac:dyDescent="0.35">
      <c r="C10215" s="51"/>
      <c r="D10215" s="51"/>
    </row>
    <row r="10216" spans="3:4" x14ac:dyDescent="0.35">
      <c r="C10216" s="51"/>
      <c r="D10216" s="51"/>
    </row>
    <row r="10217" spans="3:4" x14ac:dyDescent="0.35">
      <c r="C10217" s="51"/>
      <c r="D10217" s="51"/>
    </row>
    <row r="10218" spans="3:4" x14ac:dyDescent="0.35">
      <c r="C10218" s="51"/>
      <c r="D10218" s="51"/>
    </row>
    <row r="10219" spans="3:4" x14ac:dyDescent="0.35">
      <c r="C10219" s="51"/>
      <c r="D10219" s="51"/>
    </row>
    <row r="10220" spans="3:4" x14ac:dyDescent="0.35">
      <c r="C10220" s="51"/>
      <c r="D10220" s="51"/>
    </row>
    <row r="10221" spans="3:4" x14ac:dyDescent="0.35">
      <c r="C10221" s="51"/>
      <c r="D10221" s="51"/>
    </row>
    <row r="10222" spans="3:4" x14ac:dyDescent="0.35">
      <c r="C10222" s="51"/>
      <c r="D10222" s="51"/>
    </row>
    <row r="10223" spans="3:4" x14ac:dyDescent="0.35">
      <c r="C10223" s="51"/>
      <c r="D10223" s="51"/>
    </row>
    <row r="10224" spans="3:4" x14ac:dyDescent="0.35">
      <c r="C10224" s="51"/>
      <c r="D10224" s="51"/>
    </row>
    <row r="10225" spans="3:4" x14ac:dyDescent="0.35">
      <c r="C10225" s="51"/>
      <c r="D10225" s="51"/>
    </row>
    <row r="10226" spans="3:4" x14ac:dyDescent="0.35">
      <c r="C10226" s="51"/>
      <c r="D10226" s="51"/>
    </row>
    <row r="10227" spans="3:4" x14ac:dyDescent="0.35">
      <c r="C10227" s="51"/>
      <c r="D10227" s="51"/>
    </row>
    <row r="10228" spans="3:4" x14ac:dyDescent="0.35">
      <c r="C10228" s="51"/>
      <c r="D10228" s="51"/>
    </row>
    <row r="10229" spans="3:4" x14ac:dyDescent="0.35">
      <c r="C10229" s="51"/>
      <c r="D10229" s="51"/>
    </row>
    <row r="10230" spans="3:4" x14ac:dyDescent="0.35">
      <c r="C10230" s="51"/>
      <c r="D10230" s="51"/>
    </row>
    <row r="10231" spans="3:4" x14ac:dyDescent="0.35">
      <c r="C10231" s="51"/>
      <c r="D10231" s="51"/>
    </row>
    <row r="10232" spans="3:4" x14ac:dyDescent="0.35">
      <c r="C10232" s="51"/>
      <c r="D10232" s="51"/>
    </row>
    <row r="10233" spans="3:4" x14ac:dyDescent="0.35">
      <c r="C10233" s="51"/>
      <c r="D10233" s="51"/>
    </row>
    <row r="10234" spans="3:4" x14ac:dyDescent="0.35">
      <c r="C10234" s="51"/>
      <c r="D10234" s="51"/>
    </row>
    <row r="10235" spans="3:4" x14ac:dyDescent="0.35">
      <c r="C10235" s="51"/>
      <c r="D10235" s="51"/>
    </row>
    <row r="10236" spans="3:4" x14ac:dyDescent="0.35">
      <c r="C10236" s="51"/>
      <c r="D10236" s="51"/>
    </row>
    <row r="10237" spans="3:4" x14ac:dyDescent="0.35">
      <c r="C10237" s="51"/>
      <c r="D10237" s="51"/>
    </row>
    <row r="10238" spans="3:4" x14ac:dyDescent="0.35">
      <c r="C10238" s="51"/>
      <c r="D10238" s="51"/>
    </row>
    <row r="10239" spans="3:4" x14ac:dyDescent="0.35">
      <c r="C10239" s="51"/>
      <c r="D10239" s="51"/>
    </row>
    <row r="10240" spans="3:4" x14ac:dyDescent="0.35">
      <c r="C10240" s="51"/>
      <c r="D10240" s="51"/>
    </row>
    <row r="10241" spans="3:4" x14ac:dyDescent="0.35">
      <c r="C10241" s="51"/>
      <c r="D10241" s="51"/>
    </row>
    <row r="10242" spans="3:4" x14ac:dyDescent="0.35">
      <c r="C10242" s="51"/>
      <c r="D10242" s="51"/>
    </row>
    <row r="10243" spans="3:4" x14ac:dyDescent="0.35">
      <c r="C10243" s="51"/>
      <c r="D10243" s="51"/>
    </row>
    <row r="10244" spans="3:4" x14ac:dyDescent="0.35">
      <c r="C10244" s="51"/>
      <c r="D10244" s="51"/>
    </row>
    <row r="10245" spans="3:4" x14ac:dyDescent="0.35">
      <c r="C10245" s="51"/>
      <c r="D10245" s="51"/>
    </row>
    <row r="10246" spans="3:4" x14ac:dyDescent="0.35">
      <c r="C10246" s="51"/>
      <c r="D10246" s="51"/>
    </row>
    <row r="10247" spans="3:4" x14ac:dyDescent="0.35">
      <c r="C10247" s="51"/>
      <c r="D10247" s="51"/>
    </row>
    <row r="10248" spans="3:4" x14ac:dyDescent="0.35">
      <c r="C10248" s="51"/>
      <c r="D10248" s="51"/>
    </row>
    <row r="10249" spans="3:4" x14ac:dyDescent="0.35">
      <c r="C10249" s="51"/>
      <c r="D10249" s="51"/>
    </row>
    <row r="10250" spans="3:4" x14ac:dyDescent="0.35">
      <c r="C10250" s="51"/>
      <c r="D10250" s="51"/>
    </row>
    <row r="10251" spans="3:4" x14ac:dyDescent="0.35">
      <c r="C10251" s="51"/>
      <c r="D10251" s="51"/>
    </row>
    <row r="10252" spans="3:4" x14ac:dyDescent="0.35">
      <c r="C10252" s="51"/>
      <c r="D10252" s="51"/>
    </row>
    <row r="10253" spans="3:4" x14ac:dyDescent="0.35">
      <c r="C10253" s="51"/>
      <c r="D10253" s="51"/>
    </row>
    <row r="10254" spans="3:4" x14ac:dyDescent="0.35">
      <c r="C10254" s="51"/>
      <c r="D10254" s="51"/>
    </row>
    <row r="10255" spans="3:4" x14ac:dyDescent="0.35">
      <c r="C10255" s="51"/>
      <c r="D10255" s="51"/>
    </row>
    <row r="10256" spans="3:4" x14ac:dyDescent="0.35">
      <c r="C10256" s="51"/>
      <c r="D10256" s="51"/>
    </row>
    <row r="10257" spans="3:4" x14ac:dyDescent="0.35">
      <c r="C10257" s="51"/>
      <c r="D10257" s="51"/>
    </row>
    <row r="10258" spans="3:4" x14ac:dyDescent="0.35">
      <c r="C10258" s="51"/>
      <c r="D10258" s="51"/>
    </row>
    <row r="10259" spans="3:4" x14ac:dyDescent="0.35">
      <c r="C10259" s="51"/>
      <c r="D10259" s="51"/>
    </row>
    <row r="10260" spans="3:4" x14ac:dyDescent="0.35">
      <c r="C10260" s="51"/>
      <c r="D10260" s="51"/>
    </row>
    <row r="10261" spans="3:4" x14ac:dyDescent="0.35">
      <c r="C10261" s="51"/>
      <c r="D10261" s="51"/>
    </row>
    <row r="10262" spans="3:4" x14ac:dyDescent="0.35">
      <c r="C10262" s="51"/>
      <c r="D10262" s="51"/>
    </row>
    <row r="10263" spans="3:4" x14ac:dyDescent="0.35">
      <c r="C10263" s="51"/>
      <c r="D10263" s="51"/>
    </row>
    <row r="10264" spans="3:4" x14ac:dyDescent="0.35">
      <c r="C10264" s="51"/>
      <c r="D10264" s="51"/>
    </row>
    <row r="10265" spans="3:4" x14ac:dyDescent="0.35">
      <c r="C10265" s="51"/>
      <c r="D10265" s="51"/>
    </row>
    <row r="10266" spans="3:4" x14ac:dyDescent="0.35">
      <c r="C10266" s="51"/>
      <c r="D10266" s="51"/>
    </row>
    <row r="10267" spans="3:4" x14ac:dyDescent="0.35">
      <c r="C10267" s="51"/>
      <c r="D10267" s="51"/>
    </row>
    <row r="10268" spans="3:4" x14ac:dyDescent="0.35">
      <c r="C10268" s="51"/>
      <c r="D10268" s="51"/>
    </row>
    <row r="10269" spans="3:4" x14ac:dyDescent="0.35">
      <c r="C10269" s="51"/>
      <c r="D10269" s="51"/>
    </row>
    <row r="10270" spans="3:4" x14ac:dyDescent="0.35">
      <c r="C10270" s="51"/>
      <c r="D10270" s="51"/>
    </row>
    <row r="10271" spans="3:4" x14ac:dyDescent="0.35">
      <c r="C10271" s="51"/>
      <c r="D10271" s="51"/>
    </row>
    <row r="10272" spans="3:4" x14ac:dyDescent="0.35">
      <c r="C10272" s="51"/>
      <c r="D10272" s="51"/>
    </row>
    <row r="10273" spans="3:4" x14ac:dyDescent="0.35">
      <c r="C10273" s="51"/>
      <c r="D10273" s="51"/>
    </row>
    <row r="10274" spans="3:4" x14ac:dyDescent="0.35">
      <c r="C10274" s="51"/>
      <c r="D10274" s="51"/>
    </row>
    <row r="10275" spans="3:4" x14ac:dyDescent="0.35">
      <c r="C10275" s="51"/>
      <c r="D10275" s="51"/>
    </row>
    <row r="10276" spans="3:4" x14ac:dyDescent="0.35">
      <c r="C10276" s="51"/>
      <c r="D10276" s="51"/>
    </row>
    <row r="10277" spans="3:4" x14ac:dyDescent="0.35">
      <c r="C10277" s="51"/>
      <c r="D10277" s="51"/>
    </row>
    <row r="10278" spans="3:4" x14ac:dyDescent="0.35">
      <c r="C10278" s="51"/>
      <c r="D10278" s="51"/>
    </row>
    <row r="10279" spans="3:4" x14ac:dyDescent="0.35">
      <c r="C10279" s="51"/>
      <c r="D10279" s="51"/>
    </row>
    <row r="10280" spans="3:4" x14ac:dyDescent="0.35">
      <c r="C10280" s="51"/>
      <c r="D10280" s="51"/>
    </row>
    <row r="10281" spans="3:4" x14ac:dyDescent="0.35">
      <c r="C10281" s="51"/>
      <c r="D10281" s="51"/>
    </row>
    <row r="10282" spans="3:4" x14ac:dyDescent="0.35">
      <c r="C10282" s="51"/>
      <c r="D10282" s="51"/>
    </row>
    <row r="10283" spans="3:4" x14ac:dyDescent="0.35">
      <c r="C10283" s="51"/>
      <c r="D10283" s="51"/>
    </row>
    <row r="10284" spans="3:4" x14ac:dyDescent="0.35">
      <c r="C10284" s="51"/>
      <c r="D10284" s="51"/>
    </row>
    <row r="10285" spans="3:4" x14ac:dyDescent="0.35">
      <c r="C10285" s="51"/>
      <c r="D10285" s="51"/>
    </row>
    <row r="10286" spans="3:4" x14ac:dyDescent="0.35">
      <c r="C10286" s="51"/>
      <c r="D10286" s="51"/>
    </row>
    <row r="10287" spans="3:4" x14ac:dyDescent="0.35">
      <c r="C10287" s="51"/>
      <c r="D10287" s="51"/>
    </row>
    <row r="10288" spans="3:4" x14ac:dyDescent="0.35">
      <c r="C10288" s="51"/>
      <c r="D10288" s="51"/>
    </row>
    <row r="10289" spans="3:4" x14ac:dyDescent="0.35">
      <c r="C10289" s="51"/>
      <c r="D10289" s="51"/>
    </row>
    <row r="10290" spans="3:4" x14ac:dyDescent="0.35">
      <c r="C10290" s="51"/>
      <c r="D10290" s="51"/>
    </row>
    <row r="10291" spans="3:4" x14ac:dyDescent="0.35">
      <c r="C10291" s="51"/>
      <c r="D10291" s="51"/>
    </row>
    <row r="10292" spans="3:4" x14ac:dyDescent="0.35">
      <c r="C10292" s="51"/>
      <c r="D10292" s="51"/>
    </row>
    <row r="10293" spans="3:4" x14ac:dyDescent="0.35">
      <c r="C10293" s="51"/>
      <c r="D10293" s="51"/>
    </row>
    <row r="10294" spans="3:4" x14ac:dyDescent="0.35">
      <c r="C10294" s="51"/>
      <c r="D10294" s="51"/>
    </row>
    <row r="10295" spans="3:4" x14ac:dyDescent="0.35">
      <c r="C10295" s="51"/>
      <c r="D10295" s="51"/>
    </row>
    <row r="10296" spans="3:4" x14ac:dyDescent="0.35">
      <c r="C10296" s="51"/>
      <c r="D10296" s="51"/>
    </row>
    <row r="10297" spans="3:4" x14ac:dyDescent="0.35">
      <c r="C10297" s="51"/>
      <c r="D10297" s="51"/>
    </row>
    <row r="10298" spans="3:4" x14ac:dyDescent="0.35">
      <c r="C10298" s="51"/>
      <c r="D10298" s="51"/>
    </row>
    <row r="10299" spans="3:4" x14ac:dyDescent="0.35">
      <c r="C10299" s="51"/>
      <c r="D10299" s="51"/>
    </row>
    <row r="10300" spans="3:4" x14ac:dyDescent="0.35">
      <c r="C10300" s="51"/>
      <c r="D10300" s="51"/>
    </row>
    <row r="10301" spans="3:4" x14ac:dyDescent="0.35">
      <c r="C10301" s="51"/>
      <c r="D10301" s="51"/>
    </row>
    <row r="10302" spans="3:4" x14ac:dyDescent="0.35">
      <c r="C10302" s="51"/>
      <c r="D10302" s="51"/>
    </row>
    <row r="10303" spans="3:4" x14ac:dyDescent="0.35">
      <c r="C10303" s="51"/>
      <c r="D10303" s="51"/>
    </row>
    <row r="10304" spans="3:4" x14ac:dyDescent="0.35">
      <c r="C10304" s="51"/>
      <c r="D10304" s="51"/>
    </row>
    <row r="10305" spans="3:4" x14ac:dyDescent="0.35">
      <c r="C10305" s="51"/>
      <c r="D10305" s="51"/>
    </row>
    <row r="10306" spans="3:4" x14ac:dyDescent="0.35">
      <c r="C10306" s="51"/>
      <c r="D10306" s="51"/>
    </row>
    <row r="10307" spans="3:4" x14ac:dyDescent="0.35">
      <c r="C10307" s="51"/>
      <c r="D10307" s="51"/>
    </row>
    <row r="10308" spans="3:4" x14ac:dyDescent="0.35">
      <c r="C10308" s="51"/>
      <c r="D10308" s="51"/>
    </row>
    <row r="10309" spans="3:4" x14ac:dyDescent="0.35">
      <c r="C10309" s="51"/>
      <c r="D10309" s="51"/>
    </row>
    <row r="10310" spans="3:4" x14ac:dyDescent="0.35">
      <c r="C10310" s="51"/>
      <c r="D10310" s="51"/>
    </row>
    <row r="10311" spans="3:4" x14ac:dyDescent="0.35">
      <c r="C10311" s="51"/>
      <c r="D10311" s="51"/>
    </row>
    <row r="10312" spans="3:4" x14ac:dyDescent="0.35">
      <c r="C10312" s="51"/>
      <c r="D10312" s="51"/>
    </row>
    <row r="10313" spans="3:4" x14ac:dyDescent="0.35">
      <c r="C10313" s="51"/>
      <c r="D10313" s="51"/>
    </row>
    <row r="10314" spans="3:4" x14ac:dyDescent="0.35">
      <c r="C10314" s="51"/>
      <c r="D10314" s="51"/>
    </row>
    <row r="10315" spans="3:4" x14ac:dyDescent="0.35">
      <c r="C10315" s="51"/>
      <c r="D10315" s="51"/>
    </row>
    <row r="10316" spans="3:4" x14ac:dyDescent="0.35">
      <c r="C10316" s="51"/>
      <c r="D10316" s="51"/>
    </row>
    <row r="10317" spans="3:4" x14ac:dyDescent="0.35">
      <c r="C10317" s="51"/>
      <c r="D10317" s="51"/>
    </row>
    <row r="10318" spans="3:4" x14ac:dyDescent="0.35">
      <c r="C10318" s="51"/>
      <c r="D10318" s="51"/>
    </row>
    <row r="10319" spans="3:4" x14ac:dyDescent="0.35">
      <c r="C10319" s="51"/>
      <c r="D10319" s="51"/>
    </row>
    <row r="10320" spans="3:4" x14ac:dyDescent="0.35">
      <c r="C10320" s="51"/>
      <c r="D10320" s="51"/>
    </row>
    <row r="10321" spans="3:4" x14ac:dyDescent="0.35">
      <c r="C10321" s="51"/>
      <c r="D10321" s="51"/>
    </row>
    <row r="10322" spans="3:4" x14ac:dyDescent="0.35">
      <c r="C10322" s="51"/>
      <c r="D10322" s="51"/>
    </row>
    <row r="10323" spans="3:4" x14ac:dyDescent="0.35">
      <c r="C10323" s="51"/>
      <c r="D10323" s="51"/>
    </row>
    <row r="10324" spans="3:4" x14ac:dyDescent="0.35">
      <c r="C10324" s="51"/>
      <c r="D10324" s="51"/>
    </row>
    <row r="10325" spans="3:4" x14ac:dyDescent="0.35">
      <c r="C10325" s="51"/>
      <c r="D10325" s="51"/>
    </row>
    <row r="10326" spans="3:4" x14ac:dyDescent="0.35">
      <c r="C10326" s="51"/>
      <c r="D10326" s="51"/>
    </row>
    <row r="10327" spans="3:4" x14ac:dyDescent="0.35">
      <c r="C10327" s="51"/>
      <c r="D10327" s="51"/>
    </row>
    <row r="10328" spans="3:4" x14ac:dyDescent="0.35">
      <c r="C10328" s="51"/>
      <c r="D10328" s="51"/>
    </row>
    <row r="10329" spans="3:4" x14ac:dyDescent="0.35">
      <c r="C10329" s="51"/>
      <c r="D10329" s="51"/>
    </row>
    <row r="10330" spans="3:4" x14ac:dyDescent="0.35">
      <c r="C10330" s="51"/>
      <c r="D10330" s="51"/>
    </row>
    <row r="10331" spans="3:4" x14ac:dyDescent="0.35">
      <c r="C10331" s="51"/>
      <c r="D10331" s="51"/>
    </row>
    <row r="10332" spans="3:4" x14ac:dyDescent="0.35">
      <c r="C10332" s="51"/>
      <c r="D10332" s="51"/>
    </row>
    <row r="10333" spans="3:4" x14ac:dyDescent="0.35">
      <c r="C10333" s="51"/>
      <c r="D10333" s="51"/>
    </row>
    <row r="10334" spans="3:4" x14ac:dyDescent="0.35">
      <c r="C10334" s="51"/>
      <c r="D10334" s="51"/>
    </row>
    <row r="10335" spans="3:4" x14ac:dyDescent="0.35">
      <c r="C10335" s="51"/>
      <c r="D10335" s="51"/>
    </row>
    <row r="10336" spans="3:4" x14ac:dyDescent="0.35">
      <c r="C10336" s="51"/>
      <c r="D10336" s="51"/>
    </row>
    <row r="10337" spans="3:4" x14ac:dyDescent="0.35">
      <c r="C10337" s="51"/>
      <c r="D10337" s="51"/>
    </row>
    <row r="10338" spans="3:4" x14ac:dyDescent="0.35">
      <c r="C10338" s="51"/>
      <c r="D10338" s="51"/>
    </row>
    <row r="10339" spans="3:4" x14ac:dyDescent="0.35">
      <c r="C10339" s="51"/>
      <c r="D10339" s="51"/>
    </row>
    <row r="10340" spans="3:4" x14ac:dyDescent="0.35">
      <c r="C10340" s="51"/>
      <c r="D10340" s="51"/>
    </row>
    <row r="10341" spans="3:4" x14ac:dyDescent="0.35">
      <c r="C10341" s="51"/>
      <c r="D10341" s="51"/>
    </row>
    <row r="10342" spans="3:4" x14ac:dyDescent="0.35">
      <c r="C10342" s="51"/>
      <c r="D10342" s="51"/>
    </row>
    <row r="10343" spans="3:4" x14ac:dyDescent="0.35">
      <c r="C10343" s="51"/>
      <c r="D10343" s="51"/>
    </row>
    <row r="10344" spans="3:4" x14ac:dyDescent="0.35">
      <c r="C10344" s="51"/>
      <c r="D10344" s="51"/>
    </row>
    <row r="10345" spans="3:4" x14ac:dyDescent="0.35">
      <c r="C10345" s="51"/>
      <c r="D10345" s="51"/>
    </row>
    <row r="10346" spans="3:4" x14ac:dyDescent="0.35">
      <c r="C10346" s="51"/>
      <c r="D10346" s="51"/>
    </row>
    <row r="10347" spans="3:4" x14ac:dyDescent="0.35">
      <c r="C10347" s="51"/>
      <c r="D10347" s="51"/>
    </row>
    <row r="10348" spans="3:4" x14ac:dyDescent="0.35">
      <c r="C10348" s="51"/>
      <c r="D10348" s="51"/>
    </row>
    <row r="10349" spans="3:4" x14ac:dyDescent="0.35">
      <c r="C10349" s="51"/>
      <c r="D10349" s="51"/>
    </row>
    <row r="10350" spans="3:4" x14ac:dyDescent="0.35">
      <c r="C10350" s="51"/>
      <c r="D10350" s="51"/>
    </row>
    <row r="10351" spans="3:4" x14ac:dyDescent="0.35">
      <c r="C10351" s="51"/>
      <c r="D10351" s="51"/>
    </row>
    <row r="10352" spans="3:4" x14ac:dyDescent="0.35">
      <c r="C10352" s="51"/>
      <c r="D10352" s="51"/>
    </row>
    <row r="10353" spans="3:4" x14ac:dyDescent="0.35">
      <c r="C10353" s="51"/>
      <c r="D10353" s="51"/>
    </row>
    <row r="10354" spans="3:4" x14ac:dyDescent="0.35">
      <c r="C10354" s="51"/>
      <c r="D10354" s="51"/>
    </row>
    <row r="10355" spans="3:4" x14ac:dyDescent="0.35">
      <c r="C10355" s="51"/>
      <c r="D10355" s="51"/>
    </row>
    <row r="10356" spans="3:4" x14ac:dyDescent="0.35">
      <c r="C10356" s="51"/>
      <c r="D10356" s="51"/>
    </row>
    <row r="10357" spans="3:4" x14ac:dyDescent="0.35">
      <c r="C10357" s="51"/>
      <c r="D10357" s="51"/>
    </row>
    <row r="10358" spans="3:4" x14ac:dyDescent="0.35">
      <c r="C10358" s="51"/>
      <c r="D10358" s="51"/>
    </row>
    <row r="10359" spans="3:4" x14ac:dyDescent="0.35">
      <c r="C10359" s="51"/>
      <c r="D10359" s="51"/>
    </row>
    <row r="10360" spans="3:4" x14ac:dyDescent="0.35">
      <c r="C10360" s="51"/>
      <c r="D10360" s="51"/>
    </row>
    <row r="10361" spans="3:4" x14ac:dyDescent="0.35">
      <c r="C10361" s="51"/>
      <c r="D10361" s="51"/>
    </row>
    <row r="10362" spans="3:4" x14ac:dyDescent="0.35">
      <c r="C10362" s="51"/>
      <c r="D10362" s="51"/>
    </row>
    <row r="10363" spans="3:4" x14ac:dyDescent="0.35">
      <c r="C10363" s="51"/>
      <c r="D10363" s="51"/>
    </row>
    <row r="10364" spans="3:4" x14ac:dyDescent="0.35">
      <c r="C10364" s="51"/>
      <c r="D10364" s="51"/>
    </row>
    <row r="10365" spans="3:4" x14ac:dyDescent="0.35">
      <c r="C10365" s="51"/>
      <c r="D10365" s="51"/>
    </row>
    <row r="10366" spans="3:4" x14ac:dyDescent="0.35">
      <c r="C10366" s="51"/>
      <c r="D10366" s="51"/>
    </row>
    <row r="10367" spans="3:4" x14ac:dyDescent="0.35">
      <c r="C10367" s="51"/>
      <c r="D10367" s="51"/>
    </row>
    <row r="10368" spans="3:4" x14ac:dyDescent="0.35">
      <c r="C10368" s="51"/>
      <c r="D10368" s="51"/>
    </row>
    <row r="10369" spans="3:4" x14ac:dyDescent="0.35">
      <c r="C10369" s="51"/>
      <c r="D10369" s="51"/>
    </row>
    <row r="10370" spans="3:4" x14ac:dyDescent="0.35">
      <c r="C10370" s="51"/>
      <c r="D10370" s="51"/>
    </row>
    <row r="10371" spans="3:4" x14ac:dyDescent="0.35">
      <c r="C10371" s="51"/>
      <c r="D10371" s="51"/>
    </row>
    <row r="10372" spans="3:4" x14ac:dyDescent="0.35">
      <c r="C10372" s="51"/>
      <c r="D10372" s="51"/>
    </row>
    <row r="10373" spans="3:4" x14ac:dyDescent="0.35">
      <c r="C10373" s="51"/>
      <c r="D10373" s="51"/>
    </row>
    <row r="10374" spans="3:4" x14ac:dyDescent="0.35">
      <c r="C10374" s="51"/>
      <c r="D10374" s="51"/>
    </row>
    <row r="10375" spans="3:4" x14ac:dyDescent="0.35">
      <c r="C10375" s="51"/>
      <c r="D10375" s="51"/>
    </row>
    <row r="10376" spans="3:4" x14ac:dyDescent="0.35">
      <c r="C10376" s="51"/>
      <c r="D10376" s="51"/>
    </row>
    <row r="10377" spans="3:4" x14ac:dyDescent="0.35">
      <c r="C10377" s="51"/>
      <c r="D10377" s="51"/>
    </row>
    <row r="10378" spans="3:4" x14ac:dyDescent="0.35">
      <c r="C10378" s="51"/>
      <c r="D10378" s="51"/>
    </row>
    <row r="10379" spans="3:4" x14ac:dyDescent="0.35">
      <c r="C10379" s="51"/>
      <c r="D10379" s="51"/>
    </row>
    <row r="10380" spans="3:4" x14ac:dyDescent="0.35">
      <c r="C10380" s="51"/>
      <c r="D10380" s="51"/>
    </row>
    <row r="10381" spans="3:4" x14ac:dyDescent="0.35">
      <c r="C10381" s="51"/>
      <c r="D10381" s="51"/>
    </row>
    <row r="10382" spans="3:4" x14ac:dyDescent="0.35">
      <c r="C10382" s="51"/>
      <c r="D10382" s="51"/>
    </row>
    <row r="10383" spans="3:4" x14ac:dyDescent="0.35">
      <c r="C10383" s="51"/>
      <c r="D10383" s="51"/>
    </row>
    <row r="10384" spans="3:4" x14ac:dyDescent="0.35">
      <c r="C10384" s="51"/>
      <c r="D10384" s="51"/>
    </row>
    <row r="10385" spans="3:4" x14ac:dyDescent="0.35">
      <c r="C10385" s="51"/>
      <c r="D10385" s="51"/>
    </row>
    <row r="10386" spans="3:4" x14ac:dyDescent="0.35">
      <c r="C10386" s="51"/>
      <c r="D10386" s="51"/>
    </row>
    <row r="10387" spans="3:4" x14ac:dyDescent="0.35">
      <c r="C10387" s="51"/>
      <c r="D10387" s="51"/>
    </row>
    <row r="10388" spans="3:4" x14ac:dyDescent="0.35">
      <c r="C10388" s="51"/>
      <c r="D10388" s="51"/>
    </row>
    <row r="10389" spans="3:4" x14ac:dyDescent="0.35">
      <c r="C10389" s="51"/>
      <c r="D10389" s="51"/>
    </row>
    <row r="10390" spans="3:4" x14ac:dyDescent="0.35">
      <c r="C10390" s="51"/>
      <c r="D10390" s="51"/>
    </row>
    <row r="10391" spans="3:4" x14ac:dyDescent="0.35">
      <c r="C10391" s="51"/>
      <c r="D10391" s="51"/>
    </row>
    <row r="10392" spans="3:4" x14ac:dyDescent="0.35">
      <c r="C10392" s="51"/>
      <c r="D10392" s="51"/>
    </row>
    <row r="10393" spans="3:4" x14ac:dyDescent="0.35">
      <c r="C10393" s="51"/>
      <c r="D10393" s="51"/>
    </row>
    <row r="10394" spans="3:4" x14ac:dyDescent="0.35">
      <c r="C10394" s="51"/>
      <c r="D10394" s="51"/>
    </row>
    <row r="10395" spans="3:4" x14ac:dyDescent="0.35">
      <c r="C10395" s="51"/>
      <c r="D10395" s="51"/>
    </row>
    <row r="10396" spans="3:4" x14ac:dyDescent="0.35">
      <c r="C10396" s="51"/>
      <c r="D10396" s="51"/>
    </row>
    <row r="10397" spans="3:4" x14ac:dyDescent="0.35">
      <c r="C10397" s="51"/>
      <c r="D10397" s="51"/>
    </row>
    <row r="10398" spans="3:4" x14ac:dyDescent="0.35">
      <c r="C10398" s="51"/>
      <c r="D10398" s="51"/>
    </row>
    <row r="10399" spans="3:4" x14ac:dyDescent="0.35">
      <c r="C10399" s="51"/>
      <c r="D10399" s="51"/>
    </row>
    <row r="10400" spans="3:4" x14ac:dyDescent="0.35">
      <c r="C10400" s="51"/>
      <c r="D10400" s="51"/>
    </row>
    <row r="10401" spans="3:4" x14ac:dyDescent="0.35">
      <c r="C10401" s="51"/>
      <c r="D10401" s="51"/>
    </row>
    <row r="10402" spans="3:4" x14ac:dyDescent="0.35">
      <c r="C10402" s="51"/>
      <c r="D10402" s="51"/>
    </row>
    <row r="10403" spans="3:4" x14ac:dyDescent="0.35">
      <c r="C10403" s="51"/>
      <c r="D10403" s="51"/>
    </row>
    <row r="10404" spans="3:4" x14ac:dyDescent="0.35">
      <c r="C10404" s="51"/>
      <c r="D10404" s="51"/>
    </row>
    <row r="10405" spans="3:4" x14ac:dyDescent="0.35">
      <c r="C10405" s="51"/>
      <c r="D10405" s="51"/>
    </row>
    <row r="10406" spans="3:4" x14ac:dyDescent="0.35">
      <c r="C10406" s="51"/>
      <c r="D10406" s="51"/>
    </row>
    <row r="10407" spans="3:4" x14ac:dyDescent="0.35">
      <c r="C10407" s="51"/>
      <c r="D10407" s="51"/>
    </row>
    <row r="10408" spans="3:4" x14ac:dyDescent="0.35">
      <c r="C10408" s="51"/>
      <c r="D10408" s="51"/>
    </row>
    <row r="10409" spans="3:4" x14ac:dyDescent="0.35">
      <c r="C10409" s="51"/>
      <c r="D10409" s="51"/>
    </row>
    <row r="10410" spans="3:4" x14ac:dyDescent="0.35">
      <c r="C10410" s="51"/>
      <c r="D10410" s="51"/>
    </row>
    <row r="10411" spans="3:4" x14ac:dyDescent="0.35">
      <c r="C10411" s="51"/>
      <c r="D10411" s="51"/>
    </row>
    <row r="10412" spans="3:4" x14ac:dyDescent="0.35">
      <c r="C10412" s="51"/>
      <c r="D10412" s="51"/>
    </row>
    <row r="10413" spans="3:4" x14ac:dyDescent="0.35">
      <c r="C10413" s="51"/>
      <c r="D10413" s="51"/>
    </row>
    <row r="10414" spans="3:4" x14ac:dyDescent="0.35">
      <c r="C10414" s="51"/>
      <c r="D10414" s="51"/>
    </row>
    <row r="10415" spans="3:4" x14ac:dyDescent="0.35">
      <c r="C10415" s="51"/>
      <c r="D10415" s="51"/>
    </row>
    <row r="10416" spans="3:4" x14ac:dyDescent="0.35">
      <c r="C10416" s="51"/>
      <c r="D10416" s="51"/>
    </row>
    <row r="10417" spans="3:4" x14ac:dyDescent="0.35">
      <c r="C10417" s="51"/>
      <c r="D10417" s="51"/>
    </row>
    <row r="10418" spans="3:4" x14ac:dyDescent="0.35">
      <c r="C10418" s="51"/>
      <c r="D10418" s="51"/>
    </row>
    <row r="10419" spans="3:4" x14ac:dyDescent="0.35">
      <c r="C10419" s="51"/>
      <c r="D10419" s="51"/>
    </row>
    <row r="10420" spans="3:4" x14ac:dyDescent="0.35">
      <c r="C10420" s="51"/>
      <c r="D10420" s="51"/>
    </row>
    <row r="10421" spans="3:4" x14ac:dyDescent="0.35">
      <c r="C10421" s="51"/>
      <c r="D10421" s="51"/>
    </row>
    <row r="10422" spans="3:4" x14ac:dyDescent="0.35">
      <c r="C10422" s="51"/>
      <c r="D10422" s="51"/>
    </row>
    <row r="10423" spans="3:4" x14ac:dyDescent="0.35">
      <c r="C10423" s="51"/>
      <c r="D10423" s="51"/>
    </row>
    <row r="10424" spans="3:4" x14ac:dyDescent="0.35">
      <c r="C10424" s="51"/>
      <c r="D10424" s="51"/>
    </row>
    <row r="10425" spans="3:4" x14ac:dyDescent="0.35">
      <c r="C10425" s="51"/>
      <c r="D10425" s="51"/>
    </row>
    <row r="10426" spans="3:4" x14ac:dyDescent="0.35">
      <c r="C10426" s="51"/>
      <c r="D10426" s="51"/>
    </row>
    <row r="10427" spans="3:4" x14ac:dyDescent="0.35">
      <c r="C10427" s="51"/>
      <c r="D10427" s="51"/>
    </row>
    <row r="10428" spans="3:4" x14ac:dyDescent="0.35">
      <c r="C10428" s="51"/>
      <c r="D10428" s="51"/>
    </row>
    <row r="10429" spans="3:4" x14ac:dyDescent="0.35">
      <c r="C10429" s="51"/>
      <c r="D10429" s="51"/>
    </row>
    <row r="10430" spans="3:4" x14ac:dyDescent="0.35">
      <c r="C10430" s="51"/>
      <c r="D10430" s="51"/>
    </row>
    <row r="10431" spans="3:4" x14ac:dyDescent="0.35">
      <c r="C10431" s="51"/>
      <c r="D10431" s="51"/>
    </row>
    <row r="10432" spans="3:4" x14ac:dyDescent="0.35">
      <c r="C10432" s="51"/>
      <c r="D10432" s="51"/>
    </row>
    <row r="10433" spans="3:4" x14ac:dyDescent="0.35">
      <c r="C10433" s="51"/>
      <c r="D10433" s="51"/>
    </row>
    <row r="10434" spans="3:4" x14ac:dyDescent="0.35">
      <c r="C10434" s="51"/>
      <c r="D10434" s="51"/>
    </row>
    <row r="10435" spans="3:4" x14ac:dyDescent="0.35">
      <c r="C10435" s="51"/>
      <c r="D10435" s="51"/>
    </row>
    <row r="10436" spans="3:4" x14ac:dyDescent="0.35">
      <c r="C10436" s="51"/>
      <c r="D10436" s="51"/>
    </row>
    <row r="10437" spans="3:4" x14ac:dyDescent="0.35">
      <c r="C10437" s="51"/>
      <c r="D10437" s="51"/>
    </row>
    <row r="10438" spans="3:4" x14ac:dyDescent="0.35">
      <c r="C10438" s="51"/>
      <c r="D10438" s="51"/>
    </row>
    <row r="10439" spans="3:4" x14ac:dyDescent="0.35">
      <c r="C10439" s="51"/>
      <c r="D10439" s="51"/>
    </row>
    <row r="10440" spans="3:4" x14ac:dyDescent="0.35">
      <c r="C10440" s="51"/>
      <c r="D10440" s="51"/>
    </row>
    <row r="10441" spans="3:4" x14ac:dyDescent="0.35">
      <c r="C10441" s="51"/>
      <c r="D10441" s="51"/>
    </row>
    <row r="10442" spans="3:4" x14ac:dyDescent="0.35">
      <c r="C10442" s="51"/>
      <c r="D10442" s="51"/>
    </row>
    <row r="10443" spans="3:4" x14ac:dyDescent="0.35">
      <c r="C10443" s="51"/>
      <c r="D10443" s="51"/>
    </row>
    <row r="10444" spans="3:4" x14ac:dyDescent="0.35">
      <c r="C10444" s="51"/>
      <c r="D10444" s="51"/>
    </row>
    <row r="10445" spans="3:4" x14ac:dyDescent="0.35">
      <c r="C10445" s="51"/>
      <c r="D10445" s="51"/>
    </row>
    <row r="10446" spans="3:4" x14ac:dyDescent="0.35">
      <c r="C10446" s="51"/>
      <c r="D10446" s="51"/>
    </row>
    <row r="10447" spans="3:4" x14ac:dyDescent="0.35">
      <c r="C10447" s="51"/>
      <c r="D10447" s="51"/>
    </row>
    <row r="10448" spans="3:4" x14ac:dyDescent="0.35">
      <c r="C10448" s="51"/>
      <c r="D10448" s="51"/>
    </row>
    <row r="10449" spans="3:4" x14ac:dyDescent="0.35">
      <c r="C10449" s="51"/>
      <c r="D10449" s="51"/>
    </row>
    <row r="10450" spans="3:4" x14ac:dyDescent="0.35">
      <c r="C10450" s="51"/>
      <c r="D10450" s="51"/>
    </row>
    <row r="10451" spans="3:4" x14ac:dyDescent="0.35">
      <c r="C10451" s="51"/>
      <c r="D10451" s="51"/>
    </row>
    <row r="10452" spans="3:4" x14ac:dyDescent="0.35">
      <c r="C10452" s="51"/>
      <c r="D10452" s="51"/>
    </row>
    <row r="10453" spans="3:4" x14ac:dyDescent="0.35">
      <c r="C10453" s="51"/>
      <c r="D10453" s="51"/>
    </row>
    <row r="10454" spans="3:4" x14ac:dyDescent="0.35">
      <c r="C10454" s="51"/>
      <c r="D10454" s="51"/>
    </row>
    <row r="10455" spans="3:4" x14ac:dyDescent="0.35">
      <c r="C10455" s="51"/>
      <c r="D10455" s="51"/>
    </row>
    <row r="10456" spans="3:4" x14ac:dyDescent="0.35">
      <c r="C10456" s="51"/>
      <c r="D10456" s="51"/>
    </row>
    <row r="10457" spans="3:4" x14ac:dyDescent="0.35">
      <c r="C10457" s="51"/>
      <c r="D10457" s="51"/>
    </row>
    <row r="10458" spans="3:4" x14ac:dyDescent="0.35">
      <c r="C10458" s="51"/>
      <c r="D10458" s="51"/>
    </row>
    <row r="10459" spans="3:4" x14ac:dyDescent="0.35">
      <c r="C10459" s="51"/>
      <c r="D10459" s="51"/>
    </row>
    <row r="10460" spans="3:4" x14ac:dyDescent="0.35">
      <c r="C10460" s="51"/>
      <c r="D10460" s="51"/>
    </row>
    <row r="10461" spans="3:4" x14ac:dyDescent="0.35">
      <c r="C10461" s="51"/>
      <c r="D10461" s="51"/>
    </row>
    <row r="10462" spans="3:4" x14ac:dyDescent="0.35">
      <c r="C10462" s="51"/>
      <c r="D10462" s="51"/>
    </row>
    <row r="10463" spans="3:4" x14ac:dyDescent="0.35">
      <c r="C10463" s="51"/>
      <c r="D10463" s="51"/>
    </row>
    <row r="10464" spans="3:4" x14ac:dyDescent="0.35">
      <c r="C10464" s="51"/>
      <c r="D10464" s="51"/>
    </row>
    <row r="10465" spans="3:4" x14ac:dyDescent="0.35">
      <c r="C10465" s="51"/>
      <c r="D10465" s="51"/>
    </row>
    <row r="10466" spans="3:4" x14ac:dyDescent="0.35">
      <c r="C10466" s="51"/>
      <c r="D10466" s="51"/>
    </row>
    <row r="10467" spans="3:4" x14ac:dyDescent="0.35">
      <c r="C10467" s="51"/>
      <c r="D10467" s="51"/>
    </row>
    <row r="10468" spans="3:4" x14ac:dyDescent="0.35">
      <c r="C10468" s="51"/>
      <c r="D10468" s="51"/>
    </row>
    <row r="10469" spans="3:4" x14ac:dyDescent="0.35">
      <c r="C10469" s="51"/>
      <c r="D10469" s="51"/>
    </row>
    <row r="10470" spans="3:4" x14ac:dyDescent="0.35">
      <c r="C10470" s="51"/>
      <c r="D10470" s="51"/>
    </row>
    <row r="10471" spans="3:4" x14ac:dyDescent="0.35">
      <c r="C10471" s="51"/>
      <c r="D10471" s="51"/>
    </row>
    <row r="10472" spans="3:4" x14ac:dyDescent="0.35">
      <c r="C10472" s="51"/>
      <c r="D10472" s="51"/>
    </row>
    <row r="10473" spans="3:4" x14ac:dyDescent="0.35">
      <c r="C10473" s="51"/>
      <c r="D10473" s="51"/>
    </row>
    <row r="10474" spans="3:4" x14ac:dyDescent="0.35">
      <c r="C10474" s="51"/>
      <c r="D10474" s="51"/>
    </row>
    <row r="10475" spans="3:4" x14ac:dyDescent="0.35">
      <c r="C10475" s="51"/>
      <c r="D10475" s="51"/>
    </row>
    <row r="10476" spans="3:4" x14ac:dyDescent="0.35">
      <c r="C10476" s="51"/>
      <c r="D10476" s="51"/>
    </row>
    <row r="10477" spans="3:4" x14ac:dyDescent="0.35">
      <c r="C10477" s="51"/>
      <c r="D10477" s="51"/>
    </row>
    <row r="10478" spans="3:4" x14ac:dyDescent="0.35">
      <c r="C10478" s="51"/>
      <c r="D10478" s="51"/>
    </row>
    <row r="10479" spans="3:4" x14ac:dyDescent="0.35">
      <c r="C10479" s="51"/>
      <c r="D10479" s="51"/>
    </row>
    <row r="10480" spans="3:4" x14ac:dyDescent="0.35">
      <c r="C10480" s="51"/>
      <c r="D10480" s="51"/>
    </row>
    <row r="10481" spans="3:4" x14ac:dyDescent="0.35">
      <c r="C10481" s="51"/>
      <c r="D10481" s="51"/>
    </row>
    <row r="10482" spans="3:4" x14ac:dyDescent="0.35">
      <c r="C10482" s="51"/>
      <c r="D10482" s="51"/>
    </row>
    <row r="10483" spans="3:4" x14ac:dyDescent="0.35">
      <c r="C10483" s="51"/>
      <c r="D10483" s="51"/>
    </row>
    <row r="10484" spans="3:4" x14ac:dyDescent="0.35">
      <c r="C10484" s="51"/>
      <c r="D10484" s="51"/>
    </row>
    <row r="10485" spans="3:4" x14ac:dyDescent="0.35">
      <c r="C10485" s="51"/>
      <c r="D10485" s="51"/>
    </row>
    <row r="10486" spans="3:4" x14ac:dyDescent="0.35">
      <c r="C10486" s="51"/>
      <c r="D10486" s="51"/>
    </row>
    <row r="10487" spans="3:4" x14ac:dyDescent="0.35">
      <c r="C10487" s="51"/>
      <c r="D10487" s="51"/>
    </row>
    <row r="10488" spans="3:4" x14ac:dyDescent="0.35">
      <c r="C10488" s="51"/>
      <c r="D10488" s="51"/>
    </row>
    <row r="10489" spans="3:4" x14ac:dyDescent="0.35">
      <c r="C10489" s="51"/>
      <c r="D10489" s="51"/>
    </row>
    <row r="10490" spans="3:4" x14ac:dyDescent="0.35">
      <c r="C10490" s="51"/>
      <c r="D10490" s="51"/>
    </row>
    <row r="10491" spans="3:4" x14ac:dyDescent="0.35">
      <c r="C10491" s="51"/>
      <c r="D10491" s="51"/>
    </row>
    <row r="10492" spans="3:4" x14ac:dyDescent="0.35">
      <c r="C10492" s="51"/>
      <c r="D10492" s="51"/>
    </row>
    <row r="10493" spans="3:4" x14ac:dyDescent="0.35">
      <c r="C10493" s="51"/>
      <c r="D10493" s="51"/>
    </row>
    <row r="10494" spans="3:4" x14ac:dyDescent="0.35">
      <c r="C10494" s="51"/>
      <c r="D10494" s="51"/>
    </row>
    <row r="10495" spans="3:4" x14ac:dyDescent="0.35">
      <c r="C10495" s="51"/>
      <c r="D10495" s="51"/>
    </row>
    <row r="10496" spans="3:4" x14ac:dyDescent="0.35">
      <c r="C10496" s="51"/>
      <c r="D10496" s="51"/>
    </row>
    <row r="10497" spans="3:4" x14ac:dyDescent="0.35">
      <c r="C10497" s="51"/>
      <c r="D10497" s="51"/>
    </row>
    <row r="10498" spans="3:4" x14ac:dyDescent="0.35">
      <c r="C10498" s="51"/>
      <c r="D10498" s="51"/>
    </row>
    <row r="10499" spans="3:4" x14ac:dyDescent="0.35">
      <c r="C10499" s="51"/>
      <c r="D10499" s="51"/>
    </row>
    <row r="10500" spans="3:4" x14ac:dyDescent="0.35">
      <c r="C10500" s="51"/>
      <c r="D10500" s="51"/>
    </row>
    <row r="10501" spans="3:4" x14ac:dyDescent="0.35">
      <c r="C10501" s="51"/>
      <c r="D10501" s="51"/>
    </row>
    <row r="10502" spans="3:4" x14ac:dyDescent="0.35">
      <c r="C10502" s="51"/>
      <c r="D10502" s="51"/>
    </row>
    <row r="10503" spans="3:4" x14ac:dyDescent="0.35">
      <c r="C10503" s="51"/>
      <c r="D10503" s="51"/>
    </row>
    <row r="10504" spans="3:4" x14ac:dyDescent="0.35">
      <c r="C10504" s="51"/>
      <c r="D10504" s="51"/>
    </row>
    <row r="10505" spans="3:4" x14ac:dyDescent="0.35">
      <c r="C10505" s="51"/>
      <c r="D10505" s="51"/>
    </row>
    <row r="10506" spans="3:4" x14ac:dyDescent="0.35">
      <c r="C10506" s="51"/>
      <c r="D10506" s="51"/>
    </row>
    <row r="10507" spans="3:4" x14ac:dyDescent="0.35">
      <c r="C10507" s="51"/>
      <c r="D10507" s="51"/>
    </row>
    <row r="10508" spans="3:4" x14ac:dyDescent="0.35">
      <c r="C10508" s="51"/>
      <c r="D10508" s="51"/>
    </row>
    <row r="10509" spans="3:4" x14ac:dyDescent="0.35">
      <c r="C10509" s="51"/>
      <c r="D10509" s="51"/>
    </row>
    <row r="10510" spans="3:4" x14ac:dyDescent="0.35">
      <c r="C10510" s="51"/>
      <c r="D10510" s="51"/>
    </row>
    <row r="10511" spans="3:4" x14ac:dyDescent="0.35">
      <c r="C10511" s="51"/>
      <c r="D10511" s="51"/>
    </row>
    <row r="10512" spans="3:4" x14ac:dyDescent="0.35">
      <c r="C10512" s="51"/>
      <c r="D10512" s="51"/>
    </row>
    <row r="10513" spans="3:4" x14ac:dyDescent="0.35">
      <c r="C10513" s="51"/>
      <c r="D10513" s="51"/>
    </row>
    <row r="10514" spans="3:4" x14ac:dyDescent="0.35">
      <c r="C10514" s="51"/>
      <c r="D10514" s="51"/>
    </row>
    <row r="10515" spans="3:4" x14ac:dyDescent="0.35">
      <c r="C10515" s="51"/>
      <c r="D10515" s="51"/>
    </row>
    <row r="10516" spans="3:4" x14ac:dyDescent="0.35">
      <c r="C10516" s="51"/>
      <c r="D10516" s="51"/>
    </row>
    <row r="10517" spans="3:4" x14ac:dyDescent="0.35">
      <c r="C10517" s="51"/>
      <c r="D10517" s="51"/>
    </row>
    <row r="10518" spans="3:4" x14ac:dyDescent="0.35">
      <c r="C10518" s="51"/>
      <c r="D10518" s="51"/>
    </row>
    <row r="10519" spans="3:4" x14ac:dyDescent="0.35">
      <c r="C10519" s="51"/>
      <c r="D10519" s="51"/>
    </row>
    <row r="10520" spans="3:4" x14ac:dyDescent="0.35">
      <c r="C10520" s="51"/>
      <c r="D10520" s="51"/>
    </row>
    <row r="10521" spans="3:4" x14ac:dyDescent="0.35">
      <c r="C10521" s="51"/>
      <c r="D10521" s="51"/>
    </row>
    <row r="10522" spans="3:4" x14ac:dyDescent="0.35">
      <c r="C10522" s="51"/>
      <c r="D10522" s="51"/>
    </row>
    <row r="10523" spans="3:4" x14ac:dyDescent="0.35">
      <c r="C10523" s="51"/>
      <c r="D10523" s="51"/>
    </row>
    <row r="10524" spans="3:4" x14ac:dyDescent="0.35">
      <c r="C10524" s="51"/>
      <c r="D10524" s="51"/>
    </row>
    <row r="10525" spans="3:4" x14ac:dyDescent="0.35">
      <c r="C10525" s="51"/>
      <c r="D10525" s="51"/>
    </row>
    <row r="10526" spans="3:4" x14ac:dyDescent="0.35">
      <c r="C10526" s="51"/>
      <c r="D10526" s="51"/>
    </row>
    <row r="10527" spans="3:4" x14ac:dyDescent="0.35">
      <c r="C10527" s="51"/>
      <c r="D10527" s="51"/>
    </row>
    <row r="10528" spans="3:4" x14ac:dyDescent="0.35">
      <c r="C10528" s="51"/>
      <c r="D10528" s="51"/>
    </row>
    <row r="10529" spans="3:4" x14ac:dyDescent="0.35">
      <c r="C10529" s="51"/>
      <c r="D10529" s="51"/>
    </row>
    <row r="10530" spans="3:4" x14ac:dyDescent="0.35">
      <c r="C10530" s="51"/>
      <c r="D10530" s="51"/>
    </row>
    <row r="10531" spans="3:4" x14ac:dyDescent="0.35">
      <c r="C10531" s="51"/>
      <c r="D10531" s="51"/>
    </row>
    <row r="10532" spans="3:4" x14ac:dyDescent="0.35">
      <c r="C10532" s="51"/>
      <c r="D10532" s="51"/>
    </row>
    <row r="10533" spans="3:4" x14ac:dyDescent="0.35">
      <c r="C10533" s="51"/>
      <c r="D10533" s="51"/>
    </row>
    <row r="10534" spans="3:4" x14ac:dyDescent="0.35">
      <c r="C10534" s="51"/>
      <c r="D10534" s="51"/>
    </row>
    <row r="10535" spans="3:4" x14ac:dyDescent="0.35">
      <c r="C10535" s="51"/>
      <c r="D10535" s="51"/>
    </row>
    <row r="10536" spans="3:4" x14ac:dyDescent="0.35">
      <c r="C10536" s="51"/>
      <c r="D10536" s="51"/>
    </row>
    <row r="10537" spans="3:4" x14ac:dyDescent="0.35">
      <c r="C10537" s="51"/>
      <c r="D10537" s="51"/>
    </row>
    <row r="10538" spans="3:4" x14ac:dyDescent="0.35">
      <c r="C10538" s="51"/>
      <c r="D10538" s="51"/>
    </row>
    <row r="10539" spans="3:4" x14ac:dyDescent="0.35">
      <c r="C10539" s="51"/>
      <c r="D10539" s="51"/>
    </row>
    <row r="10540" spans="3:4" x14ac:dyDescent="0.35">
      <c r="C10540" s="51"/>
      <c r="D10540" s="51"/>
    </row>
    <row r="10541" spans="3:4" x14ac:dyDescent="0.35">
      <c r="C10541" s="51"/>
      <c r="D10541" s="51"/>
    </row>
    <row r="10542" spans="3:4" x14ac:dyDescent="0.35">
      <c r="C10542" s="51"/>
      <c r="D10542" s="51"/>
    </row>
    <row r="10543" spans="3:4" x14ac:dyDescent="0.35">
      <c r="C10543" s="51"/>
      <c r="D10543" s="51"/>
    </row>
    <row r="10544" spans="3:4" x14ac:dyDescent="0.35">
      <c r="C10544" s="51"/>
      <c r="D10544" s="51"/>
    </row>
    <row r="10545" spans="3:4" x14ac:dyDescent="0.35">
      <c r="C10545" s="51"/>
      <c r="D10545" s="51"/>
    </row>
    <row r="10546" spans="3:4" x14ac:dyDescent="0.35">
      <c r="C10546" s="51"/>
      <c r="D10546" s="51"/>
    </row>
    <row r="10547" spans="3:4" x14ac:dyDescent="0.35">
      <c r="C10547" s="51"/>
      <c r="D10547" s="51"/>
    </row>
    <row r="10548" spans="3:4" x14ac:dyDescent="0.35">
      <c r="C10548" s="51"/>
      <c r="D10548" s="51"/>
    </row>
    <row r="10549" spans="3:4" x14ac:dyDescent="0.35">
      <c r="C10549" s="51"/>
      <c r="D10549" s="51"/>
    </row>
    <row r="10550" spans="3:4" x14ac:dyDescent="0.35">
      <c r="C10550" s="51"/>
      <c r="D10550" s="51"/>
    </row>
    <row r="10551" spans="3:4" x14ac:dyDescent="0.35">
      <c r="C10551" s="51"/>
      <c r="D10551" s="51"/>
    </row>
    <row r="10552" spans="3:4" x14ac:dyDescent="0.35">
      <c r="C10552" s="51"/>
      <c r="D10552" s="51"/>
    </row>
    <row r="10553" spans="3:4" x14ac:dyDescent="0.35">
      <c r="C10553" s="51"/>
      <c r="D10553" s="51"/>
    </row>
    <row r="10554" spans="3:4" x14ac:dyDescent="0.35">
      <c r="C10554" s="51"/>
      <c r="D10554" s="51"/>
    </row>
    <row r="10555" spans="3:4" x14ac:dyDescent="0.35">
      <c r="C10555" s="51"/>
      <c r="D10555" s="51"/>
    </row>
    <row r="10556" spans="3:4" x14ac:dyDescent="0.35">
      <c r="C10556" s="51"/>
      <c r="D10556" s="51"/>
    </row>
    <row r="10557" spans="3:4" x14ac:dyDescent="0.35">
      <c r="C10557" s="51"/>
      <c r="D10557" s="51"/>
    </row>
    <row r="10558" spans="3:4" x14ac:dyDescent="0.35">
      <c r="C10558" s="51"/>
      <c r="D10558" s="51"/>
    </row>
    <row r="10559" spans="3:4" x14ac:dyDescent="0.35">
      <c r="C10559" s="51"/>
      <c r="D10559" s="51"/>
    </row>
    <row r="10560" spans="3:4" x14ac:dyDescent="0.35">
      <c r="C10560" s="51"/>
      <c r="D10560" s="51"/>
    </row>
    <row r="10561" spans="3:4" x14ac:dyDescent="0.35">
      <c r="C10561" s="51"/>
      <c r="D10561" s="51"/>
    </row>
    <row r="10562" spans="3:4" x14ac:dyDescent="0.35">
      <c r="C10562" s="51"/>
      <c r="D10562" s="51"/>
    </row>
    <row r="10563" spans="3:4" x14ac:dyDescent="0.35">
      <c r="C10563" s="51"/>
      <c r="D10563" s="51"/>
    </row>
    <row r="10564" spans="3:4" x14ac:dyDescent="0.35">
      <c r="C10564" s="51"/>
      <c r="D10564" s="51"/>
    </row>
    <row r="10565" spans="3:4" x14ac:dyDescent="0.35">
      <c r="C10565" s="51"/>
      <c r="D10565" s="51"/>
    </row>
    <row r="10566" spans="3:4" x14ac:dyDescent="0.35">
      <c r="C10566" s="51"/>
      <c r="D10566" s="51"/>
    </row>
    <row r="10567" spans="3:4" x14ac:dyDescent="0.35">
      <c r="C10567" s="51"/>
      <c r="D10567" s="51"/>
    </row>
    <row r="10568" spans="3:4" x14ac:dyDescent="0.35">
      <c r="C10568" s="51"/>
      <c r="D10568" s="51"/>
    </row>
    <row r="10569" spans="3:4" x14ac:dyDescent="0.35">
      <c r="C10569" s="51"/>
      <c r="D10569" s="51"/>
    </row>
    <row r="10570" spans="3:4" x14ac:dyDescent="0.35">
      <c r="C10570" s="51"/>
      <c r="D10570" s="51"/>
    </row>
    <row r="10571" spans="3:4" x14ac:dyDescent="0.35">
      <c r="C10571" s="51"/>
      <c r="D10571" s="51"/>
    </row>
    <row r="10572" spans="3:4" x14ac:dyDescent="0.35">
      <c r="C10572" s="51"/>
      <c r="D10572" s="51"/>
    </row>
    <row r="10573" spans="3:4" x14ac:dyDescent="0.35">
      <c r="C10573" s="51"/>
      <c r="D10573" s="51"/>
    </row>
    <row r="10574" spans="3:4" x14ac:dyDescent="0.35">
      <c r="C10574" s="51"/>
      <c r="D10574" s="51"/>
    </row>
    <row r="10575" spans="3:4" x14ac:dyDescent="0.35">
      <c r="C10575" s="51"/>
      <c r="D10575" s="51"/>
    </row>
    <row r="10576" spans="3:4" x14ac:dyDescent="0.35">
      <c r="C10576" s="51"/>
      <c r="D10576" s="51"/>
    </row>
    <row r="10577" spans="3:4" x14ac:dyDescent="0.35">
      <c r="C10577" s="51"/>
      <c r="D10577" s="51"/>
    </row>
    <row r="10578" spans="3:4" x14ac:dyDescent="0.35">
      <c r="C10578" s="51"/>
      <c r="D10578" s="51"/>
    </row>
    <row r="10579" spans="3:4" x14ac:dyDescent="0.35">
      <c r="C10579" s="51"/>
      <c r="D10579" s="51"/>
    </row>
    <row r="10580" spans="3:4" x14ac:dyDescent="0.35">
      <c r="C10580" s="51"/>
      <c r="D10580" s="51"/>
    </row>
    <row r="10581" spans="3:4" x14ac:dyDescent="0.35">
      <c r="C10581" s="51"/>
      <c r="D10581" s="51"/>
    </row>
    <row r="10582" spans="3:4" x14ac:dyDescent="0.35">
      <c r="C10582" s="51"/>
      <c r="D10582" s="51"/>
    </row>
    <row r="10583" spans="3:4" x14ac:dyDescent="0.35">
      <c r="C10583" s="51"/>
      <c r="D10583" s="51"/>
    </row>
    <row r="10584" spans="3:4" x14ac:dyDescent="0.35">
      <c r="C10584" s="51"/>
      <c r="D10584" s="51"/>
    </row>
    <row r="10585" spans="3:4" x14ac:dyDescent="0.35">
      <c r="C10585" s="51"/>
      <c r="D10585" s="51"/>
    </row>
    <row r="10586" spans="3:4" x14ac:dyDescent="0.35">
      <c r="C10586" s="51"/>
      <c r="D10586" s="51"/>
    </row>
    <row r="10587" spans="3:4" x14ac:dyDescent="0.35">
      <c r="C10587" s="51"/>
      <c r="D10587" s="51"/>
    </row>
    <row r="10588" spans="3:4" x14ac:dyDescent="0.35">
      <c r="C10588" s="51"/>
      <c r="D10588" s="51"/>
    </row>
    <row r="10589" spans="3:4" x14ac:dyDescent="0.35">
      <c r="C10589" s="51"/>
      <c r="D10589" s="51"/>
    </row>
    <row r="10590" spans="3:4" x14ac:dyDescent="0.35">
      <c r="C10590" s="51"/>
      <c r="D10590" s="51"/>
    </row>
    <row r="10591" spans="3:4" x14ac:dyDescent="0.35">
      <c r="C10591" s="51"/>
      <c r="D10591" s="51"/>
    </row>
    <row r="10592" spans="3:4" x14ac:dyDescent="0.35">
      <c r="C10592" s="51"/>
      <c r="D10592" s="51"/>
    </row>
    <row r="10593" spans="3:4" x14ac:dyDescent="0.35">
      <c r="C10593" s="51"/>
      <c r="D10593" s="51"/>
    </row>
    <row r="10594" spans="3:4" x14ac:dyDescent="0.35">
      <c r="C10594" s="51"/>
      <c r="D10594" s="51"/>
    </row>
    <row r="10595" spans="3:4" x14ac:dyDescent="0.35">
      <c r="C10595" s="51"/>
      <c r="D10595" s="51"/>
    </row>
    <row r="10596" spans="3:4" x14ac:dyDescent="0.35">
      <c r="C10596" s="51"/>
      <c r="D10596" s="51"/>
    </row>
    <row r="10597" spans="3:4" x14ac:dyDescent="0.35">
      <c r="C10597" s="51"/>
      <c r="D10597" s="51"/>
    </row>
    <row r="10598" spans="3:4" x14ac:dyDescent="0.35">
      <c r="C10598" s="51"/>
      <c r="D10598" s="51"/>
    </row>
    <row r="10599" spans="3:4" x14ac:dyDescent="0.35">
      <c r="C10599" s="51"/>
      <c r="D10599" s="51"/>
    </row>
    <row r="10600" spans="3:4" x14ac:dyDescent="0.35">
      <c r="C10600" s="51"/>
      <c r="D10600" s="51"/>
    </row>
    <row r="10601" spans="3:4" x14ac:dyDescent="0.35">
      <c r="C10601" s="51"/>
      <c r="D10601" s="51"/>
    </row>
    <row r="10602" spans="3:4" x14ac:dyDescent="0.35">
      <c r="C10602" s="51"/>
      <c r="D10602" s="51"/>
    </row>
    <row r="10603" spans="3:4" x14ac:dyDescent="0.35">
      <c r="C10603" s="51"/>
      <c r="D10603" s="51"/>
    </row>
    <row r="10604" spans="3:4" x14ac:dyDescent="0.35">
      <c r="C10604" s="51"/>
      <c r="D10604" s="51"/>
    </row>
    <row r="10605" spans="3:4" x14ac:dyDescent="0.35">
      <c r="C10605" s="51"/>
      <c r="D10605" s="51"/>
    </row>
    <row r="10606" spans="3:4" x14ac:dyDescent="0.35">
      <c r="C10606" s="51"/>
      <c r="D10606" s="51"/>
    </row>
    <row r="10607" spans="3:4" x14ac:dyDescent="0.35">
      <c r="C10607" s="51"/>
      <c r="D10607" s="51"/>
    </row>
    <row r="10608" spans="3:4" x14ac:dyDescent="0.35">
      <c r="C10608" s="51"/>
      <c r="D10608" s="51"/>
    </row>
    <row r="10609" spans="3:4" x14ac:dyDescent="0.35">
      <c r="C10609" s="51"/>
      <c r="D10609" s="51"/>
    </row>
    <row r="10610" spans="3:4" x14ac:dyDescent="0.35">
      <c r="C10610" s="51"/>
      <c r="D10610" s="51"/>
    </row>
    <row r="10611" spans="3:4" x14ac:dyDescent="0.35">
      <c r="C10611" s="51"/>
      <c r="D10611" s="51"/>
    </row>
    <row r="10612" spans="3:4" x14ac:dyDescent="0.35">
      <c r="C10612" s="51"/>
      <c r="D10612" s="51"/>
    </row>
    <row r="10613" spans="3:4" x14ac:dyDescent="0.35">
      <c r="C10613" s="51"/>
      <c r="D10613" s="51"/>
    </row>
    <row r="10614" spans="3:4" x14ac:dyDescent="0.35">
      <c r="C10614" s="51"/>
      <c r="D10614" s="51"/>
    </row>
    <row r="10615" spans="3:4" x14ac:dyDescent="0.35">
      <c r="C10615" s="51"/>
      <c r="D10615" s="51"/>
    </row>
    <row r="10616" spans="3:4" x14ac:dyDescent="0.35">
      <c r="C10616" s="51"/>
      <c r="D10616" s="51"/>
    </row>
    <row r="10617" spans="3:4" x14ac:dyDescent="0.35">
      <c r="C10617" s="51"/>
      <c r="D10617" s="51"/>
    </row>
    <row r="10618" spans="3:4" x14ac:dyDescent="0.35">
      <c r="C10618" s="51"/>
      <c r="D10618" s="51"/>
    </row>
    <row r="10619" spans="3:4" x14ac:dyDescent="0.35">
      <c r="C10619" s="51"/>
      <c r="D10619" s="51"/>
    </row>
    <row r="10620" spans="3:4" x14ac:dyDescent="0.35">
      <c r="C10620" s="51"/>
      <c r="D10620" s="51"/>
    </row>
    <row r="10621" spans="3:4" x14ac:dyDescent="0.35">
      <c r="C10621" s="51"/>
      <c r="D10621" s="51"/>
    </row>
    <row r="10622" spans="3:4" x14ac:dyDescent="0.35">
      <c r="C10622" s="51"/>
      <c r="D10622" s="51"/>
    </row>
    <row r="10623" spans="3:4" x14ac:dyDescent="0.35">
      <c r="C10623" s="51"/>
      <c r="D10623" s="51"/>
    </row>
    <row r="10624" spans="3:4" x14ac:dyDescent="0.35">
      <c r="C10624" s="51"/>
      <c r="D10624" s="51"/>
    </row>
    <row r="10625" spans="3:4" x14ac:dyDescent="0.35">
      <c r="C10625" s="51"/>
      <c r="D10625" s="51"/>
    </row>
    <row r="10626" spans="3:4" x14ac:dyDescent="0.35">
      <c r="C10626" s="51"/>
      <c r="D10626" s="51"/>
    </row>
    <row r="10627" spans="3:4" x14ac:dyDescent="0.35">
      <c r="C10627" s="51"/>
      <c r="D10627" s="51"/>
    </row>
    <row r="10628" spans="3:4" x14ac:dyDescent="0.35">
      <c r="C10628" s="51"/>
      <c r="D10628" s="51"/>
    </row>
    <row r="10629" spans="3:4" x14ac:dyDescent="0.35">
      <c r="C10629" s="51"/>
      <c r="D10629" s="51"/>
    </row>
    <row r="10630" spans="3:4" x14ac:dyDescent="0.35">
      <c r="C10630" s="51"/>
      <c r="D10630" s="51"/>
    </row>
    <row r="10631" spans="3:4" x14ac:dyDescent="0.35">
      <c r="C10631" s="51"/>
      <c r="D10631" s="51"/>
    </row>
    <row r="10632" spans="3:4" x14ac:dyDescent="0.35">
      <c r="C10632" s="51"/>
      <c r="D10632" s="51"/>
    </row>
    <row r="10633" spans="3:4" x14ac:dyDescent="0.35">
      <c r="C10633" s="51"/>
      <c r="D10633" s="51"/>
    </row>
    <row r="10634" spans="3:4" x14ac:dyDescent="0.35">
      <c r="C10634" s="51"/>
      <c r="D10634" s="51"/>
    </row>
    <row r="10635" spans="3:4" x14ac:dyDescent="0.35">
      <c r="C10635" s="51"/>
      <c r="D10635" s="51"/>
    </row>
    <row r="10636" spans="3:4" x14ac:dyDescent="0.35">
      <c r="C10636" s="51"/>
      <c r="D10636" s="51"/>
    </row>
    <row r="10637" spans="3:4" x14ac:dyDescent="0.35">
      <c r="C10637" s="51"/>
      <c r="D10637" s="51"/>
    </row>
    <row r="10638" spans="3:4" x14ac:dyDescent="0.35">
      <c r="C10638" s="51"/>
      <c r="D10638" s="51"/>
    </row>
    <row r="10639" spans="3:4" x14ac:dyDescent="0.35">
      <c r="C10639" s="51"/>
      <c r="D10639" s="51"/>
    </row>
    <row r="10640" spans="3:4" x14ac:dyDescent="0.35">
      <c r="C10640" s="51"/>
      <c r="D10640" s="51"/>
    </row>
    <row r="10641" spans="3:4" x14ac:dyDescent="0.35">
      <c r="C10641" s="51"/>
      <c r="D10641" s="51"/>
    </row>
    <row r="10642" spans="3:4" x14ac:dyDescent="0.35">
      <c r="C10642" s="51"/>
      <c r="D10642" s="51"/>
    </row>
    <row r="10643" spans="3:4" x14ac:dyDescent="0.35">
      <c r="C10643" s="51"/>
      <c r="D10643" s="51"/>
    </row>
    <row r="10644" spans="3:4" x14ac:dyDescent="0.35">
      <c r="C10644" s="51"/>
      <c r="D10644" s="51"/>
    </row>
    <row r="10645" spans="3:4" x14ac:dyDescent="0.35">
      <c r="C10645" s="51"/>
      <c r="D10645" s="51"/>
    </row>
    <row r="10646" spans="3:4" x14ac:dyDescent="0.35">
      <c r="C10646" s="51"/>
      <c r="D10646" s="51"/>
    </row>
    <row r="10647" spans="3:4" x14ac:dyDescent="0.35">
      <c r="C10647" s="51"/>
      <c r="D10647" s="51"/>
    </row>
    <row r="10648" spans="3:4" x14ac:dyDescent="0.35">
      <c r="C10648" s="51"/>
      <c r="D10648" s="51"/>
    </row>
    <row r="10649" spans="3:4" x14ac:dyDescent="0.35">
      <c r="C10649" s="51"/>
      <c r="D10649" s="51"/>
    </row>
    <row r="10650" spans="3:4" x14ac:dyDescent="0.35">
      <c r="C10650" s="51"/>
      <c r="D10650" s="51"/>
    </row>
    <row r="10651" spans="3:4" x14ac:dyDescent="0.35">
      <c r="C10651" s="51"/>
      <c r="D10651" s="51"/>
    </row>
    <row r="10652" spans="3:4" x14ac:dyDescent="0.35">
      <c r="C10652" s="51"/>
      <c r="D10652" s="51"/>
    </row>
    <row r="10653" spans="3:4" x14ac:dyDescent="0.35">
      <c r="C10653" s="51"/>
      <c r="D10653" s="51"/>
    </row>
    <row r="10654" spans="3:4" x14ac:dyDescent="0.35">
      <c r="C10654" s="51"/>
      <c r="D10654" s="51"/>
    </row>
    <row r="10655" spans="3:4" x14ac:dyDescent="0.35">
      <c r="C10655" s="51"/>
      <c r="D10655" s="51"/>
    </row>
    <row r="10656" spans="3:4" x14ac:dyDescent="0.35">
      <c r="C10656" s="51"/>
      <c r="D10656" s="51"/>
    </row>
    <row r="10657" spans="3:4" x14ac:dyDescent="0.35">
      <c r="C10657" s="51"/>
      <c r="D10657" s="51"/>
    </row>
    <row r="10658" spans="3:4" x14ac:dyDescent="0.35">
      <c r="C10658" s="51"/>
      <c r="D10658" s="51"/>
    </row>
    <row r="10659" spans="3:4" x14ac:dyDescent="0.35">
      <c r="C10659" s="51"/>
      <c r="D10659" s="51"/>
    </row>
    <row r="10660" spans="3:4" x14ac:dyDescent="0.35">
      <c r="C10660" s="51"/>
      <c r="D10660" s="51"/>
    </row>
    <row r="10661" spans="3:4" x14ac:dyDescent="0.35">
      <c r="C10661" s="51"/>
      <c r="D10661" s="51"/>
    </row>
    <row r="10662" spans="3:4" x14ac:dyDescent="0.35">
      <c r="C10662" s="51"/>
      <c r="D10662" s="51"/>
    </row>
    <row r="10663" spans="3:4" x14ac:dyDescent="0.35">
      <c r="C10663" s="51"/>
      <c r="D10663" s="51"/>
    </row>
    <row r="10664" spans="3:4" x14ac:dyDescent="0.35">
      <c r="C10664" s="51"/>
      <c r="D10664" s="51"/>
    </row>
    <row r="10665" spans="3:4" x14ac:dyDescent="0.35">
      <c r="C10665" s="51"/>
      <c r="D10665" s="51"/>
    </row>
    <row r="10666" spans="3:4" x14ac:dyDescent="0.35">
      <c r="C10666" s="51"/>
      <c r="D10666" s="51"/>
    </row>
    <row r="10667" spans="3:4" x14ac:dyDescent="0.35">
      <c r="C10667" s="51"/>
      <c r="D10667" s="51"/>
    </row>
    <row r="10668" spans="3:4" x14ac:dyDescent="0.35">
      <c r="C10668" s="51"/>
      <c r="D10668" s="51"/>
    </row>
    <row r="10669" spans="3:4" x14ac:dyDescent="0.35">
      <c r="C10669" s="51"/>
      <c r="D10669" s="51"/>
    </row>
    <row r="10670" spans="3:4" x14ac:dyDescent="0.35">
      <c r="C10670" s="51"/>
      <c r="D10670" s="51"/>
    </row>
    <row r="10671" spans="3:4" x14ac:dyDescent="0.35">
      <c r="C10671" s="51"/>
      <c r="D10671" s="51"/>
    </row>
    <row r="10672" spans="3:4" x14ac:dyDescent="0.35">
      <c r="C10672" s="51"/>
      <c r="D10672" s="51"/>
    </row>
    <row r="10673" spans="3:4" x14ac:dyDescent="0.35">
      <c r="C10673" s="51"/>
      <c r="D10673" s="51"/>
    </row>
    <row r="10674" spans="3:4" x14ac:dyDescent="0.35">
      <c r="C10674" s="51"/>
      <c r="D10674" s="51"/>
    </row>
    <row r="10675" spans="3:4" x14ac:dyDescent="0.35">
      <c r="C10675" s="51"/>
      <c r="D10675" s="51"/>
    </row>
    <row r="10676" spans="3:4" x14ac:dyDescent="0.35">
      <c r="C10676" s="51"/>
      <c r="D10676" s="51"/>
    </row>
    <row r="10677" spans="3:4" x14ac:dyDescent="0.35">
      <c r="C10677" s="51"/>
      <c r="D10677" s="51"/>
    </row>
    <row r="10678" spans="3:4" x14ac:dyDescent="0.35">
      <c r="C10678" s="51"/>
      <c r="D10678" s="51"/>
    </row>
    <row r="10679" spans="3:4" x14ac:dyDescent="0.35">
      <c r="C10679" s="51"/>
      <c r="D10679" s="51"/>
    </row>
    <row r="10680" spans="3:4" x14ac:dyDescent="0.35">
      <c r="C10680" s="51"/>
      <c r="D10680" s="51"/>
    </row>
    <row r="10681" spans="3:4" x14ac:dyDescent="0.35">
      <c r="C10681" s="51"/>
      <c r="D10681" s="51"/>
    </row>
    <row r="10682" spans="3:4" x14ac:dyDescent="0.35">
      <c r="C10682" s="51"/>
      <c r="D10682" s="51"/>
    </row>
    <row r="10683" spans="3:4" x14ac:dyDescent="0.35">
      <c r="C10683" s="51"/>
      <c r="D10683" s="51"/>
    </row>
    <row r="10684" spans="3:4" x14ac:dyDescent="0.35">
      <c r="C10684" s="51"/>
      <c r="D10684" s="51"/>
    </row>
    <row r="10685" spans="3:4" x14ac:dyDescent="0.35">
      <c r="C10685" s="51"/>
      <c r="D10685" s="51"/>
    </row>
    <row r="10686" spans="3:4" x14ac:dyDescent="0.35">
      <c r="C10686" s="51"/>
      <c r="D10686" s="51"/>
    </row>
    <row r="10687" spans="3:4" x14ac:dyDescent="0.35">
      <c r="C10687" s="51"/>
      <c r="D10687" s="51"/>
    </row>
    <row r="10688" spans="3:4" x14ac:dyDescent="0.35">
      <c r="C10688" s="51"/>
      <c r="D10688" s="51"/>
    </row>
    <row r="10689" spans="3:4" x14ac:dyDescent="0.35">
      <c r="C10689" s="51"/>
      <c r="D10689" s="51"/>
    </row>
    <row r="10690" spans="3:4" x14ac:dyDescent="0.35">
      <c r="C10690" s="51"/>
      <c r="D10690" s="51"/>
    </row>
    <row r="10691" spans="3:4" x14ac:dyDescent="0.35">
      <c r="C10691" s="51"/>
      <c r="D10691" s="51"/>
    </row>
    <row r="10692" spans="3:4" x14ac:dyDescent="0.35">
      <c r="C10692" s="51"/>
      <c r="D10692" s="51"/>
    </row>
    <row r="10693" spans="3:4" x14ac:dyDescent="0.35">
      <c r="C10693" s="51"/>
      <c r="D10693" s="51"/>
    </row>
    <row r="10694" spans="3:4" x14ac:dyDescent="0.35">
      <c r="C10694" s="51"/>
      <c r="D10694" s="51"/>
    </row>
    <row r="10695" spans="3:4" x14ac:dyDescent="0.35">
      <c r="C10695" s="51"/>
      <c r="D10695" s="51"/>
    </row>
    <row r="10696" spans="3:4" x14ac:dyDescent="0.35">
      <c r="C10696" s="51"/>
      <c r="D10696" s="51"/>
    </row>
    <row r="10697" spans="3:4" x14ac:dyDescent="0.35">
      <c r="C10697" s="51"/>
      <c r="D10697" s="51"/>
    </row>
    <row r="10698" spans="3:4" x14ac:dyDescent="0.35">
      <c r="C10698" s="51"/>
      <c r="D10698" s="51"/>
    </row>
    <row r="10699" spans="3:4" x14ac:dyDescent="0.35">
      <c r="C10699" s="51"/>
      <c r="D10699" s="51"/>
    </row>
    <row r="10700" spans="3:4" x14ac:dyDescent="0.35">
      <c r="C10700" s="51"/>
      <c r="D10700" s="51"/>
    </row>
    <row r="10701" spans="3:4" x14ac:dyDescent="0.35">
      <c r="C10701" s="51"/>
      <c r="D10701" s="51"/>
    </row>
    <row r="10702" spans="3:4" x14ac:dyDescent="0.35">
      <c r="C10702" s="51"/>
      <c r="D10702" s="51"/>
    </row>
    <row r="10703" spans="3:4" x14ac:dyDescent="0.35">
      <c r="C10703" s="51"/>
      <c r="D10703" s="51"/>
    </row>
    <row r="10704" spans="3:4" x14ac:dyDescent="0.35">
      <c r="C10704" s="51"/>
      <c r="D10704" s="51"/>
    </row>
    <row r="10705" spans="3:4" x14ac:dyDescent="0.35">
      <c r="C10705" s="51"/>
      <c r="D10705" s="51"/>
    </row>
    <row r="10706" spans="3:4" x14ac:dyDescent="0.35">
      <c r="C10706" s="51"/>
      <c r="D10706" s="51"/>
    </row>
    <row r="10707" spans="3:4" x14ac:dyDescent="0.35">
      <c r="C10707" s="51"/>
      <c r="D10707" s="51"/>
    </row>
    <row r="10708" spans="3:4" x14ac:dyDescent="0.35">
      <c r="C10708" s="51"/>
      <c r="D10708" s="51"/>
    </row>
    <row r="10709" spans="3:4" x14ac:dyDescent="0.35">
      <c r="C10709" s="51"/>
      <c r="D10709" s="51"/>
    </row>
    <row r="10710" spans="3:4" x14ac:dyDescent="0.35">
      <c r="C10710" s="51"/>
      <c r="D10710" s="51"/>
    </row>
    <row r="10711" spans="3:4" x14ac:dyDescent="0.35">
      <c r="C10711" s="51"/>
      <c r="D10711" s="51"/>
    </row>
    <row r="10712" spans="3:4" x14ac:dyDescent="0.35">
      <c r="C10712" s="51"/>
      <c r="D10712" s="51"/>
    </row>
    <row r="10713" spans="3:4" x14ac:dyDescent="0.35">
      <c r="C10713" s="51"/>
      <c r="D10713" s="51"/>
    </row>
    <row r="10714" spans="3:4" x14ac:dyDescent="0.35">
      <c r="C10714" s="51"/>
      <c r="D10714" s="51"/>
    </row>
    <row r="10715" spans="3:4" x14ac:dyDescent="0.35">
      <c r="C10715" s="51"/>
      <c r="D10715" s="51"/>
    </row>
    <row r="10716" spans="3:4" x14ac:dyDescent="0.35">
      <c r="C10716" s="51"/>
      <c r="D10716" s="51"/>
    </row>
    <row r="10717" spans="3:4" x14ac:dyDescent="0.35">
      <c r="C10717" s="51"/>
      <c r="D10717" s="51"/>
    </row>
    <row r="10718" spans="3:4" x14ac:dyDescent="0.35">
      <c r="C10718" s="51"/>
      <c r="D10718" s="51"/>
    </row>
    <row r="10719" spans="3:4" x14ac:dyDescent="0.35">
      <c r="C10719" s="51"/>
      <c r="D10719" s="51"/>
    </row>
    <row r="10720" spans="3:4" x14ac:dyDescent="0.35">
      <c r="C10720" s="51"/>
      <c r="D10720" s="51"/>
    </row>
    <row r="10721" spans="3:4" x14ac:dyDescent="0.35">
      <c r="C10721" s="51"/>
      <c r="D10721" s="51"/>
    </row>
    <row r="10722" spans="3:4" x14ac:dyDescent="0.35">
      <c r="C10722" s="51"/>
      <c r="D10722" s="51"/>
    </row>
    <row r="10723" spans="3:4" x14ac:dyDescent="0.35">
      <c r="C10723" s="51"/>
      <c r="D10723" s="51"/>
    </row>
    <row r="10724" spans="3:4" x14ac:dyDescent="0.35">
      <c r="C10724" s="51"/>
      <c r="D10724" s="51"/>
    </row>
    <row r="10725" spans="3:4" x14ac:dyDescent="0.35">
      <c r="C10725" s="51"/>
      <c r="D10725" s="51"/>
    </row>
    <row r="10726" spans="3:4" x14ac:dyDescent="0.35">
      <c r="C10726" s="51"/>
      <c r="D10726" s="51"/>
    </row>
    <row r="10727" spans="3:4" x14ac:dyDescent="0.35">
      <c r="C10727" s="51"/>
      <c r="D10727" s="51"/>
    </row>
    <row r="10728" spans="3:4" x14ac:dyDescent="0.35">
      <c r="C10728" s="51"/>
      <c r="D10728" s="51"/>
    </row>
    <row r="10729" spans="3:4" x14ac:dyDescent="0.35">
      <c r="C10729" s="51"/>
      <c r="D10729" s="51"/>
    </row>
    <row r="10730" spans="3:4" x14ac:dyDescent="0.35">
      <c r="C10730" s="51"/>
      <c r="D10730" s="51"/>
    </row>
    <row r="10731" spans="3:4" x14ac:dyDescent="0.35">
      <c r="C10731" s="51"/>
      <c r="D10731" s="51"/>
    </row>
    <row r="10732" spans="3:4" x14ac:dyDescent="0.35">
      <c r="C10732" s="51"/>
      <c r="D10732" s="51"/>
    </row>
    <row r="10733" spans="3:4" x14ac:dyDescent="0.35">
      <c r="C10733" s="51"/>
      <c r="D10733" s="51"/>
    </row>
    <row r="10734" spans="3:4" x14ac:dyDescent="0.35">
      <c r="C10734" s="51"/>
      <c r="D10734" s="51"/>
    </row>
    <row r="10735" spans="3:4" x14ac:dyDescent="0.35">
      <c r="C10735" s="51"/>
      <c r="D10735" s="51"/>
    </row>
    <row r="10736" spans="3:4" x14ac:dyDescent="0.35">
      <c r="C10736" s="51"/>
      <c r="D10736" s="51"/>
    </row>
    <row r="10737" spans="3:4" x14ac:dyDescent="0.35">
      <c r="C10737" s="51"/>
      <c r="D10737" s="51"/>
    </row>
    <row r="10738" spans="3:4" x14ac:dyDescent="0.35">
      <c r="C10738" s="51"/>
      <c r="D10738" s="51"/>
    </row>
    <row r="10739" spans="3:4" x14ac:dyDescent="0.35">
      <c r="C10739" s="51"/>
      <c r="D10739" s="51"/>
    </row>
    <row r="10740" spans="3:4" x14ac:dyDescent="0.35">
      <c r="C10740" s="51"/>
      <c r="D10740" s="51"/>
    </row>
    <row r="10741" spans="3:4" x14ac:dyDescent="0.35">
      <c r="C10741" s="51"/>
      <c r="D10741" s="51"/>
    </row>
    <row r="10742" spans="3:4" x14ac:dyDescent="0.35">
      <c r="C10742" s="51"/>
      <c r="D10742" s="51"/>
    </row>
    <row r="10743" spans="3:4" x14ac:dyDescent="0.35">
      <c r="C10743" s="51"/>
      <c r="D10743" s="51"/>
    </row>
    <row r="10744" spans="3:4" x14ac:dyDescent="0.35">
      <c r="C10744" s="51"/>
      <c r="D10744" s="51"/>
    </row>
    <row r="10745" spans="3:4" x14ac:dyDescent="0.35">
      <c r="C10745" s="51"/>
      <c r="D10745" s="51"/>
    </row>
    <row r="10746" spans="3:4" x14ac:dyDescent="0.35">
      <c r="C10746" s="51"/>
      <c r="D10746" s="51"/>
    </row>
    <row r="10747" spans="3:4" x14ac:dyDescent="0.35">
      <c r="C10747" s="51"/>
      <c r="D10747" s="51"/>
    </row>
    <row r="10748" spans="3:4" x14ac:dyDescent="0.35">
      <c r="C10748" s="51"/>
      <c r="D10748" s="51"/>
    </row>
    <row r="10749" spans="3:4" x14ac:dyDescent="0.35">
      <c r="C10749" s="51"/>
      <c r="D10749" s="51"/>
    </row>
    <row r="10750" spans="3:4" x14ac:dyDescent="0.35">
      <c r="C10750" s="51"/>
      <c r="D10750" s="51"/>
    </row>
    <row r="10751" spans="3:4" x14ac:dyDescent="0.35">
      <c r="C10751" s="51"/>
      <c r="D10751" s="51"/>
    </row>
    <row r="10752" spans="3:4" x14ac:dyDescent="0.35">
      <c r="C10752" s="51"/>
      <c r="D10752" s="51"/>
    </row>
    <row r="10753" spans="3:4" x14ac:dyDescent="0.35">
      <c r="C10753" s="51"/>
      <c r="D10753" s="51"/>
    </row>
    <row r="10754" spans="3:4" x14ac:dyDescent="0.35">
      <c r="C10754" s="51"/>
      <c r="D10754" s="51"/>
    </row>
    <row r="10755" spans="3:4" x14ac:dyDescent="0.35">
      <c r="C10755" s="51"/>
      <c r="D10755" s="51"/>
    </row>
    <row r="10756" spans="3:4" x14ac:dyDescent="0.35">
      <c r="C10756" s="51"/>
      <c r="D10756" s="51"/>
    </row>
    <row r="10757" spans="3:4" x14ac:dyDescent="0.35">
      <c r="C10757" s="51"/>
      <c r="D10757" s="51"/>
    </row>
    <row r="10758" spans="3:4" x14ac:dyDescent="0.35">
      <c r="C10758" s="51"/>
      <c r="D10758" s="51"/>
    </row>
    <row r="10759" spans="3:4" x14ac:dyDescent="0.35">
      <c r="C10759" s="51"/>
      <c r="D10759" s="51"/>
    </row>
    <row r="10760" spans="3:4" x14ac:dyDescent="0.35">
      <c r="C10760" s="51"/>
      <c r="D10760" s="51"/>
    </row>
    <row r="10761" spans="3:4" x14ac:dyDescent="0.35">
      <c r="C10761" s="51"/>
      <c r="D10761" s="51"/>
    </row>
    <row r="10762" spans="3:4" x14ac:dyDescent="0.35">
      <c r="C10762" s="51"/>
      <c r="D10762" s="51"/>
    </row>
    <row r="10763" spans="3:4" x14ac:dyDescent="0.35">
      <c r="C10763" s="51"/>
      <c r="D10763" s="51"/>
    </row>
    <row r="10764" spans="3:4" x14ac:dyDescent="0.35">
      <c r="C10764" s="51"/>
      <c r="D10764" s="51"/>
    </row>
    <row r="10765" spans="3:4" x14ac:dyDescent="0.35">
      <c r="C10765" s="51"/>
      <c r="D10765" s="51"/>
    </row>
    <row r="10766" spans="3:4" x14ac:dyDescent="0.35">
      <c r="C10766" s="51"/>
      <c r="D10766" s="51"/>
    </row>
    <row r="10767" spans="3:4" x14ac:dyDescent="0.35">
      <c r="C10767" s="51"/>
      <c r="D10767" s="51"/>
    </row>
    <row r="10768" spans="3:4" x14ac:dyDescent="0.35">
      <c r="C10768" s="51"/>
      <c r="D10768" s="51"/>
    </row>
    <row r="10769" spans="3:4" x14ac:dyDescent="0.35">
      <c r="C10769" s="51"/>
      <c r="D10769" s="51"/>
    </row>
    <row r="10770" spans="3:4" x14ac:dyDescent="0.35">
      <c r="C10770" s="51"/>
      <c r="D10770" s="51"/>
    </row>
    <row r="10771" spans="3:4" x14ac:dyDescent="0.35">
      <c r="C10771" s="51"/>
      <c r="D10771" s="51"/>
    </row>
    <row r="10772" spans="3:4" x14ac:dyDescent="0.35">
      <c r="C10772" s="51"/>
      <c r="D10772" s="51"/>
    </row>
    <row r="10773" spans="3:4" x14ac:dyDescent="0.35">
      <c r="C10773" s="51"/>
      <c r="D10773" s="51"/>
    </row>
    <row r="10774" spans="3:4" x14ac:dyDescent="0.35">
      <c r="C10774" s="51"/>
      <c r="D10774" s="51"/>
    </row>
    <row r="10775" spans="3:4" x14ac:dyDescent="0.35">
      <c r="C10775" s="51"/>
      <c r="D10775" s="51"/>
    </row>
    <row r="10776" spans="3:4" x14ac:dyDescent="0.35">
      <c r="C10776" s="51"/>
      <c r="D10776" s="51"/>
    </row>
    <row r="10777" spans="3:4" x14ac:dyDescent="0.35">
      <c r="C10777" s="51"/>
      <c r="D10777" s="51"/>
    </row>
    <row r="10778" spans="3:4" x14ac:dyDescent="0.35">
      <c r="C10778" s="51"/>
      <c r="D10778" s="51"/>
    </row>
    <row r="10779" spans="3:4" x14ac:dyDescent="0.35">
      <c r="C10779" s="51"/>
      <c r="D10779" s="51"/>
    </row>
    <row r="10780" spans="3:4" x14ac:dyDescent="0.35">
      <c r="C10780" s="51"/>
      <c r="D10780" s="51"/>
    </row>
    <row r="10781" spans="3:4" x14ac:dyDescent="0.35">
      <c r="C10781" s="51"/>
      <c r="D10781" s="51"/>
    </row>
    <row r="10782" spans="3:4" x14ac:dyDescent="0.35">
      <c r="C10782" s="51"/>
      <c r="D10782" s="51"/>
    </row>
    <row r="10783" spans="3:4" x14ac:dyDescent="0.35">
      <c r="C10783" s="51"/>
      <c r="D10783" s="51"/>
    </row>
    <row r="10784" spans="3:4" x14ac:dyDescent="0.35">
      <c r="C10784" s="51"/>
      <c r="D10784" s="51"/>
    </row>
    <row r="10785" spans="3:4" x14ac:dyDescent="0.35">
      <c r="C10785" s="51"/>
      <c r="D10785" s="51"/>
    </row>
    <row r="10786" spans="3:4" x14ac:dyDescent="0.35">
      <c r="C10786" s="51"/>
      <c r="D10786" s="51"/>
    </row>
    <row r="10787" spans="3:4" x14ac:dyDescent="0.35">
      <c r="C10787" s="51"/>
      <c r="D10787" s="51"/>
    </row>
    <row r="10788" spans="3:4" x14ac:dyDescent="0.35">
      <c r="C10788" s="51"/>
      <c r="D10788" s="51"/>
    </row>
    <row r="10789" spans="3:4" x14ac:dyDescent="0.35">
      <c r="C10789" s="51"/>
      <c r="D10789" s="51"/>
    </row>
    <row r="10790" spans="3:4" x14ac:dyDescent="0.35">
      <c r="C10790" s="51"/>
      <c r="D10790" s="51"/>
    </row>
    <row r="10791" spans="3:4" x14ac:dyDescent="0.35">
      <c r="C10791" s="51"/>
      <c r="D10791" s="51"/>
    </row>
    <row r="10792" spans="3:4" x14ac:dyDescent="0.35">
      <c r="C10792" s="51"/>
      <c r="D10792" s="51"/>
    </row>
    <row r="10793" spans="3:4" x14ac:dyDescent="0.35">
      <c r="C10793" s="51"/>
      <c r="D10793" s="51"/>
    </row>
    <row r="10794" spans="3:4" x14ac:dyDescent="0.35">
      <c r="C10794" s="51"/>
      <c r="D10794" s="51"/>
    </row>
    <row r="10795" spans="3:4" x14ac:dyDescent="0.35">
      <c r="C10795" s="51"/>
      <c r="D10795" s="51"/>
    </row>
    <row r="10796" spans="3:4" x14ac:dyDescent="0.35">
      <c r="C10796" s="51"/>
      <c r="D10796" s="51"/>
    </row>
    <row r="10797" spans="3:4" x14ac:dyDescent="0.35">
      <c r="C10797" s="51"/>
      <c r="D10797" s="51"/>
    </row>
    <row r="10798" spans="3:4" x14ac:dyDescent="0.35">
      <c r="C10798" s="51"/>
      <c r="D10798" s="51"/>
    </row>
    <row r="10799" spans="3:4" x14ac:dyDescent="0.35">
      <c r="C10799" s="51"/>
      <c r="D10799" s="51"/>
    </row>
    <row r="10800" spans="3:4" x14ac:dyDescent="0.35">
      <c r="C10800" s="51"/>
      <c r="D10800" s="51"/>
    </row>
    <row r="10801" spans="3:4" x14ac:dyDescent="0.35">
      <c r="C10801" s="51"/>
      <c r="D10801" s="51"/>
    </row>
    <row r="10802" spans="3:4" x14ac:dyDescent="0.35">
      <c r="C10802" s="51"/>
      <c r="D10802" s="51"/>
    </row>
    <row r="10803" spans="3:4" x14ac:dyDescent="0.35">
      <c r="C10803" s="51"/>
      <c r="D10803" s="51"/>
    </row>
    <row r="10804" spans="3:4" x14ac:dyDescent="0.35">
      <c r="C10804" s="51"/>
      <c r="D10804" s="51"/>
    </row>
    <row r="10805" spans="3:4" x14ac:dyDescent="0.35">
      <c r="C10805" s="51"/>
      <c r="D10805" s="51"/>
    </row>
    <row r="10806" spans="3:4" x14ac:dyDescent="0.35">
      <c r="C10806" s="51"/>
      <c r="D10806" s="51"/>
    </row>
    <row r="10807" spans="3:4" x14ac:dyDescent="0.35">
      <c r="C10807" s="51"/>
      <c r="D10807" s="51"/>
    </row>
    <row r="10808" spans="3:4" x14ac:dyDescent="0.35">
      <c r="C10808" s="51"/>
      <c r="D10808" s="51"/>
    </row>
    <row r="10809" spans="3:4" x14ac:dyDescent="0.35">
      <c r="C10809" s="51"/>
      <c r="D10809" s="51"/>
    </row>
    <row r="10810" spans="3:4" x14ac:dyDescent="0.35">
      <c r="C10810" s="51"/>
      <c r="D10810" s="51"/>
    </row>
    <row r="10811" spans="3:4" x14ac:dyDescent="0.35">
      <c r="C10811" s="51"/>
      <c r="D10811" s="51"/>
    </row>
    <row r="10812" spans="3:4" x14ac:dyDescent="0.35">
      <c r="C10812" s="51"/>
      <c r="D10812" s="51"/>
    </row>
    <row r="10813" spans="3:4" x14ac:dyDescent="0.35">
      <c r="C10813" s="51"/>
      <c r="D10813" s="51"/>
    </row>
    <row r="10814" spans="3:4" x14ac:dyDescent="0.35">
      <c r="C10814" s="51"/>
      <c r="D10814" s="51"/>
    </row>
    <row r="10815" spans="3:4" x14ac:dyDescent="0.35">
      <c r="C10815" s="51"/>
      <c r="D10815" s="51"/>
    </row>
    <row r="10816" spans="3:4" x14ac:dyDescent="0.35">
      <c r="C10816" s="51"/>
      <c r="D10816" s="51"/>
    </row>
    <row r="10817" spans="3:4" x14ac:dyDescent="0.35">
      <c r="C10817" s="51"/>
      <c r="D10817" s="51"/>
    </row>
    <row r="10818" spans="3:4" x14ac:dyDescent="0.35">
      <c r="C10818" s="51"/>
      <c r="D10818" s="51"/>
    </row>
    <row r="10819" spans="3:4" x14ac:dyDescent="0.35">
      <c r="C10819" s="51"/>
      <c r="D10819" s="51"/>
    </row>
    <row r="10820" spans="3:4" x14ac:dyDescent="0.35">
      <c r="C10820" s="51"/>
      <c r="D10820" s="51"/>
    </row>
    <row r="10821" spans="3:4" x14ac:dyDescent="0.35">
      <c r="C10821" s="51"/>
      <c r="D10821" s="51"/>
    </row>
    <row r="10822" spans="3:4" x14ac:dyDescent="0.35">
      <c r="C10822" s="51"/>
      <c r="D10822" s="51"/>
    </row>
    <row r="10823" spans="3:4" x14ac:dyDescent="0.35">
      <c r="C10823" s="51"/>
      <c r="D10823" s="51"/>
    </row>
    <row r="10824" spans="3:4" x14ac:dyDescent="0.35">
      <c r="C10824" s="51"/>
      <c r="D10824" s="51"/>
    </row>
    <row r="10825" spans="3:4" x14ac:dyDescent="0.35">
      <c r="C10825" s="51"/>
      <c r="D10825" s="51"/>
    </row>
    <row r="10826" spans="3:4" x14ac:dyDescent="0.35">
      <c r="C10826" s="51"/>
      <c r="D10826" s="51"/>
    </row>
    <row r="10827" spans="3:4" x14ac:dyDescent="0.35">
      <c r="C10827" s="51"/>
      <c r="D10827" s="51"/>
    </row>
    <row r="10828" spans="3:4" x14ac:dyDescent="0.35">
      <c r="C10828" s="51"/>
      <c r="D10828" s="51"/>
    </row>
    <row r="10829" spans="3:4" x14ac:dyDescent="0.35">
      <c r="C10829" s="51"/>
      <c r="D10829" s="51"/>
    </row>
    <row r="10830" spans="3:4" x14ac:dyDescent="0.35">
      <c r="C10830" s="51"/>
      <c r="D10830" s="51"/>
    </row>
    <row r="10831" spans="3:4" x14ac:dyDescent="0.35">
      <c r="C10831" s="51"/>
      <c r="D10831" s="51"/>
    </row>
    <row r="10832" spans="3:4" x14ac:dyDescent="0.35">
      <c r="C10832" s="51"/>
      <c r="D10832" s="51"/>
    </row>
    <row r="10833" spans="3:4" x14ac:dyDescent="0.35">
      <c r="C10833" s="51"/>
      <c r="D10833" s="51"/>
    </row>
    <row r="10834" spans="3:4" x14ac:dyDescent="0.35">
      <c r="C10834" s="51"/>
      <c r="D10834" s="51"/>
    </row>
    <row r="10835" spans="3:4" x14ac:dyDescent="0.35">
      <c r="C10835" s="51"/>
      <c r="D10835" s="51"/>
    </row>
    <row r="10836" spans="3:4" x14ac:dyDescent="0.35">
      <c r="C10836" s="51"/>
      <c r="D10836" s="51"/>
    </row>
    <row r="10837" spans="3:4" x14ac:dyDescent="0.35">
      <c r="C10837" s="51"/>
      <c r="D10837" s="51"/>
    </row>
    <row r="10838" spans="3:4" x14ac:dyDescent="0.35">
      <c r="C10838" s="51"/>
      <c r="D10838" s="51"/>
    </row>
    <row r="10839" spans="3:4" x14ac:dyDescent="0.35">
      <c r="C10839" s="51"/>
      <c r="D10839" s="51"/>
    </row>
    <row r="10840" spans="3:4" x14ac:dyDescent="0.35">
      <c r="C10840" s="51"/>
      <c r="D10840" s="51"/>
    </row>
    <row r="10841" spans="3:4" x14ac:dyDescent="0.35">
      <c r="C10841" s="51"/>
      <c r="D10841" s="51"/>
    </row>
    <row r="10842" spans="3:4" x14ac:dyDescent="0.35">
      <c r="C10842" s="51"/>
      <c r="D10842" s="51"/>
    </row>
    <row r="10843" spans="3:4" x14ac:dyDescent="0.35">
      <c r="C10843" s="51"/>
      <c r="D10843" s="51"/>
    </row>
    <row r="10844" spans="3:4" x14ac:dyDescent="0.35">
      <c r="C10844" s="51"/>
      <c r="D10844" s="51"/>
    </row>
    <row r="10845" spans="3:4" x14ac:dyDescent="0.35">
      <c r="C10845" s="51"/>
      <c r="D10845" s="51"/>
    </row>
    <row r="10846" spans="3:4" x14ac:dyDescent="0.35">
      <c r="C10846" s="51"/>
      <c r="D10846" s="51"/>
    </row>
    <row r="10847" spans="3:4" x14ac:dyDescent="0.35">
      <c r="C10847" s="51"/>
      <c r="D10847" s="51"/>
    </row>
    <row r="10848" spans="3:4" x14ac:dyDescent="0.35">
      <c r="C10848" s="51"/>
      <c r="D10848" s="51"/>
    </row>
    <row r="10849" spans="3:4" x14ac:dyDescent="0.35">
      <c r="C10849" s="51"/>
      <c r="D10849" s="51"/>
    </row>
    <row r="10850" spans="3:4" x14ac:dyDescent="0.35">
      <c r="C10850" s="51"/>
      <c r="D10850" s="51"/>
    </row>
    <row r="10851" spans="3:4" x14ac:dyDescent="0.35">
      <c r="C10851" s="51"/>
      <c r="D10851" s="51"/>
    </row>
    <row r="10852" spans="3:4" x14ac:dyDescent="0.35">
      <c r="C10852" s="51"/>
      <c r="D10852" s="51"/>
    </row>
    <row r="10853" spans="3:4" x14ac:dyDescent="0.35">
      <c r="C10853" s="51"/>
      <c r="D10853" s="51"/>
    </row>
    <row r="10854" spans="3:4" x14ac:dyDescent="0.35">
      <c r="C10854" s="51"/>
      <c r="D10854" s="51"/>
    </row>
    <row r="10855" spans="3:4" x14ac:dyDescent="0.35">
      <c r="C10855" s="51"/>
      <c r="D10855" s="51"/>
    </row>
    <row r="10856" spans="3:4" x14ac:dyDescent="0.35">
      <c r="C10856" s="51"/>
      <c r="D10856" s="51"/>
    </row>
    <row r="10857" spans="3:4" x14ac:dyDescent="0.35">
      <c r="C10857" s="51"/>
      <c r="D10857" s="51"/>
    </row>
    <row r="10858" spans="3:4" x14ac:dyDescent="0.35">
      <c r="C10858" s="51"/>
      <c r="D10858" s="51"/>
    </row>
    <row r="10859" spans="3:4" x14ac:dyDescent="0.35">
      <c r="C10859" s="51"/>
      <c r="D10859" s="51"/>
    </row>
    <row r="10860" spans="3:4" x14ac:dyDescent="0.35">
      <c r="C10860" s="51"/>
      <c r="D10860" s="51"/>
    </row>
    <row r="10861" spans="3:4" x14ac:dyDescent="0.35">
      <c r="C10861" s="51"/>
      <c r="D10861" s="51"/>
    </row>
    <row r="10862" spans="3:4" x14ac:dyDescent="0.35">
      <c r="C10862" s="51"/>
      <c r="D10862" s="51"/>
    </row>
    <row r="10863" spans="3:4" x14ac:dyDescent="0.35">
      <c r="C10863" s="51"/>
      <c r="D10863" s="51"/>
    </row>
    <row r="10864" spans="3:4" x14ac:dyDescent="0.35">
      <c r="C10864" s="51"/>
      <c r="D10864" s="51"/>
    </row>
    <row r="10865" spans="3:4" x14ac:dyDescent="0.35">
      <c r="C10865" s="51"/>
      <c r="D10865" s="51"/>
    </row>
    <row r="10866" spans="3:4" x14ac:dyDescent="0.35">
      <c r="C10866" s="51"/>
      <c r="D10866" s="51"/>
    </row>
    <row r="10867" spans="3:4" x14ac:dyDescent="0.35">
      <c r="C10867" s="51"/>
      <c r="D10867" s="51"/>
    </row>
    <row r="10868" spans="3:4" x14ac:dyDescent="0.35">
      <c r="C10868" s="51"/>
      <c r="D10868" s="51"/>
    </row>
    <row r="10869" spans="3:4" x14ac:dyDescent="0.35">
      <c r="C10869" s="51"/>
      <c r="D10869" s="51"/>
    </row>
    <row r="10870" spans="3:4" x14ac:dyDescent="0.35">
      <c r="C10870" s="51"/>
      <c r="D10870" s="51"/>
    </row>
    <row r="10871" spans="3:4" x14ac:dyDescent="0.35">
      <c r="C10871" s="51"/>
      <c r="D10871" s="51"/>
    </row>
    <row r="10872" spans="3:4" x14ac:dyDescent="0.35">
      <c r="C10872" s="51"/>
      <c r="D10872" s="51"/>
    </row>
    <row r="10873" spans="3:4" x14ac:dyDescent="0.35">
      <c r="C10873" s="51"/>
      <c r="D10873" s="51"/>
    </row>
    <row r="10874" spans="3:4" x14ac:dyDescent="0.35">
      <c r="C10874" s="51"/>
      <c r="D10874" s="51"/>
    </row>
    <row r="10875" spans="3:4" x14ac:dyDescent="0.35">
      <c r="C10875" s="51"/>
      <c r="D10875" s="51"/>
    </row>
    <row r="10876" spans="3:4" x14ac:dyDescent="0.35">
      <c r="C10876" s="51"/>
      <c r="D10876" s="51"/>
    </row>
    <row r="10877" spans="3:4" x14ac:dyDescent="0.35">
      <c r="C10877" s="51"/>
      <c r="D10877" s="51"/>
    </row>
    <row r="10878" spans="3:4" x14ac:dyDescent="0.35">
      <c r="C10878" s="51"/>
      <c r="D10878" s="51"/>
    </row>
    <row r="10879" spans="3:4" x14ac:dyDescent="0.35">
      <c r="C10879" s="51"/>
      <c r="D10879" s="51"/>
    </row>
    <row r="10880" spans="3:4" x14ac:dyDescent="0.35">
      <c r="C10880" s="51"/>
      <c r="D10880" s="51"/>
    </row>
    <row r="10881" spans="3:4" x14ac:dyDescent="0.35">
      <c r="C10881" s="51"/>
      <c r="D10881" s="51"/>
    </row>
    <row r="10882" spans="3:4" x14ac:dyDescent="0.35">
      <c r="C10882" s="51"/>
      <c r="D10882" s="51"/>
    </row>
    <row r="10883" spans="3:4" x14ac:dyDescent="0.35">
      <c r="C10883" s="51"/>
      <c r="D10883" s="51"/>
    </row>
    <row r="10884" spans="3:4" x14ac:dyDescent="0.35">
      <c r="C10884" s="51"/>
      <c r="D10884" s="51"/>
    </row>
    <row r="10885" spans="3:4" x14ac:dyDescent="0.35">
      <c r="C10885" s="51"/>
      <c r="D10885" s="51"/>
    </row>
    <row r="10886" spans="3:4" x14ac:dyDescent="0.35">
      <c r="C10886" s="51"/>
      <c r="D10886" s="51"/>
    </row>
    <row r="10887" spans="3:4" x14ac:dyDescent="0.35">
      <c r="C10887" s="51"/>
      <c r="D10887" s="51"/>
    </row>
    <row r="10888" spans="3:4" x14ac:dyDescent="0.35">
      <c r="C10888" s="51"/>
      <c r="D10888" s="51"/>
    </row>
    <row r="10889" spans="3:4" x14ac:dyDescent="0.35">
      <c r="C10889" s="51"/>
      <c r="D10889" s="51"/>
    </row>
    <row r="10890" spans="3:4" x14ac:dyDescent="0.35">
      <c r="C10890" s="51"/>
      <c r="D10890" s="51"/>
    </row>
    <row r="10891" spans="3:4" x14ac:dyDescent="0.35">
      <c r="C10891" s="51"/>
      <c r="D10891" s="51"/>
    </row>
    <row r="10892" spans="3:4" x14ac:dyDescent="0.35">
      <c r="C10892" s="51"/>
      <c r="D10892" s="51"/>
    </row>
    <row r="10893" spans="3:4" x14ac:dyDescent="0.35">
      <c r="C10893" s="51"/>
      <c r="D10893" s="51"/>
    </row>
    <row r="10894" spans="3:4" x14ac:dyDescent="0.35">
      <c r="C10894" s="51"/>
      <c r="D10894" s="51"/>
    </row>
    <row r="10895" spans="3:4" x14ac:dyDescent="0.35">
      <c r="C10895" s="51"/>
      <c r="D10895" s="51"/>
    </row>
    <row r="10896" spans="3:4" x14ac:dyDescent="0.35">
      <c r="C10896" s="51"/>
      <c r="D10896" s="51"/>
    </row>
    <row r="10897" spans="3:4" x14ac:dyDescent="0.35">
      <c r="C10897" s="51"/>
      <c r="D10897" s="51"/>
    </row>
    <row r="10898" spans="3:4" x14ac:dyDescent="0.35">
      <c r="C10898" s="51"/>
      <c r="D10898" s="51"/>
    </row>
    <row r="10899" spans="3:4" x14ac:dyDescent="0.35">
      <c r="C10899" s="51"/>
      <c r="D10899" s="51"/>
    </row>
    <row r="10900" spans="3:4" x14ac:dyDescent="0.35">
      <c r="C10900" s="51"/>
      <c r="D10900" s="51"/>
    </row>
    <row r="10901" spans="3:4" x14ac:dyDescent="0.35">
      <c r="C10901" s="51"/>
      <c r="D10901" s="51"/>
    </row>
    <row r="10902" spans="3:4" x14ac:dyDescent="0.35">
      <c r="C10902" s="51"/>
      <c r="D10902" s="51"/>
    </row>
    <row r="10903" spans="3:4" x14ac:dyDescent="0.35">
      <c r="C10903" s="51"/>
      <c r="D10903" s="51"/>
    </row>
    <row r="10904" spans="3:4" x14ac:dyDescent="0.35">
      <c r="C10904" s="51"/>
      <c r="D10904" s="51"/>
    </row>
    <row r="10905" spans="3:4" x14ac:dyDescent="0.35">
      <c r="C10905" s="51"/>
      <c r="D10905" s="51"/>
    </row>
    <row r="10906" spans="3:4" x14ac:dyDescent="0.35">
      <c r="C10906" s="51"/>
      <c r="D10906" s="51"/>
    </row>
    <row r="10907" spans="3:4" x14ac:dyDescent="0.35">
      <c r="C10907" s="51"/>
      <c r="D10907" s="51"/>
    </row>
    <row r="10908" spans="3:4" x14ac:dyDescent="0.35">
      <c r="C10908" s="51"/>
      <c r="D10908" s="51"/>
    </row>
    <row r="10909" spans="3:4" x14ac:dyDescent="0.35">
      <c r="C10909" s="51"/>
      <c r="D10909" s="51"/>
    </row>
    <row r="10910" spans="3:4" x14ac:dyDescent="0.35">
      <c r="C10910" s="51"/>
      <c r="D10910" s="51"/>
    </row>
    <row r="10911" spans="3:4" x14ac:dyDescent="0.35">
      <c r="C10911" s="51"/>
      <c r="D10911" s="51"/>
    </row>
    <row r="10912" spans="3:4" x14ac:dyDescent="0.35">
      <c r="C10912" s="51"/>
      <c r="D10912" s="51"/>
    </row>
    <row r="10913" spans="3:4" x14ac:dyDescent="0.35">
      <c r="C10913" s="51"/>
      <c r="D10913" s="51"/>
    </row>
    <row r="10914" spans="3:4" x14ac:dyDescent="0.35">
      <c r="C10914" s="51"/>
      <c r="D10914" s="51"/>
    </row>
    <row r="10915" spans="3:4" x14ac:dyDescent="0.35">
      <c r="C10915" s="51"/>
      <c r="D10915" s="51"/>
    </row>
    <row r="10916" spans="3:4" x14ac:dyDescent="0.35">
      <c r="C10916" s="51"/>
      <c r="D10916" s="51"/>
    </row>
    <row r="10917" spans="3:4" x14ac:dyDescent="0.35">
      <c r="C10917" s="51"/>
      <c r="D10917" s="51"/>
    </row>
    <row r="10918" spans="3:4" x14ac:dyDescent="0.35">
      <c r="C10918" s="51"/>
      <c r="D10918" s="51"/>
    </row>
    <row r="10919" spans="3:4" x14ac:dyDescent="0.35">
      <c r="C10919" s="51"/>
      <c r="D10919" s="51"/>
    </row>
    <row r="10920" spans="3:4" x14ac:dyDescent="0.35">
      <c r="C10920" s="51"/>
      <c r="D10920" s="51"/>
    </row>
    <row r="10921" spans="3:4" x14ac:dyDescent="0.35">
      <c r="C10921" s="51"/>
      <c r="D10921" s="51"/>
    </row>
    <row r="10922" spans="3:4" x14ac:dyDescent="0.35">
      <c r="C10922" s="51"/>
      <c r="D10922" s="51"/>
    </row>
    <row r="10923" spans="3:4" x14ac:dyDescent="0.35">
      <c r="C10923" s="51"/>
      <c r="D10923" s="51"/>
    </row>
    <row r="10924" spans="3:4" x14ac:dyDescent="0.35">
      <c r="C10924" s="51"/>
      <c r="D10924" s="51"/>
    </row>
    <row r="10925" spans="3:4" x14ac:dyDescent="0.35">
      <c r="C10925" s="51"/>
      <c r="D10925" s="51"/>
    </row>
    <row r="10926" spans="3:4" x14ac:dyDescent="0.35">
      <c r="C10926" s="51"/>
      <c r="D10926" s="51"/>
    </row>
    <row r="10927" spans="3:4" x14ac:dyDescent="0.35">
      <c r="C10927" s="51"/>
      <c r="D10927" s="51"/>
    </row>
    <row r="10928" spans="3:4" x14ac:dyDescent="0.35">
      <c r="C10928" s="51"/>
      <c r="D10928" s="51"/>
    </row>
    <row r="10929" spans="3:4" x14ac:dyDescent="0.35">
      <c r="C10929" s="51"/>
      <c r="D10929" s="51"/>
    </row>
    <row r="10930" spans="3:4" x14ac:dyDescent="0.35">
      <c r="C10930" s="51"/>
      <c r="D10930" s="51"/>
    </row>
    <row r="10931" spans="3:4" x14ac:dyDescent="0.35">
      <c r="C10931" s="51"/>
      <c r="D10931" s="51"/>
    </row>
    <row r="10932" spans="3:4" x14ac:dyDescent="0.35">
      <c r="C10932" s="51"/>
      <c r="D10932" s="51"/>
    </row>
    <row r="10933" spans="3:4" x14ac:dyDescent="0.35">
      <c r="C10933" s="51"/>
      <c r="D10933" s="51"/>
    </row>
    <row r="10934" spans="3:4" x14ac:dyDescent="0.35">
      <c r="C10934" s="51"/>
      <c r="D10934" s="51"/>
    </row>
    <row r="10935" spans="3:4" x14ac:dyDescent="0.35">
      <c r="C10935" s="51"/>
      <c r="D10935" s="51"/>
    </row>
    <row r="10936" spans="3:4" x14ac:dyDescent="0.35">
      <c r="C10936" s="51"/>
      <c r="D10936" s="51"/>
    </row>
    <row r="10937" spans="3:4" x14ac:dyDescent="0.35">
      <c r="C10937" s="51"/>
      <c r="D10937" s="51"/>
    </row>
    <row r="10938" spans="3:4" x14ac:dyDescent="0.35">
      <c r="C10938" s="51"/>
      <c r="D10938" s="51"/>
    </row>
    <row r="10939" spans="3:4" x14ac:dyDescent="0.35">
      <c r="C10939" s="51"/>
      <c r="D10939" s="51"/>
    </row>
    <row r="10940" spans="3:4" x14ac:dyDescent="0.35">
      <c r="C10940" s="51"/>
      <c r="D10940" s="51"/>
    </row>
    <row r="10941" spans="3:4" x14ac:dyDescent="0.35">
      <c r="C10941" s="51"/>
      <c r="D10941" s="51"/>
    </row>
    <row r="10942" spans="3:4" x14ac:dyDescent="0.35">
      <c r="C10942" s="51"/>
      <c r="D10942" s="51"/>
    </row>
    <row r="10943" spans="3:4" x14ac:dyDescent="0.35">
      <c r="C10943" s="51"/>
      <c r="D10943" s="51"/>
    </row>
    <row r="10944" spans="3:4" x14ac:dyDescent="0.35">
      <c r="C10944" s="51"/>
      <c r="D10944" s="51"/>
    </row>
    <row r="10945" spans="3:4" x14ac:dyDescent="0.35">
      <c r="C10945" s="51"/>
      <c r="D10945" s="51"/>
    </row>
    <row r="10946" spans="3:4" x14ac:dyDescent="0.35">
      <c r="C10946" s="51"/>
      <c r="D10946" s="51"/>
    </row>
    <row r="10947" spans="3:4" x14ac:dyDescent="0.35">
      <c r="C10947" s="51"/>
      <c r="D10947" s="51"/>
    </row>
    <row r="10948" spans="3:4" x14ac:dyDescent="0.35">
      <c r="C10948" s="51"/>
      <c r="D10948" s="51"/>
    </row>
    <row r="10949" spans="3:4" x14ac:dyDescent="0.35">
      <c r="C10949" s="51"/>
      <c r="D10949" s="51"/>
    </row>
    <row r="10950" spans="3:4" x14ac:dyDescent="0.35">
      <c r="C10950" s="51"/>
      <c r="D10950" s="51"/>
    </row>
    <row r="10951" spans="3:4" x14ac:dyDescent="0.35">
      <c r="C10951" s="51"/>
      <c r="D10951" s="51"/>
    </row>
    <row r="10952" spans="3:4" x14ac:dyDescent="0.35">
      <c r="C10952" s="51"/>
      <c r="D10952" s="51"/>
    </row>
    <row r="10953" spans="3:4" x14ac:dyDescent="0.35">
      <c r="C10953" s="51"/>
      <c r="D10953" s="51"/>
    </row>
    <row r="10954" spans="3:4" x14ac:dyDescent="0.35">
      <c r="C10954" s="51"/>
      <c r="D10954" s="51"/>
    </row>
    <row r="10955" spans="3:4" x14ac:dyDescent="0.35">
      <c r="C10955" s="51"/>
      <c r="D10955" s="51"/>
    </row>
    <row r="10956" spans="3:4" x14ac:dyDescent="0.35">
      <c r="C10956" s="51"/>
      <c r="D10956" s="51"/>
    </row>
    <row r="10957" spans="3:4" x14ac:dyDescent="0.35">
      <c r="C10957" s="51"/>
      <c r="D10957" s="51"/>
    </row>
    <row r="10958" spans="3:4" x14ac:dyDescent="0.35">
      <c r="C10958" s="51"/>
      <c r="D10958" s="51"/>
    </row>
    <row r="10959" spans="3:4" x14ac:dyDescent="0.35">
      <c r="C10959" s="51"/>
      <c r="D10959" s="51"/>
    </row>
    <row r="10960" spans="3:4" x14ac:dyDescent="0.35">
      <c r="C10960" s="51"/>
      <c r="D10960" s="51"/>
    </row>
    <row r="10961" spans="3:4" x14ac:dyDescent="0.35">
      <c r="C10961" s="51"/>
      <c r="D10961" s="51"/>
    </row>
    <row r="10962" spans="3:4" x14ac:dyDescent="0.35">
      <c r="C10962" s="51"/>
      <c r="D10962" s="51"/>
    </row>
    <row r="10963" spans="3:4" x14ac:dyDescent="0.35">
      <c r="C10963" s="51"/>
      <c r="D10963" s="51"/>
    </row>
    <row r="10964" spans="3:4" x14ac:dyDescent="0.35">
      <c r="C10964" s="51"/>
      <c r="D10964" s="51"/>
    </row>
    <row r="10965" spans="3:4" x14ac:dyDescent="0.35">
      <c r="C10965" s="51"/>
      <c r="D10965" s="51"/>
    </row>
    <row r="10966" spans="3:4" x14ac:dyDescent="0.35">
      <c r="C10966" s="51"/>
      <c r="D10966" s="51"/>
    </row>
    <row r="10967" spans="3:4" x14ac:dyDescent="0.35">
      <c r="C10967" s="51"/>
      <c r="D10967" s="51"/>
    </row>
    <row r="10968" spans="3:4" x14ac:dyDescent="0.35">
      <c r="C10968" s="51"/>
      <c r="D10968" s="51"/>
    </row>
    <row r="10969" spans="3:4" x14ac:dyDescent="0.35">
      <c r="C10969" s="51"/>
      <c r="D10969" s="51"/>
    </row>
    <row r="10970" spans="3:4" x14ac:dyDescent="0.35">
      <c r="C10970" s="51"/>
      <c r="D10970" s="51"/>
    </row>
    <row r="10971" spans="3:4" x14ac:dyDescent="0.35">
      <c r="C10971" s="51"/>
      <c r="D10971" s="51"/>
    </row>
    <row r="10972" spans="3:4" x14ac:dyDescent="0.35">
      <c r="C10972" s="51"/>
      <c r="D10972" s="51"/>
    </row>
    <row r="10973" spans="3:4" x14ac:dyDescent="0.35">
      <c r="C10973" s="51"/>
      <c r="D10973" s="51"/>
    </row>
    <row r="10974" spans="3:4" x14ac:dyDescent="0.35">
      <c r="C10974" s="51"/>
      <c r="D10974" s="51"/>
    </row>
    <row r="10975" spans="3:4" x14ac:dyDescent="0.35">
      <c r="C10975" s="51"/>
      <c r="D10975" s="51"/>
    </row>
    <row r="10976" spans="3:4" x14ac:dyDescent="0.35">
      <c r="C10976" s="51"/>
      <c r="D10976" s="51"/>
    </row>
    <row r="10977" spans="3:4" x14ac:dyDescent="0.35">
      <c r="C10977" s="51"/>
      <c r="D10977" s="51"/>
    </row>
    <row r="10978" spans="3:4" x14ac:dyDescent="0.35">
      <c r="C10978" s="51"/>
      <c r="D10978" s="51"/>
    </row>
    <row r="10979" spans="3:4" x14ac:dyDescent="0.35">
      <c r="C10979" s="51"/>
      <c r="D10979" s="51"/>
    </row>
    <row r="10980" spans="3:4" x14ac:dyDescent="0.35">
      <c r="C10980" s="51"/>
      <c r="D10980" s="51"/>
    </row>
    <row r="10981" spans="3:4" x14ac:dyDescent="0.35">
      <c r="C10981" s="51"/>
      <c r="D10981" s="51"/>
    </row>
    <row r="10982" spans="3:4" x14ac:dyDescent="0.35">
      <c r="C10982" s="51"/>
      <c r="D10982" s="51"/>
    </row>
    <row r="10983" spans="3:4" x14ac:dyDescent="0.35">
      <c r="C10983" s="51"/>
      <c r="D10983" s="51"/>
    </row>
    <row r="10984" spans="3:4" x14ac:dyDescent="0.35">
      <c r="C10984" s="51"/>
      <c r="D10984" s="51"/>
    </row>
    <row r="10985" spans="3:4" x14ac:dyDescent="0.35">
      <c r="C10985" s="51"/>
      <c r="D10985" s="51"/>
    </row>
    <row r="10986" spans="3:4" x14ac:dyDescent="0.35">
      <c r="C10986" s="51"/>
      <c r="D10986" s="51"/>
    </row>
    <row r="10987" spans="3:4" x14ac:dyDescent="0.35">
      <c r="C10987" s="51"/>
      <c r="D10987" s="51"/>
    </row>
    <row r="10988" spans="3:4" x14ac:dyDescent="0.35">
      <c r="C10988" s="51"/>
      <c r="D10988" s="51"/>
    </row>
    <row r="10989" spans="3:4" x14ac:dyDescent="0.35">
      <c r="C10989" s="51"/>
      <c r="D10989" s="51"/>
    </row>
    <row r="10990" spans="3:4" x14ac:dyDescent="0.35">
      <c r="C10990" s="51"/>
      <c r="D10990" s="51"/>
    </row>
    <row r="10991" spans="3:4" x14ac:dyDescent="0.35">
      <c r="C10991" s="51"/>
      <c r="D10991" s="51"/>
    </row>
    <row r="10992" spans="3:4" x14ac:dyDescent="0.35">
      <c r="C10992" s="51"/>
      <c r="D10992" s="51"/>
    </row>
    <row r="10993" spans="3:4" x14ac:dyDescent="0.35">
      <c r="C10993" s="51"/>
      <c r="D10993" s="51"/>
    </row>
    <row r="10994" spans="3:4" x14ac:dyDescent="0.35">
      <c r="C10994" s="51"/>
      <c r="D10994" s="51"/>
    </row>
    <row r="10995" spans="3:4" x14ac:dyDescent="0.35">
      <c r="C10995" s="51"/>
      <c r="D10995" s="51"/>
    </row>
    <row r="10996" spans="3:4" x14ac:dyDescent="0.35">
      <c r="C10996" s="51"/>
      <c r="D10996" s="51"/>
    </row>
    <row r="10997" spans="3:4" x14ac:dyDescent="0.35">
      <c r="C10997" s="51"/>
      <c r="D10997" s="51"/>
    </row>
    <row r="10998" spans="3:4" x14ac:dyDescent="0.35">
      <c r="C10998" s="51"/>
      <c r="D10998" s="51"/>
    </row>
    <row r="10999" spans="3:4" x14ac:dyDescent="0.35">
      <c r="C10999" s="51"/>
      <c r="D10999" s="51"/>
    </row>
    <row r="11000" spans="3:4" x14ac:dyDescent="0.35">
      <c r="C11000" s="51"/>
      <c r="D11000" s="51"/>
    </row>
    <row r="11001" spans="3:4" x14ac:dyDescent="0.35">
      <c r="C11001" s="51"/>
      <c r="D11001" s="51"/>
    </row>
    <row r="11002" spans="3:4" x14ac:dyDescent="0.35">
      <c r="C11002" s="51"/>
      <c r="D11002" s="51"/>
    </row>
    <row r="11003" spans="3:4" x14ac:dyDescent="0.35">
      <c r="C11003" s="51"/>
      <c r="D11003" s="51"/>
    </row>
    <row r="11004" spans="3:4" x14ac:dyDescent="0.35">
      <c r="C11004" s="51"/>
      <c r="D11004" s="51"/>
    </row>
    <row r="11005" spans="3:4" x14ac:dyDescent="0.35">
      <c r="C11005" s="51"/>
      <c r="D11005" s="51"/>
    </row>
    <row r="11006" spans="3:4" x14ac:dyDescent="0.35">
      <c r="C11006" s="51"/>
      <c r="D11006" s="51"/>
    </row>
    <row r="11007" spans="3:4" x14ac:dyDescent="0.35">
      <c r="C11007" s="51"/>
      <c r="D11007" s="51"/>
    </row>
    <row r="11008" spans="3:4" x14ac:dyDescent="0.35">
      <c r="C11008" s="51"/>
      <c r="D11008" s="51"/>
    </row>
    <row r="11009" spans="3:4" x14ac:dyDescent="0.35">
      <c r="C11009" s="51"/>
      <c r="D11009" s="51"/>
    </row>
    <row r="11010" spans="3:4" x14ac:dyDescent="0.35">
      <c r="C11010" s="51"/>
      <c r="D11010" s="51"/>
    </row>
    <row r="11011" spans="3:4" x14ac:dyDescent="0.35">
      <c r="C11011" s="51"/>
      <c r="D11011" s="51"/>
    </row>
    <row r="11012" spans="3:4" x14ac:dyDescent="0.35">
      <c r="C11012" s="51"/>
      <c r="D11012" s="51"/>
    </row>
    <row r="11013" spans="3:4" x14ac:dyDescent="0.35">
      <c r="C11013" s="51"/>
      <c r="D11013" s="51"/>
    </row>
    <row r="11014" spans="3:4" x14ac:dyDescent="0.35">
      <c r="C11014" s="51"/>
      <c r="D11014" s="51"/>
    </row>
    <row r="11015" spans="3:4" x14ac:dyDescent="0.35">
      <c r="C11015" s="51"/>
      <c r="D11015" s="51"/>
    </row>
    <row r="11016" spans="3:4" x14ac:dyDescent="0.35">
      <c r="C11016" s="51"/>
      <c r="D11016" s="51"/>
    </row>
    <row r="11017" spans="3:4" x14ac:dyDescent="0.35">
      <c r="C11017" s="51"/>
      <c r="D11017" s="51"/>
    </row>
    <row r="11018" spans="3:4" x14ac:dyDescent="0.35">
      <c r="C11018" s="51"/>
      <c r="D11018" s="51"/>
    </row>
    <row r="11019" spans="3:4" x14ac:dyDescent="0.35">
      <c r="C11019" s="51"/>
      <c r="D11019" s="51"/>
    </row>
    <row r="11020" spans="3:4" x14ac:dyDescent="0.35">
      <c r="C11020" s="51"/>
      <c r="D11020" s="51"/>
    </row>
    <row r="11021" spans="3:4" x14ac:dyDescent="0.35">
      <c r="C11021" s="51"/>
      <c r="D11021" s="51"/>
    </row>
    <row r="11022" spans="3:4" x14ac:dyDescent="0.35">
      <c r="C11022" s="51"/>
      <c r="D11022" s="51"/>
    </row>
    <row r="11023" spans="3:4" x14ac:dyDescent="0.35">
      <c r="C11023" s="51"/>
      <c r="D11023" s="51"/>
    </row>
    <row r="11024" spans="3:4" x14ac:dyDescent="0.35">
      <c r="C11024" s="51"/>
      <c r="D11024" s="51"/>
    </row>
    <row r="11025" spans="3:4" x14ac:dyDescent="0.35">
      <c r="C11025" s="51"/>
      <c r="D11025" s="51"/>
    </row>
    <row r="11026" spans="3:4" x14ac:dyDescent="0.35">
      <c r="C11026" s="51"/>
      <c r="D11026" s="51"/>
    </row>
    <row r="11027" spans="3:4" x14ac:dyDescent="0.35">
      <c r="C11027" s="51"/>
      <c r="D11027" s="51"/>
    </row>
    <row r="11028" spans="3:4" x14ac:dyDescent="0.35">
      <c r="C11028" s="51"/>
      <c r="D11028" s="51"/>
    </row>
    <row r="11029" spans="3:4" x14ac:dyDescent="0.35">
      <c r="C11029" s="51"/>
      <c r="D11029" s="51"/>
    </row>
    <row r="11030" spans="3:4" x14ac:dyDescent="0.35">
      <c r="C11030" s="51"/>
      <c r="D11030" s="51"/>
    </row>
    <row r="11031" spans="3:4" x14ac:dyDescent="0.35">
      <c r="C11031" s="51"/>
      <c r="D11031" s="51"/>
    </row>
    <row r="11032" spans="3:4" x14ac:dyDescent="0.35">
      <c r="C11032" s="51"/>
      <c r="D11032" s="51"/>
    </row>
    <row r="11033" spans="3:4" x14ac:dyDescent="0.35">
      <c r="C11033" s="51"/>
      <c r="D11033" s="51"/>
    </row>
    <row r="11034" spans="3:4" x14ac:dyDescent="0.35">
      <c r="C11034" s="51"/>
      <c r="D11034" s="51"/>
    </row>
    <row r="11035" spans="3:4" x14ac:dyDescent="0.35">
      <c r="C11035" s="51"/>
      <c r="D11035" s="51"/>
    </row>
    <row r="11036" spans="3:4" x14ac:dyDescent="0.35">
      <c r="C11036" s="51"/>
      <c r="D11036" s="51"/>
    </row>
    <row r="11037" spans="3:4" x14ac:dyDescent="0.35">
      <c r="C11037" s="51"/>
      <c r="D11037" s="51"/>
    </row>
    <row r="11038" spans="3:4" x14ac:dyDescent="0.35">
      <c r="C11038" s="51"/>
      <c r="D11038" s="51"/>
    </row>
    <row r="11039" spans="3:4" x14ac:dyDescent="0.35">
      <c r="C11039" s="51"/>
      <c r="D11039" s="51"/>
    </row>
    <row r="11040" spans="3:4" x14ac:dyDescent="0.35">
      <c r="C11040" s="51"/>
      <c r="D11040" s="51"/>
    </row>
    <row r="11041" spans="3:4" x14ac:dyDescent="0.35">
      <c r="C11041" s="51"/>
      <c r="D11041" s="51"/>
    </row>
    <row r="11042" spans="3:4" x14ac:dyDescent="0.35">
      <c r="C11042" s="51"/>
      <c r="D11042" s="51"/>
    </row>
    <row r="11043" spans="3:4" x14ac:dyDescent="0.35">
      <c r="C11043" s="51"/>
      <c r="D11043" s="51"/>
    </row>
    <row r="11044" spans="3:4" x14ac:dyDescent="0.35">
      <c r="C11044" s="51"/>
      <c r="D11044" s="51"/>
    </row>
    <row r="11045" spans="3:4" x14ac:dyDescent="0.35">
      <c r="C11045" s="51"/>
      <c r="D11045" s="51"/>
    </row>
    <row r="11046" spans="3:4" x14ac:dyDescent="0.35">
      <c r="C11046" s="51"/>
      <c r="D11046" s="51"/>
    </row>
    <row r="11047" spans="3:4" x14ac:dyDescent="0.35">
      <c r="C11047" s="51"/>
      <c r="D11047" s="51"/>
    </row>
    <row r="11048" spans="3:4" x14ac:dyDescent="0.35">
      <c r="C11048" s="51"/>
      <c r="D11048" s="51"/>
    </row>
    <row r="11049" spans="3:4" x14ac:dyDescent="0.35">
      <c r="C11049" s="51"/>
      <c r="D11049" s="51"/>
    </row>
    <row r="11050" spans="3:4" x14ac:dyDescent="0.35">
      <c r="C11050" s="51"/>
      <c r="D11050" s="51"/>
    </row>
    <row r="11051" spans="3:4" x14ac:dyDescent="0.35">
      <c r="C11051" s="51"/>
      <c r="D11051" s="51"/>
    </row>
    <row r="11052" spans="3:4" x14ac:dyDescent="0.35">
      <c r="C11052" s="51"/>
      <c r="D11052" s="51"/>
    </row>
    <row r="11053" spans="3:4" x14ac:dyDescent="0.35">
      <c r="C11053" s="51"/>
      <c r="D11053" s="51"/>
    </row>
    <row r="11054" spans="3:4" x14ac:dyDescent="0.35">
      <c r="C11054" s="51"/>
      <c r="D11054" s="51"/>
    </row>
    <row r="11055" spans="3:4" x14ac:dyDescent="0.35">
      <c r="C11055" s="51"/>
      <c r="D11055" s="51"/>
    </row>
    <row r="11056" spans="3:4" x14ac:dyDescent="0.35">
      <c r="C11056" s="51"/>
      <c r="D11056" s="51"/>
    </row>
    <row r="11057" spans="3:4" x14ac:dyDescent="0.35">
      <c r="C11057" s="51"/>
      <c r="D11057" s="51"/>
    </row>
    <row r="11058" spans="3:4" x14ac:dyDescent="0.35">
      <c r="C11058" s="51"/>
      <c r="D11058" s="51"/>
    </row>
    <row r="11059" spans="3:4" x14ac:dyDescent="0.35">
      <c r="C11059" s="51"/>
      <c r="D11059" s="51"/>
    </row>
    <row r="11060" spans="3:4" x14ac:dyDescent="0.35">
      <c r="C11060" s="51"/>
      <c r="D11060" s="51"/>
    </row>
    <row r="11061" spans="3:4" x14ac:dyDescent="0.35">
      <c r="C11061" s="51"/>
      <c r="D11061" s="51"/>
    </row>
    <row r="11062" spans="3:4" x14ac:dyDescent="0.35">
      <c r="C11062" s="51"/>
      <c r="D11062" s="51"/>
    </row>
    <row r="11063" spans="3:4" x14ac:dyDescent="0.35">
      <c r="C11063" s="51"/>
      <c r="D11063" s="51"/>
    </row>
    <row r="11064" spans="3:4" x14ac:dyDescent="0.35">
      <c r="C11064" s="51"/>
      <c r="D11064" s="51"/>
    </row>
    <row r="11065" spans="3:4" x14ac:dyDescent="0.35">
      <c r="C11065" s="51"/>
      <c r="D11065" s="51"/>
    </row>
    <row r="11066" spans="3:4" x14ac:dyDescent="0.35">
      <c r="C11066" s="51"/>
      <c r="D11066" s="51"/>
    </row>
    <row r="11067" spans="3:4" x14ac:dyDescent="0.35">
      <c r="C11067" s="51"/>
      <c r="D11067" s="51"/>
    </row>
    <row r="11068" spans="3:4" x14ac:dyDescent="0.35">
      <c r="C11068" s="51"/>
      <c r="D11068" s="51"/>
    </row>
    <row r="11069" spans="3:4" x14ac:dyDescent="0.35">
      <c r="C11069" s="51"/>
      <c r="D11069" s="51"/>
    </row>
    <row r="11070" spans="3:4" x14ac:dyDescent="0.35">
      <c r="C11070" s="51"/>
      <c r="D11070" s="51"/>
    </row>
    <row r="11071" spans="3:4" x14ac:dyDescent="0.35">
      <c r="C11071" s="51"/>
      <c r="D11071" s="51"/>
    </row>
    <row r="11072" spans="3:4" x14ac:dyDescent="0.35">
      <c r="C11072" s="51"/>
      <c r="D11072" s="51"/>
    </row>
    <row r="11073" spans="3:4" x14ac:dyDescent="0.35">
      <c r="C11073" s="51"/>
      <c r="D11073" s="51"/>
    </row>
    <row r="11074" spans="3:4" x14ac:dyDescent="0.35">
      <c r="C11074" s="51"/>
      <c r="D11074" s="51"/>
    </row>
    <row r="11075" spans="3:4" x14ac:dyDescent="0.35">
      <c r="C11075" s="51"/>
      <c r="D11075" s="51"/>
    </row>
    <row r="11076" spans="3:4" x14ac:dyDescent="0.35">
      <c r="C11076" s="51"/>
      <c r="D11076" s="51"/>
    </row>
    <row r="11077" spans="3:4" x14ac:dyDescent="0.35">
      <c r="C11077" s="51"/>
      <c r="D11077" s="51"/>
    </row>
    <row r="11078" spans="3:4" x14ac:dyDescent="0.35">
      <c r="C11078" s="51"/>
      <c r="D11078" s="51"/>
    </row>
    <row r="11079" spans="3:4" x14ac:dyDescent="0.35">
      <c r="C11079" s="51"/>
      <c r="D11079" s="51"/>
    </row>
    <row r="11080" spans="3:4" x14ac:dyDescent="0.35">
      <c r="C11080" s="51"/>
      <c r="D11080" s="51"/>
    </row>
    <row r="11081" spans="3:4" x14ac:dyDescent="0.35">
      <c r="C11081" s="51"/>
      <c r="D11081" s="51"/>
    </row>
    <row r="11082" spans="3:4" x14ac:dyDescent="0.35">
      <c r="C11082" s="51"/>
      <c r="D11082" s="51"/>
    </row>
    <row r="11083" spans="3:4" x14ac:dyDescent="0.35">
      <c r="C11083" s="51"/>
      <c r="D11083" s="51"/>
    </row>
    <row r="11084" spans="3:4" x14ac:dyDescent="0.35">
      <c r="C11084" s="51"/>
      <c r="D11084" s="51"/>
    </row>
    <row r="11085" spans="3:4" x14ac:dyDescent="0.35">
      <c r="C11085" s="51"/>
      <c r="D11085" s="51"/>
    </row>
    <row r="11086" spans="3:4" x14ac:dyDescent="0.35">
      <c r="C11086" s="51"/>
      <c r="D11086" s="51"/>
    </row>
    <row r="11087" spans="3:4" x14ac:dyDescent="0.35">
      <c r="C11087" s="51"/>
      <c r="D11087" s="51"/>
    </row>
    <row r="11088" spans="3:4" x14ac:dyDescent="0.35">
      <c r="C11088" s="51"/>
      <c r="D11088" s="51"/>
    </row>
    <row r="11089" spans="3:4" x14ac:dyDescent="0.35">
      <c r="C11089" s="51"/>
      <c r="D11089" s="51"/>
    </row>
    <row r="11090" spans="3:4" x14ac:dyDescent="0.35">
      <c r="C11090" s="51"/>
      <c r="D11090" s="51"/>
    </row>
    <row r="11091" spans="3:4" x14ac:dyDescent="0.35">
      <c r="C11091" s="51"/>
      <c r="D11091" s="51"/>
    </row>
    <row r="11092" spans="3:4" x14ac:dyDescent="0.35">
      <c r="C11092" s="51"/>
      <c r="D11092" s="51"/>
    </row>
    <row r="11093" spans="3:4" x14ac:dyDescent="0.35">
      <c r="C11093" s="51"/>
      <c r="D11093" s="51"/>
    </row>
    <row r="11094" spans="3:4" x14ac:dyDescent="0.35">
      <c r="C11094" s="51"/>
      <c r="D11094" s="51"/>
    </row>
    <row r="11095" spans="3:4" x14ac:dyDescent="0.35">
      <c r="C11095" s="51"/>
      <c r="D11095" s="51"/>
    </row>
    <row r="11096" spans="3:4" x14ac:dyDescent="0.35">
      <c r="C11096" s="51"/>
      <c r="D11096" s="51"/>
    </row>
    <row r="11097" spans="3:4" x14ac:dyDescent="0.35">
      <c r="C11097" s="51"/>
      <c r="D11097" s="51"/>
    </row>
    <row r="11098" spans="3:4" x14ac:dyDescent="0.35">
      <c r="C11098" s="51"/>
      <c r="D11098" s="51"/>
    </row>
    <row r="11099" spans="3:4" x14ac:dyDescent="0.35">
      <c r="C11099" s="51"/>
      <c r="D11099" s="51"/>
    </row>
    <row r="11100" spans="3:4" x14ac:dyDescent="0.35">
      <c r="C11100" s="51"/>
      <c r="D11100" s="51"/>
    </row>
    <row r="11101" spans="3:4" x14ac:dyDescent="0.35">
      <c r="C11101" s="51"/>
      <c r="D11101" s="51"/>
    </row>
    <row r="11102" spans="3:4" x14ac:dyDescent="0.35">
      <c r="C11102" s="51"/>
      <c r="D11102" s="51"/>
    </row>
    <row r="11103" spans="3:4" x14ac:dyDescent="0.35">
      <c r="C11103" s="51"/>
      <c r="D11103" s="51"/>
    </row>
    <row r="11104" spans="3:4" x14ac:dyDescent="0.35">
      <c r="C11104" s="51"/>
      <c r="D11104" s="51"/>
    </row>
    <row r="11105" spans="3:4" x14ac:dyDescent="0.35">
      <c r="C11105" s="51"/>
      <c r="D11105" s="51"/>
    </row>
    <row r="11106" spans="3:4" x14ac:dyDescent="0.35">
      <c r="C11106" s="51"/>
      <c r="D11106" s="51"/>
    </row>
    <row r="11107" spans="3:4" x14ac:dyDescent="0.35">
      <c r="C11107" s="51"/>
      <c r="D11107" s="51"/>
    </row>
    <row r="11108" spans="3:4" x14ac:dyDescent="0.35">
      <c r="C11108" s="51"/>
      <c r="D11108" s="51"/>
    </row>
    <row r="11109" spans="3:4" x14ac:dyDescent="0.35">
      <c r="C11109" s="51"/>
      <c r="D11109" s="51"/>
    </row>
    <row r="11110" spans="3:4" x14ac:dyDescent="0.35">
      <c r="C11110" s="51"/>
      <c r="D11110" s="51"/>
    </row>
    <row r="11111" spans="3:4" x14ac:dyDescent="0.35">
      <c r="C11111" s="51"/>
      <c r="D11111" s="51"/>
    </row>
    <row r="11112" spans="3:4" x14ac:dyDescent="0.35">
      <c r="C11112" s="51"/>
      <c r="D11112" s="51"/>
    </row>
    <row r="11113" spans="3:4" x14ac:dyDescent="0.35">
      <c r="C11113" s="51"/>
      <c r="D11113" s="51"/>
    </row>
    <row r="11114" spans="3:4" x14ac:dyDescent="0.35">
      <c r="C11114" s="51"/>
      <c r="D11114" s="51"/>
    </row>
    <row r="11115" spans="3:4" x14ac:dyDescent="0.35">
      <c r="C11115" s="51"/>
      <c r="D11115" s="51"/>
    </row>
    <row r="11116" spans="3:4" x14ac:dyDescent="0.35">
      <c r="C11116" s="51"/>
      <c r="D11116" s="51"/>
    </row>
    <row r="11117" spans="3:4" x14ac:dyDescent="0.35">
      <c r="C11117" s="51"/>
      <c r="D11117" s="51"/>
    </row>
    <row r="11118" spans="3:4" x14ac:dyDescent="0.35">
      <c r="C11118" s="51"/>
      <c r="D11118" s="51"/>
    </row>
    <row r="11119" spans="3:4" x14ac:dyDescent="0.35">
      <c r="C11119" s="51"/>
      <c r="D11119" s="51"/>
    </row>
    <row r="11120" spans="3:4" x14ac:dyDescent="0.35">
      <c r="C11120" s="51"/>
      <c r="D11120" s="51"/>
    </row>
    <row r="11121" spans="3:4" x14ac:dyDescent="0.35">
      <c r="C11121" s="51"/>
      <c r="D11121" s="51"/>
    </row>
    <row r="11122" spans="3:4" x14ac:dyDescent="0.35">
      <c r="C11122" s="51"/>
      <c r="D11122" s="51"/>
    </row>
    <row r="11123" spans="3:4" x14ac:dyDescent="0.35">
      <c r="C11123" s="51"/>
      <c r="D11123" s="51"/>
    </row>
    <row r="11124" spans="3:4" x14ac:dyDescent="0.35">
      <c r="C11124" s="51"/>
      <c r="D11124" s="51"/>
    </row>
    <row r="11125" spans="3:4" x14ac:dyDescent="0.35">
      <c r="C11125" s="51"/>
      <c r="D11125" s="51"/>
    </row>
    <row r="11126" spans="3:4" x14ac:dyDescent="0.35">
      <c r="C11126" s="51"/>
      <c r="D11126" s="51"/>
    </row>
    <row r="11127" spans="3:4" x14ac:dyDescent="0.35">
      <c r="C11127" s="51"/>
      <c r="D11127" s="51"/>
    </row>
    <row r="11128" spans="3:4" x14ac:dyDescent="0.35">
      <c r="C11128" s="51"/>
      <c r="D11128" s="51"/>
    </row>
    <row r="11129" spans="3:4" x14ac:dyDescent="0.35">
      <c r="C11129" s="51"/>
      <c r="D11129" s="51"/>
    </row>
    <row r="11130" spans="3:4" x14ac:dyDescent="0.35">
      <c r="C11130" s="51"/>
      <c r="D11130" s="51"/>
    </row>
    <row r="11131" spans="3:4" x14ac:dyDescent="0.35">
      <c r="C11131" s="51"/>
      <c r="D11131" s="51"/>
    </row>
    <row r="11132" spans="3:4" x14ac:dyDescent="0.35">
      <c r="C11132" s="51"/>
      <c r="D11132" s="51"/>
    </row>
    <row r="11133" spans="3:4" x14ac:dyDescent="0.35">
      <c r="C11133" s="51"/>
      <c r="D11133" s="51"/>
    </row>
    <row r="11134" spans="3:4" x14ac:dyDescent="0.35">
      <c r="C11134" s="51"/>
      <c r="D11134" s="51"/>
    </row>
    <row r="11135" spans="3:4" x14ac:dyDescent="0.35">
      <c r="C11135" s="51"/>
      <c r="D11135" s="51"/>
    </row>
    <row r="11136" spans="3:4" x14ac:dyDescent="0.35">
      <c r="C11136" s="51"/>
      <c r="D11136" s="51"/>
    </row>
    <row r="11137" spans="3:4" x14ac:dyDescent="0.35">
      <c r="C11137" s="51"/>
      <c r="D11137" s="51"/>
    </row>
    <row r="11138" spans="3:4" x14ac:dyDescent="0.35">
      <c r="C11138" s="51"/>
      <c r="D11138" s="51"/>
    </row>
    <row r="11139" spans="3:4" x14ac:dyDescent="0.35">
      <c r="C11139" s="51"/>
      <c r="D11139" s="51"/>
    </row>
    <row r="11140" spans="3:4" x14ac:dyDescent="0.35">
      <c r="C11140" s="51"/>
      <c r="D11140" s="51"/>
    </row>
    <row r="11141" spans="3:4" x14ac:dyDescent="0.35">
      <c r="C11141" s="51"/>
      <c r="D11141" s="51"/>
    </row>
    <row r="11142" spans="3:4" x14ac:dyDescent="0.35">
      <c r="C11142" s="51"/>
      <c r="D11142" s="51"/>
    </row>
    <row r="11143" spans="3:4" x14ac:dyDescent="0.35">
      <c r="C11143" s="51"/>
      <c r="D11143" s="51"/>
    </row>
    <row r="11144" spans="3:4" x14ac:dyDescent="0.35">
      <c r="C11144" s="51"/>
      <c r="D11144" s="51"/>
    </row>
    <row r="11145" spans="3:4" x14ac:dyDescent="0.35">
      <c r="C11145" s="51"/>
      <c r="D11145" s="51"/>
    </row>
    <row r="11146" spans="3:4" x14ac:dyDescent="0.35">
      <c r="C11146" s="51"/>
      <c r="D11146" s="51"/>
    </row>
    <row r="11147" spans="3:4" x14ac:dyDescent="0.35">
      <c r="C11147" s="51"/>
      <c r="D11147" s="51"/>
    </row>
    <row r="11148" spans="3:4" x14ac:dyDescent="0.35">
      <c r="C11148" s="51"/>
      <c r="D11148" s="51"/>
    </row>
    <row r="11149" spans="3:4" x14ac:dyDescent="0.35">
      <c r="C11149" s="51"/>
      <c r="D11149" s="51"/>
    </row>
    <row r="11150" spans="3:4" x14ac:dyDescent="0.35">
      <c r="C11150" s="51"/>
      <c r="D11150" s="51"/>
    </row>
    <row r="11151" spans="3:4" x14ac:dyDescent="0.35">
      <c r="C11151" s="51"/>
      <c r="D11151" s="51"/>
    </row>
    <row r="11152" spans="3:4" x14ac:dyDescent="0.35">
      <c r="C11152" s="51"/>
      <c r="D11152" s="51"/>
    </row>
    <row r="11153" spans="3:4" x14ac:dyDescent="0.35">
      <c r="C11153" s="51"/>
      <c r="D11153" s="51"/>
    </row>
    <row r="11154" spans="3:4" x14ac:dyDescent="0.35">
      <c r="C11154" s="51"/>
      <c r="D11154" s="51"/>
    </row>
    <row r="11155" spans="3:4" x14ac:dyDescent="0.35">
      <c r="C11155" s="51"/>
      <c r="D11155" s="51"/>
    </row>
    <row r="11156" spans="3:4" x14ac:dyDescent="0.35">
      <c r="C11156" s="51"/>
      <c r="D11156" s="51"/>
    </row>
    <row r="11157" spans="3:4" x14ac:dyDescent="0.35">
      <c r="C11157" s="51"/>
      <c r="D11157" s="51"/>
    </row>
    <row r="11158" spans="3:4" x14ac:dyDescent="0.35">
      <c r="C11158" s="51"/>
      <c r="D11158" s="51"/>
    </row>
    <row r="11159" spans="3:4" x14ac:dyDescent="0.35">
      <c r="C11159" s="51"/>
      <c r="D11159" s="51"/>
    </row>
    <row r="11160" spans="3:4" x14ac:dyDescent="0.35">
      <c r="C11160" s="51"/>
      <c r="D11160" s="51"/>
    </row>
    <row r="11161" spans="3:4" x14ac:dyDescent="0.35">
      <c r="C11161" s="51"/>
      <c r="D11161" s="51"/>
    </row>
    <row r="11162" spans="3:4" x14ac:dyDescent="0.35">
      <c r="C11162" s="51"/>
      <c r="D11162" s="51"/>
    </row>
    <row r="11163" spans="3:4" x14ac:dyDescent="0.35">
      <c r="C11163" s="51"/>
      <c r="D11163" s="51"/>
    </row>
    <row r="11164" spans="3:4" x14ac:dyDescent="0.35">
      <c r="C11164" s="51"/>
      <c r="D11164" s="51"/>
    </row>
    <row r="11165" spans="3:4" x14ac:dyDescent="0.35">
      <c r="C11165" s="51"/>
      <c r="D11165" s="51"/>
    </row>
    <row r="11166" spans="3:4" x14ac:dyDescent="0.35">
      <c r="C11166" s="51"/>
      <c r="D11166" s="51"/>
    </row>
    <row r="11167" spans="3:4" x14ac:dyDescent="0.35">
      <c r="C11167" s="51"/>
      <c r="D11167" s="51"/>
    </row>
    <row r="11168" spans="3:4" x14ac:dyDescent="0.35">
      <c r="C11168" s="51"/>
      <c r="D11168" s="51"/>
    </row>
    <row r="11169" spans="3:4" x14ac:dyDescent="0.35">
      <c r="C11169" s="51"/>
      <c r="D11169" s="51"/>
    </row>
    <row r="11170" spans="3:4" x14ac:dyDescent="0.35">
      <c r="C11170" s="51"/>
      <c r="D11170" s="51"/>
    </row>
    <row r="11171" spans="3:4" x14ac:dyDescent="0.35">
      <c r="C11171" s="51"/>
      <c r="D11171" s="51"/>
    </row>
    <row r="11172" spans="3:4" x14ac:dyDescent="0.35">
      <c r="C11172" s="51"/>
      <c r="D11172" s="51"/>
    </row>
    <row r="11173" spans="3:4" x14ac:dyDescent="0.35">
      <c r="C11173" s="51"/>
      <c r="D11173" s="51"/>
    </row>
    <row r="11174" spans="3:4" x14ac:dyDescent="0.35">
      <c r="C11174" s="51"/>
      <c r="D11174" s="51"/>
    </row>
    <row r="11175" spans="3:4" x14ac:dyDescent="0.35">
      <c r="C11175" s="51"/>
      <c r="D11175" s="51"/>
    </row>
    <row r="11176" spans="3:4" x14ac:dyDescent="0.35">
      <c r="C11176" s="51"/>
      <c r="D11176" s="51"/>
    </row>
    <row r="11177" spans="3:4" x14ac:dyDescent="0.35">
      <c r="C11177" s="51"/>
      <c r="D11177" s="51"/>
    </row>
    <row r="11178" spans="3:4" x14ac:dyDescent="0.35">
      <c r="C11178" s="51"/>
      <c r="D11178" s="51"/>
    </row>
    <row r="11179" spans="3:4" x14ac:dyDescent="0.35">
      <c r="C11179" s="51"/>
      <c r="D11179" s="51"/>
    </row>
    <row r="11180" spans="3:4" x14ac:dyDescent="0.35">
      <c r="C11180" s="51"/>
      <c r="D11180" s="51"/>
    </row>
    <row r="11181" spans="3:4" x14ac:dyDescent="0.35">
      <c r="C11181" s="51"/>
      <c r="D11181" s="51"/>
    </row>
    <row r="11182" spans="3:4" x14ac:dyDescent="0.35">
      <c r="C11182" s="51"/>
      <c r="D11182" s="51"/>
    </row>
    <row r="11183" spans="3:4" x14ac:dyDescent="0.35">
      <c r="C11183" s="51"/>
      <c r="D11183" s="51"/>
    </row>
    <row r="11184" spans="3:4" x14ac:dyDescent="0.35">
      <c r="C11184" s="51"/>
      <c r="D11184" s="51"/>
    </row>
    <row r="11185" spans="3:4" x14ac:dyDescent="0.35">
      <c r="C11185" s="51"/>
      <c r="D11185" s="51"/>
    </row>
    <row r="11186" spans="3:4" x14ac:dyDescent="0.35">
      <c r="C11186" s="51"/>
      <c r="D11186" s="51"/>
    </row>
    <row r="11187" spans="3:4" x14ac:dyDescent="0.35">
      <c r="C11187" s="51"/>
      <c r="D11187" s="51"/>
    </row>
    <row r="11188" spans="3:4" x14ac:dyDescent="0.35">
      <c r="C11188" s="51"/>
      <c r="D11188" s="51"/>
    </row>
    <row r="11189" spans="3:4" x14ac:dyDescent="0.35">
      <c r="C11189" s="51"/>
      <c r="D11189" s="51"/>
    </row>
    <row r="11190" spans="3:4" x14ac:dyDescent="0.35">
      <c r="C11190" s="51"/>
      <c r="D11190" s="51"/>
    </row>
    <row r="11191" spans="3:4" x14ac:dyDescent="0.35">
      <c r="C11191" s="51"/>
      <c r="D11191" s="51"/>
    </row>
    <row r="11192" spans="3:4" x14ac:dyDescent="0.35">
      <c r="C11192" s="51"/>
      <c r="D11192" s="51"/>
    </row>
    <row r="11193" spans="3:4" x14ac:dyDescent="0.35">
      <c r="C11193" s="51"/>
      <c r="D11193" s="51"/>
    </row>
    <row r="11194" spans="3:4" x14ac:dyDescent="0.35">
      <c r="C11194" s="51"/>
      <c r="D11194" s="51"/>
    </row>
    <row r="11195" spans="3:4" x14ac:dyDescent="0.35">
      <c r="C11195" s="51"/>
      <c r="D11195" s="51"/>
    </row>
    <row r="11196" spans="3:4" x14ac:dyDescent="0.35">
      <c r="C11196" s="51"/>
      <c r="D11196" s="51"/>
    </row>
    <row r="11197" spans="3:4" x14ac:dyDescent="0.35">
      <c r="C11197" s="51"/>
      <c r="D11197" s="51"/>
    </row>
    <row r="11198" spans="3:4" x14ac:dyDescent="0.35">
      <c r="C11198" s="51"/>
      <c r="D11198" s="51"/>
    </row>
    <row r="11199" spans="3:4" x14ac:dyDescent="0.35">
      <c r="C11199" s="51"/>
      <c r="D11199" s="51"/>
    </row>
    <row r="11200" spans="3:4" x14ac:dyDescent="0.35">
      <c r="C11200" s="51"/>
      <c r="D11200" s="51"/>
    </row>
    <row r="11201" spans="3:4" x14ac:dyDescent="0.35">
      <c r="C11201" s="51"/>
      <c r="D11201" s="51"/>
    </row>
    <row r="11202" spans="3:4" x14ac:dyDescent="0.35">
      <c r="C11202" s="51"/>
      <c r="D11202" s="51"/>
    </row>
    <row r="11203" spans="3:4" x14ac:dyDescent="0.35">
      <c r="C11203" s="51"/>
      <c r="D11203" s="51"/>
    </row>
    <row r="11204" spans="3:4" x14ac:dyDescent="0.35">
      <c r="C11204" s="51"/>
      <c r="D11204" s="51"/>
    </row>
    <row r="11205" spans="3:4" x14ac:dyDescent="0.35">
      <c r="C11205" s="51"/>
      <c r="D11205" s="51"/>
    </row>
    <row r="11206" spans="3:4" x14ac:dyDescent="0.35">
      <c r="C11206" s="51"/>
      <c r="D11206" s="51"/>
    </row>
    <row r="11207" spans="3:4" x14ac:dyDescent="0.35">
      <c r="C11207" s="51"/>
      <c r="D11207" s="51"/>
    </row>
    <row r="11208" spans="3:4" x14ac:dyDescent="0.35">
      <c r="C11208" s="51"/>
      <c r="D11208" s="51"/>
    </row>
    <row r="11209" spans="3:4" x14ac:dyDescent="0.35">
      <c r="C11209" s="51"/>
      <c r="D11209" s="51"/>
    </row>
    <row r="11210" spans="3:4" x14ac:dyDescent="0.35">
      <c r="C11210" s="51"/>
      <c r="D11210" s="51"/>
    </row>
    <row r="11211" spans="3:4" x14ac:dyDescent="0.35">
      <c r="C11211" s="51"/>
      <c r="D11211" s="51"/>
    </row>
    <row r="11212" spans="3:4" x14ac:dyDescent="0.35">
      <c r="C11212" s="51"/>
      <c r="D11212" s="51"/>
    </row>
    <row r="11213" spans="3:4" x14ac:dyDescent="0.35">
      <c r="C11213" s="51"/>
      <c r="D11213" s="51"/>
    </row>
    <row r="11214" spans="3:4" x14ac:dyDescent="0.35">
      <c r="C11214" s="51"/>
      <c r="D11214" s="51"/>
    </row>
    <row r="11215" spans="3:4" x14ac:dyDescent="0.35">
      <c r="C11215" s="51"/>
      <c r="D11215" s="51"/>
    </row>
    <row r="11216" spans="3:4" x14ac:dyDescent="0.35">
      <c r="C11216" s="51"/>
      <c r="D11216" s="51"/>
    </row>
    <row r="11217" spans="3:4" x14ac:dyDescent="0.35">
      <c r="C11217" s="51"/>
      <c r="D11217" s="51"/>
    </row>
    <row r="11218" spans="3:4" x14ac:dyDescent="0.35">
      <c r="C11218" s="51"/>
      <c r="D11218" s="51"/>
    </row>
    <row r="11219" spans="3:4" x14ac:dyDescent="0.35">
      <c r="C11219" s="51"/>
      <c r="D11219" s="51"/>
    </row>
    <row r="11220" spans="3:4" x14ac:dyDescent="0.35">
      <c r="C11220" s="51"/>
      <c r="D11220" s="51"/>
    </row>
    <row r="11221" spans="3:4" x14ac:dyDescent="0.35">
      <c r="C11221" s="51"/>
      <c r="D11221" s="51"/>
    </row>
    <row r="11222" spans="3:4" x14ac:dyDescent="0.35">
      <c r="C11222" s="51"/>
      <c r="D11222" s="51"/>
    </row>
    <row r="11223" spans="3:4" x14ac:dyDescent="0.35">
      <c r="C11223" s="51"/>
      <c r="D11223" s="51"/>
    </row>
    <row r="11224" spans="3:4" x14ac:dyDescent="0.35">
      <c r="C11224" s="51"/>
      <c r="D11224" s="51"/>
    </row>
    <row r="11225" spans="3:4" x14ac:dyDescent="0.35">
      <c r="C11225" s="51"/>
      <c r="D11225" s="51"/>
    </row>
    <row r="11226" spans="3:4" x14ac:dyDescent="0.35">
      <c r="C11226" s="51"/>
      <c r="D11226" s="51"/>
    </row>
    <row r="11227" spans="3:4" x14ac:dyDescent="0.35">
      <c r="C11227" s="51"/>
      <c r="D11227" s="51"/>
    </row>
    <row r="11228" spans="3:4" x14ac:dyDescent="0.35">
      <c r="C11228" s="51"/>
      <c r="D11228" s="51"/>
    </row>
    <row r="11229" spans="3:4" x14ac:dyDescent="0.35">
      <c r="C11229" s="51"/>
      <c r="D11229" s="51"/>
    </row>
    <row r="11230" spans="3:4" x14ac:dyDescent="0.35">
      <c r="C11230" s="51"/>
      <c r="D11230" s="51"/>
    </row>
    <row r="11231" spans="3:4" x14ac:dyDescent="0.35">
      <c r="C11231" s="51"/>
      <c r="D11231" s="51"/>
    </row>
    <row r="11232" spans="3:4" x14ac:dyDescent="0.35">
      <c r="C11232" s="51"/>
      <c r="D11232" s="51"/>
    </row>
    <row r="11233" spans="3:4" x14ac:dyDescent="0.35">
      <c r="C11233" s="51"/>
      <c r="D11233" s="51"/>
    </row>
    <row r="11234" spans="3:4" x14ac:dyDescent="0.35">
      <c r="C11234" s="51"/>
      <c r="D11234" s="51"/>
    </row>
    <row r="11235" spans="3:4" x14ac:dyDescent="0.35">
      <c r="C11235" s="51"/>
      <c r="D11235" s="51"/>
    </row>
    <row r="11236" spans="3:4" x14ac:dyDescent="0.35">
      <c r="C11236" s="51"/>
      <c r="D11236" s="51"/>
    </row>
    <row r="11237" spans="3:4" x14ac:dyDescent="0.35">
      <c r="C11237" s="51"/>
      <c r="D11237" s="51"/>
    </row>
    <row r="11238" spans="3:4" x14ac:dyDescent="0.35">
      <c r="C11238" s="51"/>
      <c r="D11238" s="51"/>
    </row>
    <row r="11239" spans="3:4" x14ac:dyDescent="0.35">
      <c r="C11239" s="51"/>
      <c r="D11239" s="51"/>
    </row>
    <row r="11240" spans="3:4" x14ac:dyDescent="0.35">
      <c r="C11240" s="51"/>
      <c r="D11240" s="51"/>
    </row>
    <row r="11241" spans="3:4" x14ac:dyDescent="0.35">
      <c r="C11241" s="51"/>
      <c r="D11241" s="51"/>
    </row>
    <row r="11242" spans="3:4" x14ac:dyDescent="0.35">
      <c r="C11242" s="51"/>
      <c r="D11242" s="51"/>
    </row>
    <row r="11243" spans="3:4" x14ac:dyDescent="0.35">
      <c r="C11243" s="51"/>
      <c r="D11243" s="51"/>
    </row>
    <row r="11244" spans="3:4" x14ac:dyDescent="0.35">
      <c r="C11244" s="51"/>
      <c r="D11244" s="51"/>
    </row>
    <row r="11245" spans="3:4" x14ac:dyDescent="0.35">
      <c r="C11245" s="51"/>
      <c r="D11245" s="51"/>
    </row>
    <row r="11246" spans="3:4" x14ac:dyDescent="0.35">
      <c r="C11246" s="51"/>
      <c r="D11246" s="51"/>
    </row>
    <row r="11247" spans="3:4" x14ac:dyDescent="0.35">
      <c r="C11247" s="51"/>
      <c r="D11247" s="51"/>
    </row>
    <row r="11248" spans="3:4" x14ac:dyDescent="0.35">
      <c r="C11248" s="51"/>
      <c r="D11248" s="51"/>
    </row>
    <row r="11249" spans="3:4" x14ac:dyDescent="0.35">
      <c r="C11249" s="51"/>
      <c r="D11249" s="51"/>
    </row>
    <row r="11250" spans="3:4" x14ac:dyDescent="0.35">
      <c r="C11250" s="51"/>
      <c r="D11250" s="51"/>
    </row>
    <row r="11251" spans="3:4" x14ac:dyDescent="0.35">
      <c r="C11251" s="51"/>
      <c r="D11251" s="51"/>
    </row>
    <row r="11252" spans="3:4" x14ac:dyDescent="0.35">
      <c r="C11252" s="51"/>
      <c r="D11252" s="51"/>
    </row>
    <row r="11253" spans="3:4" x14ac:dyDescent="0.35">
      <c r="C11253" s="51"/>
      <c r="D11253" s="51"/>
    </row>
    <row r="11254" spans="3:4" x14ac:dyDescent="0.35">
      <c r="C11254" s="51"/>
      <c r="D11254" s="51"/>
    </row>
    <row r="11255" spans="3:4" x14ac:dyDescent="0.35">
      <c r="C11255" s="51"/>
      <c r="D11255" s="51"/>
    </row>
    <row r="11256" spans="3:4" x14ac:dyDescent="0.35">
      <c r="C11256" s="51"/>
      <c r="D11256" s="51"/>
    </row>
    <row r="11257" spans="3:4" x14ac:dyDescent="0.35">
      <c r="C11257" s="51"/>
      <c r="D11257" s="51"/>
    </row>
    <row r="11258" spans="3:4" x14ac:dyDescent="0.35">
      <c r="C11258" s="51"/>
      <c r="D11258" s="51"/>
    </row>
    <row r="11259" spans="3:4" x14ac:dyDescent="0.35">
      <c r="C11259" s="51"/>
      <c r="D11259" s="51"/>
    </row>
    <row r="11260" spans="3:4" x14ac:dyDescent="0.35">
      <c r="C11260" s="51"/>
      <c r="D11260" s="51"/>
    </row>
    <row r="11261" spans="3:4" x14ac:dyDescent="0.35">
      <c r="C11261" s="51"/>
      <c r="D11261" s="51"/>
    </row>
    <row r="11262" spans="3:4" x14ac:dyDescent="0.35">
      <c r="C11262" s="51"/>
      <c r="D11262" s="51"/>
    </row>
    <row r="11263" spans="3:4" x14ac:dyDescent="0.35">
      <c r="C11263" s="51"/>
      <c r="D11263" s="51"/>
    </row>
    <row r="11264" spans="3:4" x14ac:dyDescent="0.35">
      <c r="C11264" s="51"/>
      <c r="D11264" s="51"/>
    </row>
    <row r="11265" spans="3:4" x14ac:dyDescent="0.35">
      <c r="C11265" s="51"/>
      <c r="D11265" s="51"/>
    </row>
    <row r="11266" spans="3:4" x14ac:dyDescent="0.35">
      <c r="C11266" s="51"/>
      <c r="D11266" s="51"/>
    </row>
    <row r="11267" spans="3:4" x14ac:dyDescent="0.35">
      <c r="C11267" s="51"/>
      <c r="D11267" s="51"/>
    </row>
    <row r="11268" spans="3:4" x14ac:dyDescent="0.35">
      <c r="C11268" s="51"/>
      <c r="D11268" s="51"/>
    </row>
    <row r="11269" spans="3:4" x14ac:dyDescent="0.35">
      <c r="C11269" s="51"/>
      <c r="D11269" s="51"/>
    </row>
    <row r="11270" spans="3:4" x14ac:dyDescent="0.35">
      <c r="C11270" s="51"/>
      <c r="D11270" s="51"/>
    </row>
    <row r="11271" spans="3:4" x14ac:dyDescent="0.35">
      <c r="C11271" s="51"/>
      <c r="D11271" s="51"/>
    </row>
    <row r="11272" spans="3:4" x14ac:dyDescent="0.35">
      <c r="C11272" s="51"/>
      <c r="D11272" s="51"/>
    </row>
    <row r="11273" spans="3:4" x14ac:dyDescent="0.35">
      <c r="C11273" s="51"/>
      <c r="D11273" s="51"/>
    </row>
    <row r="11274" spans="3:4" x14ac:dyDescent="0.35">
      <c r="C11274" s="51"/>
      <c r="D11274" s="51"/>
    </row>
    <row r="11275" spans="3:4" x14ac:dyDescent="0.35">
      <c r="C11275" s="51"/>
      <c r="D11275" s="51"/>
    </row>
    <row r="11276" spans="3:4" x14ac:dyDescent="0.35">
      <c r="C11276" s="51"/>
      <c r="D11276" s="51"/>
    </row>
    <row r="11277" spans="3:4" x14ac:dyDescent="0.35">
      <c r="C11277" s="51"/>
      <c r="D11277" s="51"/>
    </row>
    <row r="11278" spans="3:4" x14ac:dyDescent="0.35">
      <c r="C11278" s="51"/>
      <c r="D11278" s="51"/>
    </row>
    <row r="11279" spans="3:4" x14ac:dyDescent="0.35">
      <c r="C11279" s="51"/>
      <c r="D11279" s="51"/>
    </row>
    <row r="11280" spans="3:4" x14ac:dyDescent="0.35">
      <c r="C11280" s="51"/>
      <c r="D11280" s="51"/>
    </row>
    <row r="11281" spans="3:4" x14ac:dyDescent="0.35">
      <c r="C11281" s="51"/>
      <c r="D11281" s="51"/>
    </row>
    <row r="11282" spans="3:4" x14ac:dyDescent="0.35">
      <c r="C11282" s="51"/>
      <c r="D11282" s="51"/>
    </row>
    <row r="11283" spans="3:4" x14ac:dyDescent="0.35">
      <c r="C11283" s="51"/>
      <c r="D11283" s="51"/>
    </row>
    <row r="11284" spans="3:4" x14ac:dyDescent="0.35">
      <c r="C11284" s="51"/>
      <c r="D11284" s="51"/>
    </row>
    <row r="11285" spans="3:4" x14ac:dyDescent="0.35">
      <c r="C11285" s="51"/>
      <c r="D11285" s="51"/>
    </row>
    <row r="11286" spans="3:4" x14ac:dyDescent="0.35">
      <c r="C11286" s="51"/>
      <c r="D11286" s="51"/>
    </row>
    <row r="11287" spans="3:4" x14ac:dyDescent="0.35">
      <c r="C11287" s="51"/>
      <c r="D11287" s="51"/>
    </row>
    <row r="11288" spans="3:4" x14ac:dyDescent="0.35">
      <c r="C11288" s="51"/>
      <c r="D11288" s="51"/>
    </row>
    <row r="11289" spans="3:4" x14ac:dyDescent="0.35">
      <c r="C11289" s="51"/>
      <c r="D11289" s="51"/>
    </row>
    <row r="11290" spans="3:4" x14ac:dyDescent="0.35">
      <c r="C11290" s="51"/>
      <c r="D11290" s="51"/>
    </row>
    <row r="11291" spans="3:4" x14ac:dyDescent="0.35">
      <c r="C11291" s="51"/>
      <c r="D11291" s="51"/>
    </row>
    <row r="11292" spans="3:4" x14ac:dyDescent="0.35">
      <c r="C11292" s="51"/>
      <c r="D11292" s="51"/>
    </row>
    <row r="11293" spans="3:4" x14ac:dyDescent="0.35">
      <c r="C11293" s="51"/>
      <c r="D11293" s="51"/>
    </row>
    <row r="11294" spans="3:4" x14ac:dyDescent="0.35">
      <c r="C11294" s="51"/>
      <c r="D11294" s="51"/>
    </row>
    <row r="11295" spans="3:4" x14ac:dyDescent="0.35">
      <c r="C11295" s="51"/>
      <c r="D11295" s="51"/>
    </row>
    <row r="11296" spans="3:4" x14ac:dyDescent="0.35">
      <c r="C11296" s="51"/>
      <c r="D11296" s="51"/>
    </row>
    <row r="11297" spans="3:4" x14ac:dyDescent="0.35">
      <c r="C11297" s="51"/>
      <c r="D11297" s="51"/>
    </row>
    <row r="11298" spans="3:4" x14ac:dyDescent="0.35">
      <c r="C11298" s="51"/>
      <c r="D11298" s="51"/>
    </row>
    <row r="11299" spans="3:4" x14ac:dyDescent="0.35">
      <c r="C11299" s="51"/>
      <c r="D11299" s="51"/>
    </row>
    <row r="11300" spans="3:4" x14ac:dyDescent="0.35">
      <c r="C11300" s="51"/>
      <c r="D11300" s="51"/>
    </row>
    <row r="11301" spans="3:4" x14ac:dyDescent="0.35">
      <c r="C11301" s="51"/>
      <c r="D11301" s="51"/>
    </row>
    <row r="11302" spans="3:4" x14ac:dyDescent="0.35">
      <c r="C11302" s="51"/>
      <c r="D11302" s="51"/>
    </row>
    <row r="11303" spans="3:4" x14ac:dyDescent="0.35">
      <c r="C11303" s="51"/>
      <c r="D11303" s="51"/>
    </row>
    <row r="11304" spans="3:4" x14ac:dyDescent="0.35">
      <c r="C11304" s="51"/>
      <c r="D11304" s="51"/>
    </row>
    <row r="11305" spans="3:4" x14ac:dyDescent="0.35">
      <c r="C11305" s="51"/>
      <c r="D11305" s="51"/>
    </row>
    <row r="11306" spans="3:4" x14ac:dyDescent="0.35">
      <c r="C11306" s="51"/>
      <c r="D11306" s="51"/>
    </row>
    <row r="11307" spans="3:4" x14ac:dyDescent="0.35">
      <c r="C11307" s="51"/>
      <c r="D11307" s="51"/>
    </row>
    <row r="11308" spans="3:4" x14ac:dyDescent="0.35">
      <c r="C11308" s="51"/>
      <c r="D11308" s="51"/>
    </row>
    <row r="11309" spans="3:4" x14ac:dyDescent="0.35">
      <c r="C11309" s="51"/>
      <c r="D11309" s="51"/>
    </row>
    <row r="11310" spans="3:4" x14ac:dyDescent="0.35">
      <c r="C11310" s="51"/>
      <c r="D11310" s="51"/>
    </row>
    <row r="11311" spans="3:4" x14ac:dyDescent="0.35">
      <c r="C11311" s="51"/>
      <c r="D11311" s="51"/>
    </row>
    <row r="11312" spans="3:4" x14ac:dyDescent="0.35">
      <c r="C11312" s="51"/>
      <c r="D11312" s="51"/>
    </row>
    <row r="11313" spans="3:4" x14ac:dyDescent="0.35">
      <c r="C11313" s="51"/>
      <c r="D11313" s="51"/>
    </row>
    <row r="11314" spans="3:4" x14ac:dyDescent="0.35">
      <c r="C11314" s="51"/>
      <c r="D11314" s="51"/>
    </row>
    <row r="11315" spans="3:4" x14ac:dyDescent="0.35">
      <c r="C11315" s="51"/>
      <c r="D11315" s="51"/>
    </row>
    <row r="11316" spans="3:4" x14ac:dyDescent="0.35">
      <c r="C11316" s="51"/>
      <c r="D11316" s="51"/>
    </row>
    <row r="11317" spans="3:4" x14ac:dyDescent="0.35">
      <c r="C11317" s="51"/>
      <c r="D11317" s="51"/>
    </row>
    <row r="11318" spans="3:4" x14ac:dyDescent="0.35">
      <c r="C11318" s="51"/>
      <c r="D11318" s="51"/>
    </row>
    <row r="11319" spans="3:4" x14ac:dyDescent="0.35">
      <c r="C11319" s="51"/>
      <c r="D11319" s="51"/>
    </row>
    <row r="11320" spans="3:4" x14ac:dyDescent="0.35">
      <c r="C11320" s="51"/>
      <c r="D11320" s="51"/>
    </row>
    <row r="11321" spans="3:4" x14ac:dyDescent="0.35">
      <c r="C11321" s="51"/>
      <c r="D11321" s="51"/>
    </row>
    <row r="11322" spans="3:4" x14ac:dyDescent="0.35">
      <c r="C11322" s="51"/>
      <c r="D11322" s="51"/>
    </row>
    <row r="11323" spans="3:4" x14ac:dyDescent="0.35">
      <c r="C11323" s="51"/>
      <c r="D11323" s="51"/>
    </row>
    <row r="11324" spans="3:4" x14ac:dyDescent="0.35">
      <c r="C11324" s="51"/>
      <c r="D11324" s="51"/>
    </row>
    <row r="11325" spans="3:4" x14ac:dyDescent="0.35">
      <c r="C11325" s="51"/>
      <c r="D11325" s="51"/>
    </row>
    <row r="11326" spans="3:4" x14ac:dyDescent="0.35">
      <c r="C11326" s="51"/>
      <c r="D11326" s="51"/>
    </row>
    <row r="11327" spans="3:4" x14ac:dyDescent="0.35">
      <c r="C11327" s="51"/>
      <c r="D11327" s="51"/>
    </row>
    <row r="11328" spans="3:4" x14ac:dyDescent="0.35">
      <c r="C11328" s="51"/>
      <c r="D11328" s="51"/>
    </row>
    <row r="11329" spans="3:4" x14ac:dyDescent="0.35">
      <c r="C11329" s="51"/>
      <c r="D11329" s="51"/>
    </row>
    <row r="11330" spans="3:4" x14ac:dyDescent="0.35">
      <c r="C11330" s="51"/>
      <c r="D11330" s="51"/>
    </row>
    <row r="11331" spans="3:4" x14ac:dyDescent="0.35">
      <c r="C11331" s="51"/>
      <c r="D11331" s="51"/>
    </row>
    <row r="11332" spans="3:4" x14ac:dyDescent="0.35">
      <c r="C11332" s="51"/>
      <c r="D11332" s="51"/>
    </row>
    <row r="11333" spans="3:4" x14ac:dyDescent="0.35">
      <c r="C11333" s="51"/>
      <c r="D11333" s="51"/>
    </row>
    <row r="11334" spans="3:4" x14ac:dyDescent="0.35">
      <c r="C11334" s="51"/>
      <c r="D11334" s="51"/>
    </row>
    <row r="11335" spans="3:4" x14ac:dyDescent="0.35">
      <c r="C11335" s="51"/>
      <c r="D11335" s="51"/>
    </row>
    <row r="11336" spans="3:4" x14ac:dyDescent="0.35">
      <c r="C11336" s="51"/>
      <c r="D11336" s="51"/>
    </row>
    <row r="11337" spans="3:4" x14ac:dyDescent="0.35">
      <c r="C11337" s="51"/>
      <c r="D11337" s="51"/>
    </row>
    <row r="11338" spans="3:4" x14ac:dyDescent="0.35">
      <c r="C11338" s="51"/>
      <c r="D11338" s="51"/>
    </row>
    <row r="11339" spans="3:4" x14ac:dyDescent="0.35">
      <c r="C11339" s="51"/>
      <c r="D11339" s="51"/>
    </row>
    <row r="11340" spans="3:4" x14ac:dyDescent="0.35">
      <c r="C11340" s="51"/>
      <c r="D11340" s="51"/>
    </row>
    <row r="11341" spans="3:4" x14ac:dyDescent="0.35">
      <c r="C11341" s="51"/>
      <c r="D11341" s="51"/>
    </row>
    <row r="11342" spans="3:4" x14ac:dyDescent="0.35">
      <c r="C11342" s="51"/>
      <c r="D11342" s="51"/>
    </row>
    <row r="11343" spans="3:4" x14ac:dyDescent="0.35">
      <c r="C11343" s="51"/>
      <c r="D11343" s="51"/>
    </row>
    <row r="11344" spans="3:4" x14ac:dyDescent="0.35">
      <c r="C11344" s="51"/>
      <c r="D11344" s="51"/>
    </row>
    <row r="11345" spans="3:4" x14ac:dyDescent="0.35">
      <c r="C11345" s="51"/>
      <c r="D11345" s="51"/>
    </row>
    <row r="11346" spans="3:4" x14ac:dyDescent="0.35">
      <c r="C11346" s="51"/>
      <c r="D11346" s="51"/>
    </row>
    <row r="11347" spans="3:4" x14ac:dyDescent="0.35">
      <c r="C11347" s="51"/>
      <c r="D11347" s="51"/>
    </row>
    <row r="11348" spans="3:4" x14ac:dyDescent="0.35">
      <c r="C11348" s="51"/>
      <c r="D11348" s="51"/>
    </row>
    <row r="11349" spans="3:4" x14ac:dyDescent="0.35">
      <c r="C11349" s="51"/>
      <c r="D11349" s="51"/>
    </row>
    <row r="11350" spans="3:4" x14ac:dyDescent="0.35">
      <c r="C11350" s="51"/>
      <c r="D11350" s="51"/>
    </row>
    <row r="11351" spans="3:4" x14ac:dyDescent="0.35">
      <c r="C11351" s="51"/>
      <c r="D11351" s="51"/>
    </row>
    <row r="11352" spans="3:4" x14ac:dyDescent="0.35">
      <c r="C11352" s="51"/>
      <c r="D11352" s="51"/>
    </row>
    <row r="11353" spans="3:4" x14ac:dyDescent="0.35">
      <c r="C11353" s="51"/>
      <c r="D11353" s="51"/>
    </row>
    <row r="11354" spans="3:4" x14ac:dyDescent="0.35">
      <c r="C11354" s="51"/>
      <c r="D11354" s="51"/>
    </row>
    <row r="11355" spans="3:4" x14ac:dyDescent="0.35">
      <c r="C11355" s="51"/>
      <c r="D11355" s="51"/>
    </row>
    <row r="11356" spans="3:4" x14ac:dyDescent="0.35">
      <c r="C11356" s="51"/>
      <c r="D11356" s="51"/>
    </row>
    <row r="11357" spans="3:4" x14ac:dyDescent="0.35">
      <c r="C11357" s="51"/>
      <c r="D11357" s="51"/>
    </row>
    <row r="11358" spans="3:4" x14ac:dyDescent="0.35">
      <c r="C11358" s="51"/>
      <c r="D11358" s="51"/>
    </row>
    <row r="11359" spans="3:4" x14ac:dyDescent="0.35">
      <c r="C11359" s="51"/>
      <c r="D11359" s="51"/>
    </row>
    <row r="11360" spans="3:4" x14ac:dyDescent="0.35">
      <c r="C11360" s="51"/>
      <c r="D11360" s="51"/>
    </row>
    <row r="11361" spans="3:4" x14ac:dyDescent="0.35">
      <c r="C11361" s="51"/>
      <c r="D11361" s="51"/>
    </row>
    <row r="11362" spans="3:4" x14ac:dyDescent="0.35">
      <c r="C11362" s="51"/>
      <c r="D11362" s="51"/>
    </row>
    <row r="11363" spans="3:4" x14ac:dyDescent="0.35">
      <c r="C11363" s="51"/>
      <c r="D11363" s="51"/>
    </row>
    <row r="11364" spans="3:4" x14ac:dyDescent="0.35">
      <c r="C11364" s="51"/>
      <c r="D11364" s="51"/>
    </row>
    <row r="11365" spans="3:4" x14ac:dyDescent="0.35">
      <c r="C11365" s="51"/>
      <c r="D11365" s="51"/>
    </row>
    <row r="11366" spans="3:4" x14ac:dyDescent="0.35">
      <c r="C11366" s="51"/>
      <c r="D11366" s="51"/>
    </row>
    <row r="11367" spans="3:4" x14ac:dyDescent="0.35">
      <c r="C11367" s="51"/>
      <c r="D11367" s="51"/>
    </row>
    <row r="11368" spans="3:4" x14ac:dyDescent="0.35">
      <c r="C11368" s="51"/>
      <c r="D11368" s="51"/>
    </row>
    <row r="11369" spans="3:4" x14ac:dyDescent="0.35">
      <c r="C11369" s="51"/>
      <c r="D11369" s="51"/>
    </row>
    <row r="11370" spans="3:4" x14ac:dyDescent="0.35">
      <c r="C11370" s="51"/>
      <c r="D11370" s="51"/>
    </row>
    <row r="11371" spans="3:4" x14ac:dyDescent="0.35">
      <c r="C11371" s="51"/>
      <c r="D11371" s="51"/>
    </row>
    <row r="11372" spans="3:4" x14ac:dyDescent="0.35">
      <c r="C11372" s="51"/>
      <c r="D11372" s="51"/>
    </row>
    <row r="11373" spans="3:4" x14ac:dyDescent="0.35">
      <c r="C11373" s="51"/>
      <c r="D11373" s="51"/>
    </row>
    <row r="11374" spans="3:4" x14ac:dyDescent="0.35">
      <c r="C11374" s="51"/>
      <c r="D11374" s="51"/>
    </row>
    <row r="11375" spans="3:4" x14ac:dyDescent="0.35">
      <c r="C11375" s="51"/>
      <c r="D11375" s="51"/>
    </row>
    <row r="11376" spans="3:4" x14ac:dyDescent="0.35">
      <c r="C11376" s="51"/>
      <c r="D11376" s="51"/>
    </row>
    <row r="11377" spans="3:4" x14ac:dyDescent="0.35">
      <c r="C11377" s="51"/>
      <c r="D11377" s="51"/>
    </row>
    <row r="11378" spans="3:4" x14ac:dyDescent="0.35">
      <c r="C11378" s="51"/>
      <c r="D11378" s="51"/>
    </row>
    <row r="11379" spans="3:4" x14ac:dyDescent="0.35">
      <c r="C11379" s="51"/>
      <c r="D11379" s="51"/>
    </row>
    <row r="11380" spans="3:4" x14ac:dyDescent="0.35">
      <c r="C11380" s="51"/>
      <c r="D11380" s="51"/>
    </row>
    <row r="11381" spans="3:4" x14ac:dyDescent="0.35">
      <c r="C11381" s="51"/>
      <c r="D11381" s="51"/>
    </row>
    <row r="11382" spans="3:4" x14ac:dyDescent="0.35">
      <c r="C11382" s="51"/>
      <c r="D11382" s="51"/>
    </row>
    <row r="11383" spans="3:4" x14ac:dyDescent="0.35">
      <c r="C11383" s="51"/>
      <c r="D11383" s="51"/>
    </row>
    <row r="11384" spans="3:4" x14ac:dyDescent="0.35">
      <c r="C11384" s="51"/>
      <c r="D11384" s="51"/>
    </row>
    <row r="11385" spans="3:4" x14ac:dyDescent="0.35">
      <c r="C11385" s="51"/>
      <c r="D11385" s="51"/>
    </row>
    <row r="11386" spans="3:4" x14ac:dyDescent="0.35">
      <c r="C11386" s="51"/>
      <c r="D11386" s="51"/>
    </row>
    <row r="11387" spans="3:4" x14ac:dyDescent="0.35">
      <c r="C11387" s="51"/>
      <c r="D11387" s="51"/>
    </row>
    <row r="11388" spans="3:4" x14ac:dyDescent="0.35">
      <c r="C11388" s="51"/>
      <c r="D11388" s="51"/>
    </row>
    <row r="11389" spans="3:4" x14ac:dyDescent="0.35">
      <c r="C11389" s="51"/>
      <c r="D11389" s="51"/>
    </row>
    <row r="11390" spans="3:4" x14ac:dyDescent="0.35">
      <c r="C11390" s="51"/>
      <c r="D11390" s="51"/>
    </row>
    <row r="11391" spans="3:4" x14ac:dyDescent="0.35">
      <c r="C11391" s="51"/>
      <c r="D11391" s="51"/>
    </row>
    <row r="11392" spans="3:4" x14ac:dyDescent="0.35">
      <c r="C11392" s="51"/>
      <c r="D11392" s="51"/>
    </row>
    <row r="11393" spans="3:4" x14ac:dyDescent="0.35">
      <c r="C11393" s="51"/>
      <c r="D11393" s="51"/>
    </row>
    <row r="11394" spans="3:4" x14ac:dyDescent="0.35">
      <c r="C11394" s="51"/>
      <c r="D11394" s="51"/>
    </row>
    <row r="11395" spans="3:4" x14ac:dyDescent="0.35">
      <c r="C11395" s="51"/>
      <c r="D11395" s="51"/>
    </row>
    <row r="11396" spans="3:4" x14ac:dyDescent="0.35">
      <c r="C11396" s="51"/>
      <c r="D11396" s="51"/>
    </row>
    <row r="11397" spans="3:4" x14ac:dyDescent="0.35">
      <c r="C11397" s="51"/>
      <c r="D11397" s="51"/>
    </row>
    <row r="11398" spans="3:4" x14ac:dyDescent="0.35">
      <c r="C11398" s="51"/>
      <c r="D11398" s="51"/>
    </row>
    <row r="11399" spans="3:4" x14ac:dyDescent="0.35">
      <c r="C11399" s="51"/>
      <c r="D11399" s="51"/>
    </row>
    <row r="11400" spans="3:4" x14ac:dyDescent="0.35">
      <c r="C11400" s="51"/>
      <c r="D11400" s="51"/>
    </row>
    <row r="11401" spans="3:4" x14ac:dyDescent="0.35">
      <c r="C11401" s="51"/>
      <c r="D11401" s="51"/>
    </row>
    <row r="11402" spans="3:4" x14ac:dyDescent="0.35">
      <c r="C11402" s="51"/>
      <c r="D11402" s="51"/>
    </row>
    <row r="11403" spans="3:4" x14ac:dyDescent="0.35">
      <c r="C11403" s="51"/>
      <c r="D11403" s="51"/>
    </row>
    <row r="11404" spans="3:4" x14ac:dyDescent="0.35">
      <c r="C11404" s="51"/>
      <c r="D11404" s="51"/>
    </row>
    <row r="11405" spans="3:4" x14ac:dyDescent="0.35">
      <c r="C11405" s="51"/>
      <c r="D11405" s="51"/>
    </row>
    <row r="11406" spans="3:4" x14ac:dyDescent="0.35">
      <c r="C11406" s="51"/>
      <c r="D11406" s="51"/>
    </row>
    <row r="11407" spans="3:4" x14ac:dyDescent="0.35">
      <c r="C11407" s="51"/>
      <c r="D11407" s="51"/>
    </row>
    <row r="11408" spans="3:4" x14ac:dyDescent="0.35">
      <c r="C11408" s="51"/>
      <c r="D11408" s="51"/>
    </row>
    <row r="11409" spans="3:4" x14ac:dyDescent="0.35">
      <c r="C11409" s="51"/>
      <c r="D11409" s="51"/>
    </row>
    <row r="11410" spans="3:4" x14ac:dyDescent="0.35">
      <c r="C11410" s="51"/>
      <c r="D11410" s="51"/>
    </row>
    <row r="11411" spans="3:4" x14ac:dyDescent="0.35">
      <c r="C11411" s="51"/>
      <c r="D11411" s="51"/>
    </row>
    <row r="11412" spans="3:4" x14ac:dyDescent="0.35">
      <c r="C11412" s="51"/>
      <c r="D11412" s="51"/>
    </row>
    <row r="11413" spans="3:4" x14ac:dyDescent="0.35">
      <c r="C11413" s="51"/>
      <c r="D11413" s="51"/>
    </row>
    <row r="11414" spans="3:4" x14ac:dyDescent="0.35">
      <c r="C11414" s="51"/>
      <c r="D11414" s="51"/>
    </row>
    <row r="11415" spans="3:4" x14ac:dyDescent="0.35">
      <c r="C11415" s="51"/>
      <c r="D11415" s="51"/>
    </row>
    <row r="11416" spans="3:4" x14ac:dyDescent="0.35">
      <c r="C11416" s="51"/>
      <c r="D11416" s="51"/>
    </row>
    <row r="11417" spans="3:4" x14ac:dyDescent="0.35">
      <c r="C11417" s="51"/>
      <c r="D11417" s="51"/>
    </row>
    <row r="11418" spans="3:4" x14ac:dyDescent="0.35">
      <c r="C11418" s="51"/>
      <c r="D11418" s="51"/>
    </row>
    <row r="11419" spans="3:4" x14ac:dyDescent="0.35">
      <c r="C11419" s="51"/>
      <c r="D11419" s="51"/>
    </row>
    <row r="11420" spans="3:4" x14ac:dyDescent="0.35">
      <c r="C11420" s="51"/>
      <c r="D11420" s="51"/>
    </row>
    <row r="11421" spans="3:4" x14ac:dyDescent="0.35">
      <c r="C11421" s="51"/>
      <c r="D11421" s="51"/>
    </row>
    <row r="11422" spans="3:4" x14ac:dyDescent="0.35">
      <c r="C11422" s="51"/>
      <c r="D11422" s="51"/>
    </row>
    <row r="11423" spans="3:4" x14ac:dyDescent="0.35">
      <c r="C11423" s="51"/>
      <c r="D11423" s="51"/>
    </row>
    <row r="11424" spans="3:4" x14ac:dyDescent="0.35">
      <c r="C11424" s="51"/>
      <c r="D11424" s="51"/>
    </row>
    <row r="11425" spans="3:4" x14ac:dyDescent="0.35">
      <c r="C11425" s="51"/>
      <c r="D11425" s="51"/>
    </row>
    <row r="11426" spans="3:4" x14ac:dyDescent="0.35">
      <c r="C11426" s="51"/>
      <c r="D11426" s="51"/>
    </row>
    <row r="11427" spans="3:4" x14ac:dyDescent="0.35">
      <c r="C11427" s="51"/>
      <c r="D11427" s="51"/>
    </row>
    <row r="11428" spans="3:4" x14ac:dyDescent="0.35">
      <c r="C11428" s="51"/>
      <c r="D11428" s="51"/>
    </row>
    <row r="11429" spans="3:4" x14ac:dyDescent="0.35">
      <c r="C11429" s="51"/>
      <c r="D11429" s="51"/>
    </row>
    <row r="11430" spans="3:4" x14ac:dyDescent="0.35">
      <c r="C11430" s="51"/>
      <c r="D11430" s="51"/>
    </row>
    <row r="11431" spans="3:4" x14ac:dyDescent="0.35">
      <c r="C11431" s="51"/>
      <c r="D11431" s="51"/>
    </row>
    <row r="11432" spans="3:4" x14ac:dyDescent="0.35">
      <c r="C11432" s="51"/>
      <c r="D11432" s="51"/>
    </row>
    <row r="11433" spans="3:4" x14ac:dyDescent="0.35">
      <c r="C11433" s="51"/>
      <c r="D11433" s="51"/>
    </row>
    <row r="11434" spans="3:4" x14ac:dyDescent="0.35">
      <c r="C11434" s="51"/>
      <c r="D11434" s="51"/>
    </row>
    <row r="11435" spans="3:4" x14ac:dyDescent="0.35">
      <c r="C11435" s="51"/>
      <c r="D11435" s="51"/>
    </row>
    <row r="11436" spans="3:4" x14ac:dyDescent="0.35">
      <c r="C11436" s="51"/>
      <c r="D11436" s="51"/>
    </row>
    <row r="11437" spans="3:4" x14ac:dyDescent="0.35">
      <c r="C11437" s="51"/>
      <c r="D11437" s="51"/>
    </row>
    <row r="11438" spans="3:4" x14ac:dyDescent="0.35">
      <c r="C11438" s="51"/>
      <c r="D11438" s="51"/>
    </row>
    <row r="11439" spans="3:4" x14ac:dyDescent="0.35">
      <c r="C11439" s="51"/>
      <c r="D11439" s="51"/>
    </row>
    <row r="11440" spans="3:4" x14ac:dyDescent="0.35">
      <c r="C11440" s="51"/>
      <c r="D11440" s="51"/>
    </row>
    <row r="11441" spans="3:4" x14ac:dyDescent="0.35">
      <c r="C11441" s="51"/>
      <c r="D11441" s="51"/>
    </row>
    <row r="11442" spans="3:4" x14ac:dyDescent="0.35">
      <c r="C11442" s="51"/>
      <c r="D11442" s="51"/>
    </row>
    <row r="11443" spans="3:4" x14ac:dyDescent="0.35">
      <c r="C11443" s="51"/>
      <c r="D11443" s="51"/>
    </row>
    <row r="11444" spans="3:4" x14ac:dyDescent="0.35">
      <c r="C11444" s="51"/>
      <c r="D11444" s="51"/>
    </row>
    <row r="11445" spans="3:4" x14ac:dyDescent="0.35">
      <c r="C11445" s="51"/>
      <c r="D11445" s="51"/>
    </row>
    <row r="11446" spans="3:4" x14ac:dyDescent="0.35">
      <c r="C11446" s="51"/>
      <c r="D11446" s="51"/>
    </row>
    <row r="11447" spans="3:4" x14ac:dyDescent="0.35">
      <c r="C11447" s="51"/>
      <c r="D11447" s="51"/>
    </row>
    <row r="11448" spans="3:4" x14ac:dyDescent="0.35">
      <c r="C11448" s="51"/>
      <c r="D11448" s="51"/>
    </row>
    <row r="11449" spans="3:4" x14ac:dyDescent="0.35">
      <c r="C11449" s="51"/>
      <c r="D11449" s="51"/>
    </row>
    <row r="11450" spans="3:4" x14ac:dyDescent="0.35">
      <c r="C11450" s="51"/>
      <c r="D11450" s="51"/>
    </row>
    <row r="11451" spans="3:4" x14ac:dyDescent="0.35">
      <c r="C11451" s="51"/>
      <c r="D11451" s="51"/>
    </row>
    <row r="11452" spans="3:4" x14ac:dyDescent="0.35">
      <c r="C11452" s="51"/>
      <c r="D11452" s="51"/>
    </row>
    <row r="11453" spans="3:4" x14ac:dyDescent="0.35">
      <c r="C11453" s="51"/>
      <c r="D11453" s="51"/>
    </row>
    <row r="11454" spans="3:4" x14ac:dyDescent="0.35">
      <c r="C11454" s="51"/>
      <c r="D11454" s="51"/>
    </row>
    <row r="11455" spans="3:4" x14ac:dyDescent="0.35">
      <c r="C11455" s="51"/>
      <c r="D11455" s="51"/>
    </row>
    <row r="11456" spans="3:4" x14ac:dyDescent="0.35">
      <c r="C11456" s="51"/>
      <c r="D11456" s="51"/>
    </row>
    <row r="11457" spans="3:4" x14ac:dyDescent="0.35">
      <c r="C11457" s="51"/>
      <c r="D11457" s="51"/>
    </row>
    <row r="11458" spans="3:4" x14ac:dyDescent="0.35">
      <c r="C11458" s="51"/>
      <c r="D11458" s="51"/>
    </row>
    <row r="11459" spans="3:4" x14ac:dyDescent="0.35">
      <c r="C11459" s="51"/>
      <c r="D11459" s="51"/>
    </row>
    <row r="11460" spans="3:4" x14ac:dyDescent="0.35">
      <c r="C11460" s="51"/>
      <c r="D11460" s="51"/>
    </row>
    <row r="11461" spans="3:4" x14ac:dyDescent="0.35">
      <c r="C11461" s="51"/>
      <c r="D11461" s="51"/>
    </row>
    <row r="11462" spans="3:4" x14ac:dyDescent="0.35">
      <c r="C11462" s="51"/>
      <c r="D11462" s="51"/>
    </row>
    <row r="11463" spans="3:4" x14ac:dyDescent="0.35">
      <c r="C11463" s="51"/>
      <c r="D11463" s="51"/>
    </row>
    <row r="11464" spans="3:4" x14ac:dyDescent="0.35">
      <c r="C11464" s="51"/>
      <c r="D11464" s="51"/>
    </row>
    <row r="11465" spans="3:4" x14ac:dyDescent="0.35">
      <c r="C11465" s="51"/>
      <c r="D11465" s="51"/>
    </row>
    <row r="11466" spans="3:4" x14ac:dyDescent="0.35">
      <c r="C11466" s="51"/>
      <c r="D11466" s="51"/>
    </row>
    <row r="11467" spans="3:4" x14ac:dyDescent="0.35">
      <c r="C11467" s="51"/>
      <c r="D11467" s="51"/>
    </row>
    <row r="11468" spans="3:4" x14ac:dyDescent="0.35">
      <c r="C11468" s="51"/>
      <c r="D11468" s="51"/>
    </row>
    <row r="11469" spans="3:4" x14ac:dyDescent="0.35">
      <c r="C11469" s="51"/>
      <c r="D11469" s="51"/>
    </row>
    <row r="11470" spans="3:4" x14ac:dyDescent="0.35">
      <c r="C11470" s="51"/>
      <c r="D11470" s="51"/>
    </row>
    <row r="11471" spans="3:4" x14ac:dyDescent="0.35">
      <c r="C11471" s="51"/>
      <c r="D11471" s="51"/>
    </row>
    <row r="11472" spans="3:4" x14ac:dyDescent="0.35">
      <c r="C11472" s="51"/>
      <c r="D11472" s="51"/>
    </row>
    <row r="11473" spans="3:4" x14ac:dyDescent="0.35">
      <c r="C11473" s="51"/>
      <c r="D11473" s="51"/>
    </row>
    <row r="11474" spans="3:4" x14ac:dyDescent="0.35">
      <c r="C11474" s="51"/>
      <c r="D11474" s="51"/>
    </row>
    <row r="11475" spans="3:4" x14ac:dyDescent="0.35">
      <c r="C11475" s="51"/>
      <c r="D11475" s="51"/>
    </row>
    <row r="11476" spans="3:4" x14ac:dyDescent="0.35">
      <c r="C11476" s="51"/>
      <c r="D11476" s="51"/>
    </row>
    <row r="11477" spans="3:4" x14ac:dyDescent="0.35">
      <c r="C11477" s="51"/>
      <c r="D11477" s="51"/>
    </row>
    <row r="11478" spans="3:4" x14ac:dyDescent="0.35">
      <c r="C11478" s="51"/>
      <c r="D11478" s="51"/>
    </row>
    <row r="11479" spans="3:4" x14ac:dyDescent="0.35">
      <c r="C11479" s="51"/>
      <c r="D11479" s="51"/>
    </row>
    <row r="11480" spans="3:4" x14ac:dyDescent="0.35">
      <c r="C11480" s="51"/>
      <c r="D11480" s="51"/>
    </row>
    <row r="11481" spans="3:4" x14ac:dyDescent="0.35">
      <c r="C11481" s="51"/>
      <c r="D11481" s="51"/>
    </row>
    <row r="11482" spans="3:4" x14ac:dyDescent="0.35">
      <c r="C11482" s="51"/>
      <c r="D11482" s="51"/>
    </row>
    <row r="11483" spans="3:4" x14ac:dyDescent="0.35">
      <c r="C11483" s="51"/>
      <c r="D11483" s="51"/>
    </row>
    <row r="11484" spans="3:4" x14ac:dyDescent="0.35">
      <c r="C11484" s="51"/>
      <c r="D11484" s="51"/>
    </row>
    <row r="11485" spans="3:4" x14ac:dyDescent="0.35">
      <c r="C11485" s="51"/>
      <c r="D11485" s="51"/>
    </row>
    <row r="11486" spans="3:4" x14ac:dyDescent="0.35">
      <c r="C11486" s="51"/>
      <c r="D11486" s="51"/>
    </row>
    <row r="11487" spans="3:4" x14ac:dyDescent="0.35">
      <c r="C11487" s="51"/>
      <c r="D11487" s="51"/>
    </row>
    <row r="11488" spans="3:4" x14ac:dyDescent="0.35">
      <c r="C11488" s="51"/>
      <c r="D11488" s="51"/>
    </row>
    <row r="11489" spans="3:4" x14ac:dyDescent="0.35">
      <c r="C11489" s="51"/>
      <c r="D11489" s="51"/>
    </row>
    <row r="11490" spans="3:4" x14ac:dyDescent="0.35">
      <c r="C11490" s="51"/>
      <c r="D11490" s="51"/>
    </row>
    <row r="11491" spans="3:4" x14ac:dyDescent="0.35">
      <c r="C11491" s="51"/>
      <c r="D11491" s="51"/>
    </row>
    <row r="11492" spans="3:4" x14ac:dyDescent="0.35">
      <c r="C11492" s="51"/>
      <c r="D11492" s="51"/>
    </row>
    <row r="11493" spans="3:4" x14ac:dyDescent="0.35">
      <c r="C11493" s="51"/>
      <c r="D11493" s="51"/>
    </row>
    <row r="11494" spans="3:4" x14ac:dyDescent="0.35">
      <c r="C11494" s="51"/>
      <c r="D11494" s="51"/>
    </row>
    <row r="11495" spans="3:4" x14ac:dyDescent="0.35">
      <c r="C11495" s="51"/>
      <c r="D11495" s="51"/>
    </row>
    <row r="11496" spans="3:4" x14ac:dyDescent="0.35">
      <c r="C11496" s="51"/>
      <c r="D11496" s="51"/>
    </row>
    <row r="11497" spans="3:4" x14ac:dyDescent="0.35">
      <c r="C11497" s="51"/>
      <c r="D11497" s="51"/>
    </row>
    <row r="11498" spans="3:4" x14ac:dyDescent="0.35">
      <c r="C11498" s="51"/>
      <c r="D11498" s="51"/>
    </row>
    <row r="11499" spans="3:4" x14ac:dyDescent="0.35">
      <c r="C11499" s="51"/>
      <c r="D11499" s="51"/>
    </row>
    <row r="11500" spans="3:4" x14ac:dyDescent="0.35">
      <c r="C11500" s="51"/>
      <c r="D11500" s="51"/>
    </row>
    <row r="11501" spans="3:4" x14ac:dyDescent="0.35">
      <c r="C11501" s="51"/>
      <c r="D11501" s="51"/>
    </row>
    <row r="11502" spans="3:4" x14ac:dyDescent="0.35">
      <c r="C11502" s="51"/>
      <c r="D11502" s="51"/>
    </row>
    <row r="11503" spans="3:4" x14ac:dyDescent="0.35">
      <c r="C11503" s="51"/>
      <c r="D11503" s="51"/>
    </row>
    <row r="11504" spans="3:4" x14ac:dyDescent="0.35">
      <c r="C11504" s="51"/>
      <c r="D11504" s="51"/>
    </row>
    <row r="11505" spans="3:4" x14ac:dyDescent="0.35">
      <c r="C11505" s="51"/>
      <c r="D11505" s="51"/>
    </row>
    <row r="11506" spans="3:4" x14ac:dyDescent="0.35">
      <c r="C11506" s="51"/>
      <c r="D11506" s="51"/>
    </row>
    <row r="11507" spans="3:4" x14ac:dyDescent="0.35">
      <c r="C11507" s="51"/>
      <c r="D11507" s="51"/>
    </row>
    <row r="11508" spans="3:4" x14ac:dyDescent="0.35">
      <c r="C11508" s="51"/>
      <c r="D11508" s="51"/>
    </row>
    <row r="11509" spans="3:4" x14ac:dyDescent="0.35">
      <c r="C11509" s="51"/>
      <c r="D11509" s="51"/>
    </row>
    <row r="11510" spans="3:4" x14ac:dyDescent="0.35">
      <c r="C11510" s="51"/>
      <c r="D11510" s="51"/>
    </row>
    <row r="11511" spans="3:4" x14ac:dyDescent="0.35">
      <c r="C11511" s="51"/>
      <c r="D11511" s="51"/>
    </row>
    <row r="11512" spans="3:4" x14ac:dyDescent="0.35">
      <c r="C11512" s="51"/>
      <c r="D11512" s="51"/>
    </row>
    <row r="11513" spans="3:4" x14ac:dyDescent="0.35">
      <c r="C11513" s="51"/>
      <c r="D11513" s="51"/>
    </row>
    <row r="11514" spans="3:4" x14ac:dyDescent="0.35">
      <c r="C11514" s="51"/>
      <c r="D11514" s="51"/>
    </row>
    <row r="11515" spans="3:4" x14ac:dyDescent="0.35">
      <c r="C11515" s="51"/>
      <c r="D11515" s="51"/>
    </row>
    <row r="11516" spans="3:4" x14ac:dyDescent="0.35">
      <c r="C11516" s="51"/>
      <c r="D11516" s="51"/>
    </row>
    <row r="11517" spans="3:4" x14ac:dyDescent="0.35">
      <c r="C11517" s="51"/>
      <c r="D11517" s="51"/>
    </row>
    <row r="11518" spans="3:4" x14ac:dyDescent="0.35">
      <c r="C11518" s="51"/>
      <c r="D11518" s="51"/>
    </row>
    <row r="11519" spans="3:4" x14ac:dyDescent="0.35">
      <c r="C11519" s="51"/>
      <c r="D11519" s="51"/>
    </row>
    <row r="11520" spans="3:4" x14ac:dyDescent="0.35">
      <c r="C11520" s="51"/>
      <c r="D11520" s="51"/>
    </row>
    <row r="11521" spans="3:4" x14ac:dyDescent="0.35">
      <c r="C11521" s="51"/>
      <c r="D11521" s="51"/>
    </row>
    <row r="11522" spans="3:4" x14ac:dyDescent="0.35">
      <c r="C11522" s="51"/>
      <c r="D11522" s="51"/>
    </row>
    <row r="11523" spans="3:4" x14ac:dyDescent="0.35">
      <c r="C11523" s="51"/>
      <c r="D11523" s="51"/>
    </row>
    <row r="11524" spans="3:4" x14ac:dyDescent="0.35">
      <c r="C11524" s="51"/>
      <c r="D11524" s="51"/>
    </row>
    <row r="11525" spans="3:4" x14ac:dyDescent="0.35">
      <c r="C11525" s="51"/>
      <c r="D11525" s="51"/>
    </row>
    <row r="11526" spans="3:4" x14ac:dyDescent="0.35">
      <c r="C11526" s="51"/>
      <c r="D11526" s="51"/>
    </row>
    <row r="11527" spans="3:4" x14ac:dyDescent="0.35">
      <c r="C11527" s="51"/>
      <c r="D11527" s="51"/>
    </row>
    <row r="11528" spans="3:4" x14ac:dyDescent="0.35">
      <c r="C11528" s="51"/>
      <c r="D11528" s="51"/>
    </row>
    <row r="11529" spans="3:4" x14ac:dyDescent="0.35">
      <c r="C11529" s="51"/>
      <c r="D11529" s="51"/>
    </row>
    <row r="11530" spans="3:4" x14ac:dyDescent="0.35">
      <c r="C11530" s="51"/>
      <c r="D11530" s="51"/>
    </row>
    <row r="11531" spans="3:4" x14ac:dyDescent="0.35">
      <c r="C11531" s="51"/>
      <c r="D11531" s="51"/>
    </row>
    <row r="11532" spans="3:4" x14ac:dyDescent="0.35">
      <c r="C11532" s="51"/>
      <c r="D11532" s="51"/>
    </row>
    <row r="11533" spans="3:4" x14ac:dyDescent="0.35">
      <c r="C11533" s="51"/>
      <c r="D11533" s="51"/>
    </row>
    <row r="11534" spans="3:4" x14ac:dyDescent="0.35">
      <c r="C11534" s="51"/>
      <c r="D11534" s="51"/>
    </row>
    <row r="11535" spans="3:4" x14ac:dyDescent="0.35">
      <c r="C11535" s="51"/>
      <c r="D11535" s="51"/>
    </row>
    <row r="11536" spans="3:4" x14ac:dyDescent="0.35">
      <c r="C11536" s="51"/>
      <c r="D11536" s="51"/>
    </row>
    <row r="11537" spans="3:4" x14ac:dyDescent="0.35">
      <c r="C11537" s="51"/>
      <c r="D11537" s="51"/>
    </row>
    <row r="11538" spans="3:4" x14ac:dyDescent="0.35">
      <c r="C11538" s="51"/>
      <c r="D11538" s="51"/>
    </row>
    <row r="11539" spans="3:4" x14ac:dyDescent="0.35">
      <c r="C11539" s="51"/>
      <c r="D11539" s="51"/>
    </row>
    <row r="11540" spans="3:4" x14ac:dyDescent="0.35">
      <c r="C11540" s="51"/>
      <c r="D11540" s="51"/>
    </row>
    <row r="11541" spans="3:4" x14ac:dyDescent="0.35">
      <c r="C11541" s="51"/>
      <c r="D11541" s="51"/>
    </row>
    <row r="11542" spans="3:4" x14ac:dyDescent="0.35">
      <c r="C11542" s="51"/>
      <c r="D11542" s="51"/>
    </row>
    <row r="11543" spans="3:4" x14ac:dyDescent="0.35">
      <c r="C11543" s="51"/>
      <c r="D11543" s="51"/>
    </row>
    <row r="11544" spans="3:4" x14ac:dyDescent="0.35">
      <c r="C11544" s="51"/>
      <c r="D11544" s="51"/>
    </row>
    <row r="11545" spans="3:4" x14ac:dyDescent="0.35">
      <c r="C11545" s="51"/>
      <c r="D11545" s="51"/>
    </row>
    <row r="11546" spans="3:4" x14ac:dyDescent="0.35">
      <c r="C11546" s="51"/>
      <c r="D11546" s="51"/>
    </row>
    <row r="11547" spans="3:4" x14ac:dyDescent="0.35">
      <c r="C11547" s="51"/>
      <c r="D11547" s="51"/>
    </row>
    <row r="11548" spans="3:4" x14ac:dyDescent="0.35">
      <c r="C11548" s="51"/>
      <c r="D11548" s="51"/>
    </row>
    <row r="11549" spans="3:4" x14ac:dyDescent="0.35">
      <c r="C11549" s="51"/>
      <c r="D11549" s="51"/>
    </row>
    <row r="11550" spans="3:4" x14ac:dyDescent="0.35">
      <c r="C11550" s="51"/>
      <c r="D11550" s="51"/>
    </row>
    <row r="11551" spans="3:4" x14ac:dyDescent="0.35">
      <c r="C11551" s="51"/>
      <c r="D11551" s="51"/>
    </row>
    <row r="11552" spans="3:4" x14ac:dyDescent="0.35">
      <c r="C11552" s="51"/>
      <c r="D11552" s="51"/>
    </row>
    <row r="11553" spans="3:4" x14ac:dyDescent="0.35">
      <c r="C11553" s="51"/>
      <c r="D11553" s="51"/>
    </row>
    <row r="11554" spans="3:4" x14ac:dyDescent="0.35">
      <c r="C11554" s="51"/>
      <c r="D11554" s="51"/>
    </row>
    <row r="11555" spans="3:4" x14ac:dyDescent="0.35">
      <c r="C11555" s="51"/>
      <c r="D11555" s="51"/>
    </row>
    <row r="11556" spans="3:4" x14ac:dyDescent="0.35">
      <c r="C11556" s="51"/>
      <c r="D11556" s="51"/>
    </row>
    <row r="11557" spans="3:4" x14ac:dyDescent="0.35">
      <c r="C11557" s="51"/>
      <c r="D11557" s="51"/>
    </row>
    <row r="11558" spans="3:4" x14ac:dyDescent="0.35">
      <c r="C11558" s="51"/>
      <c r="D11558" s="51"/>
    </row>
    <row r="11559" spans="3:4" x14ac:dyDescent="0.35">
      <c r="C11559" s="51"/>
      <c r="D11559" s="51"/>
    </row>
    <row r="11560" spans="3:4" x14ac:dyDescent="0.35">
      <c r="C11560" s="51"/>
      <c r="D11560" s="51"/>
    </row>
    <row r="11561" spans="3:4" x14ac:dyDescent="0.35">
      <c r="C11561" s="51"/>
      <c r="D11561" s="51"/>
    </row>
    <row r="11562" spans="3:4" x14ac:dyDescent="0.35">
      <c r="C11562" s="51"/>
      <c r="D11562" s="51"/>
    </row>
    <row r="11563" spans="3:4" x14ac:dyDescent="0.35">
      <c r="C11563" s="51"/>
      <c r="D11563" s="51"/>
    </row>
    <row r="11564" spans="3:4" x14ac:dyDescent="0.35">
      <c r="C11564" s="51"/>
      <c r="D11564" s="51"/>
    </row>
    <row r="11565" spans="3:4" x14ac:dyDescent="0.35">
      <c r="C11565" s="51"/>
      <c r="D11565" s="51"/>
    </row>
    <row r="11566" spans="3:4" x14ac:dyDescent="0.35">
      <c r="C11566" s="51"/>
      <c r="D11566" s="51"/>
    </row>
    <row r="11567" spans="3:4" x14ac:dyDescent="0.35">
      <c r="C11567" s="51"/>
      <c r="D11567" s="51"/>
    </row>
    <row r="11568" spans="3:4" x14ac:dyDescent="0.35">
      <c r="C11568" s="51"/>
      <c r="D11568" s="51"/>
    </row>
    <row r="11569" spans="3:4" x14ac:dyDescent="0.35">
      <c r="C11569" s="51"/>
      <c r="D11569" s="51"/>
    </row>
    <row r="11570" spans="3:4" x14ac:dyDescent="0.35">
      <c r="C11570" s="51"/>
      <c r="D11570" s="51"/>
    </row>
    <row r="11571" spans="3:4" x14ac:dyDescent="0.35">
      <c r="C11571" s="51"/>
      <c r="D11571" s="51"/>
    </row>
    <row r="11572" spans="3:4" x14ac:dyDescent="0.35">
      <c r="C11572" s="51"/>
      <c r="D11572" s="51"/>
    </row>
    <row r="11573" spans="3:4" x14ac:dyDescent="0.35">
      <c r="C11573" s="51"/>
      <c r="D11573" s="51"/>
    </row>
    <row r="11574" spans="3:4" x14ac:dyDescent="0.35">
      <c r="C11574" s="51"/>
      <c r="D11574" s="51"/>
    </row>
    <row r="11575" spans="3:4" x14ac:dyDescent="0.35">
      <c r="C11575" s="51"/>
      <c r="D11575" s="51"/>
    </row>
    <row r="11576" spans="3:4" x14ac:dyDescent="0.35">
      <c r="C11576" s="51"/>
      <c r="D11576" s="51"/>
    </row>
    <row r="11577" spans="3:4" x14ac:dyDescent="0.35">
      <c r="C11577" s="51"/>
      <c r="D11577" s="51"/>
    </row>
    <row r="11578" spans="3:4" x14ac:dyDescent="0.35">
      <c r="C11578" s="51"/>
      <c r="D11578" s="51"/>
    </row>
    <row r="11579" spans="3:4" x14ac:dyDescent="0.35">
      <c r="C11579" s="51"/>
      <c r="D11579" s="51"/>
    </row>
    <row r="11580" spans="3:4" x14ac:dyDescent="0.35">
      <c r="C11580" s="51"/>
      <c r="D11580" s="51"/>
    </row>
    <row r="11581" spans="3:4" x14ac:dyDescent="0.35">
      <c r="C11581" s="51"/>
      <c r="D11581" s="51"/>
    </row>
    <row r="11582" spans="3:4" x14ac:dyDescent="0.35">
      <c r="C11582" s="51"/>
      <c r="D11582" s="51"/>
    </row>
    <row r="11583" spans="3:4" x14ac:dyDescent="0.35">
      <c r="C11583" s="51"/>
      <c r="D11583" s="51"/>
    </row>
    <row r="11584" spans="3:4" x14ac:dyDescent="0.35">
      <c r="C11584" s="51"/>
      <c r="D11584" s="51"/>
    </row>
    <row r="11585" spans="3:4" x14ac:dyDescent="0.35">
      <c r="C11585" s="51"/>
      <c r="D11585" s="51"/>
    </row>
    <row r="11586" spans="3:4" x14ac:dyDescent="0.35">
      <c r="C11586" s="51"/>
      <c r="D11586" s="51"/>
    </row>
    <row r="11587" spans="3:4" x14ac:dyDescent="0.35">
      <c r="C11587" s="51"/>
      <c r="D11587" s="51"/>
    </row>
    <row r="11588" spans="3:4" x14ac:dyDescent="0.35">
      <c r="C11588" s="51"/>
      <c r="D11588" s="51"/>
    </row>
    <row r="11589" spans="3:4" x14ac:dyDescent="0.35">
      <c r="C11589" s="51"/>
      <c r="D11589" s="51"/>
    </row>
    <row r="11590" spans="3:4" x14ac:dyDescent="0.35">
      <c r="C11590" s="51"/>
      <c r="D11590" s="51"/>
    </row>
    <row r="11591" spans="3:4" x14ac:dyDescent="0.35">
      <c r="C11591" s="51"/>
      <c r="D11591" s="51"/>
    </row>
    <row r="11592" spans="3:4" x14ac:dyDescent="0.35">
      <c r="C11592" s="51"/>
      <c r="D11592" s="51"/>
    </row>
    <row r="11593" spans="3:4" x14ac:dyDescent="0.35">
      <c r="C11593" s="51"/>
      <c r="D11593" s="51"/>
    </row>
    <row r="11594" spans="3:4" x14ac:dyDescent="0.35">
      <c r="C11594" s="51"/>
      <c r="D11594" s="51"/>
    </row>
    <row r="11595" spans="3:4" x14ac:dyDescent="0.35">
      <c r="C11595" s="51"/>
      <c r="D11595" s="51"/>
    </row>
    <row r="11596" spans="3:4" x14ac:dyDescent="0.35">
      <c r="C11596" s="51"/>
      <c r="D11596" s="51"/>
    </row>
    <row r="11597" spans="3:4" x14ac:dyDescent="0.35">
      <c r="C11597" s="51"/>
      <c r="D11597" s="51"/>
    </row>
    <row r="11598" spans="3:4" x14ac:dyDescent="0.35">
      <c r="C11598" s="51"/>
      <c r="D11598" s="51"/>
    </row>
    <row r="11599" spans="3:4" x14ac:dyDescent="0.35">
      <c r="C11599" s="51"/>
      <c r="D11599" s="51"/>
    </row>
    <row r="11600" spans="3:4" x14ac:dyDescent="0.35">
      <c r="C11600" s="51"/>
      <c r="D11600" s="51"/>
    </row>
    <row r="11601" spans="3:4" x14ac:dyDescent="0.35">
      <c r="C11601" s="51"/>
      <c r="D11601" s="51"/>
    </row>
    <row r="11602" spans="3:4" x14ac:dyDescent="0.35">
      <c r="C11602" s="51"/>
      <c r="D11602" s="51"/>
    </row>
    <row r="11603" spans="3:4" x14ac:dyDescent="0.35">
      <c r="C11603" s="51"/>
      <c r="D11603" s="51"/>
    </row>
    <row r="11604" spans="3:4" x14ac:dyDescent="0.35">
      <c r="C11604" s="51"/>
      <c r="D11604" s="51"/>
    </row>
    <row r="11605" spans="3:4" x14ac:dyDescent="0.35">
      <c r="C11605" s="51"/>
      <c r="D11605" s="51"/>
    </row>
    <row r="11606" spans="3:4" x14ac:dyDescent="0.35">
      <c r="C11606" s="51"/>
      <c r="D11606" s="51"/>
    </row>
    <row r="11607" spans="3:4" x14ac:dyDescent="0.35">
      <c r="C11607" s="51"/>
      <c r="D11607" s="51"/>
    </row>
    <row r="11608" spans="3:4" x14ac:dyDescent="0.35">
      <c r="C11608" s="51"/>
      <c r="D11608" s="51"/>
    </row>
    <row r="11609" spans="3:4" x14ac:dyDescent="0.35">
      <c r="C11609" s="51"/>
      <c r="D11609" s="51"/>
    </row>
    <row r="11610" spans="3:4" x14ac:dyDescent="0.35">
      <c r="C11610" s="51"/>
      <c r="D11610" s="51"/>
    </row>
    <row r="11611" spans="3:4" x14ac:dyDescent="0.35">
      <c r="C11611" s="51"/>
      <c r="D11611" s="51"/>
    </row>
    <row r="11612" spans="3:4" x14ac:dyDescent="0.35">
      <c r="C11612" s="51"/>
      <c r="D11612" s="51"/>
    </row>
    <row r="11613" spans="3:4" x14ac:dyDescent="0.35">
      <c r="C11613" s="51"/>
      <c r="D11613" s="51"/>
    </row>
    <row r="11614" spans="3:4" x14ac:dyDescent="0.35">
      <c r="C11614" s="51"/>
      <c r="D11614" s="51"/>
    </row>
    <row r="11615" spans="3:4" x14ac:dyDescent="0.35">
      <c r="C11615" s="51"/>
      <c r="D11615" s="51"/>
    </row>
    <row r="11616" spans="3:4" x14ac:dyDescent="0.35">
      <c r="C11616" s="51"/>
      <c r="D11616" s="51"/>
    </row>
    <row r="11617" spans="3:4" x14ac:dyDescent="0.35">
      <c r="C11617" s="51"/>
      <c r="D11617" s="51"/>
    </row>
    <row r="11618" spans="3:4" x14ac:dyDescent="0.35">
      <c r="C11618" s="51"/>
      <c r="D11618" s="51"/>
    </row>
    <row r="11619" spans="3:4" x14ac:dyDescent="0.35">
      <c r="C11619" s="51"/>
      <c r="D11619" s="51"/>
    </row>
    <row r="11620" spans="3:4" x14ac:dyDescent="0.35">
      <c r="C11620" s="51"/>
      <c r="D11620" s="51"/>
    </row>
    <row r="11621" spans="3:4" x14ac:dyDescent="0.35">
      <c r="C11621" s="51"/>
      <c r="D11621" s="51"/>
    </row>
    <row r="11622" spans="3:4" x14ac:dyDescent="0.35">
      <c r="C11622" s="51"/>
      <c r="D11622" s="51"/>
    </row>
    <row r="11623" spans="3:4" x14ac:dyDescent="0.35">
      <c r="C11623" s="51"/>
      <c r="D11623" s="51"/>
    </row>
    <row r="11624" spans="3:4" x14ac:dyDescent="0.35">
      <c r="C11624" s="51"/>
      <c r="D11624" s="51"/>
    </row>
    <row r="11625" spans="3:4" x14ac:dyDescent="0.35">
      <c r="C11625" s="51"/>
      <c r="D11625" s="51"/>
    </row>
    <row r="11626" spans="3:4" x14ac:dyDescent="0.35">
      <c r="C11626" s="51"/>
      <c r="D11626" s="51"/>
    </row>
    <row r="11627" spans="3:4" x14ac:dyDescent="0.35">
      <c r="C11627" s="51"/>
      <c r="D11627" s="51"/>
    </row>
    <row r="11628" spans="3:4" x14ac:dyDescent="0.35">
      <c r="C11628" s="51"/>
      <c r="D11628" s="51"/>
    </row>
    <row r="11629" spans="3:4" x14ac:dyDescent="0.35">
      <c r="C11629" s="51"/>
      <c r="D11629" s="51"/>
    </row>
    <row r="11630" spans="3:4" x14ac:dyDescent="0.35">
      <c r="C11630" s="51"/>
      <c r="D11630" s="51"/>
    </row>
    <row r="11631" spans="3:4" x14ac:dyDescent="0.35">
      <c r="C11631" s="51"/>
      <c r="D11631" s="51"/>
    </row>
    <row r="11632" spans="3:4" x14ac:dyDescent="0.35">
      <c r="C11632" s="51"/>
      <c r="D11632" s="51"/>
    </row>
    <row r="11633" spans="3:4" x14ac:dyDescent="0.35">
      <c r="C11633" s="51"/>
      <c r="D11633" s="51"/>
    </row>
    <row r="11634" spans="3:4" x14ac:dyDescent="0.35">
      <c r="C11634" s="51"/>
      <c r="D11634" s="51"/>
    </row>
    <row r="11635" spans="3:4" x14ac:dyDescent="0.35">
      <c r="C11635" s="51"/>
      <c r="D11635" s="51"/>
    </row>
    <row r="11636" spans="3:4" x14ac:dyDescent="0.35">
      <c r="C11636" s="51"/>
      <c r="D11636" s="51"/>
    </row>
    <row r="11637" spans="3:4" x14ac:dyDescent="0.35">
      <c r="C11637" s="51"/>
      <c r="D11637" s="51"/>
    </row>
    <row r="11638" spans="3:4" x14ac:dyDescent="0.35">
      <c r="C11638" s="51"/>
      <c r="D11638" s="51"/>
    </row>
    <row r="11639" spans="3:4" x14ac:dyDescent="0.35">
      <c r="C11639" s="51"/>
      <c r="D11639" s="51"/>
    </row>
    <row r="11640" spans="3:4" x14ac:dyDescent="0.35">
      <c r="C11640" s="51"/>
      <c r="D11640" s="51"/>
    </row>
    <row r="11641" spans="3:4" x14ac:dyDescent="0.35">
      <c r="C11641" s="51"/>
      <c r="D11641" s="51"/>
    </row>
    <row r="11642" spans="3:4" x14ac:dyDescent="0.35">
      <c r="C11642" s="51"/>
      <c r="D11642" s="51"/>
    </row>
    <row r="11643" spans="3:4" x14ac:dyDescent="0.35">
      <c r="C11643" s="51"/>
      <c r="D11643" s="51"/>
    </row>
    <row r="11644" spans="3:4" x14ac:dyDescent="0.35">
      <c r="C11644" s="51"/>
      <c r="D11644" s="51"/>
    </row>
    <row r="11645" spans="3:4" x14ac:dyDescent="0.35">
      <c r="C11645" s="51"/>
      <c r="D11645" s="51"/>
    </row>
    <row r="11646" spans="3:4" x14ac:dyDescent="0.35">
      <c r="C11646" s="51"/>
      <c r="D11646" s="51"/>
    </row>
    <row r="11647" spans="3:4" x14ac:dyDescent="0.35">
      <c r="C11647" s="51"/>
      <c r="D11647" s="51"/>
    </row>
    <row r="11648" spans="3:4" x14ac:dyDescent="0.35">
      <c r="C11648" s="51"/>
      <c r="D11648" s="51"/>
    </row>
    <row r="11649" spans="3:4" x14ac:dyDescent="0.35">
      <c r="C11649" s="51"/>
      <c r="D11649" s="51"/>
    </row>
    <row r="11650" spans="3:4" x14ac:dyDescent="0.35">
      <c r="C11650" s="51"/>
      <c r="D11650" s="51"/>
    </row>
    <row r="11651" spans="3:4" x14ac:dyDescent="0.35">
      <c r="C11651" s="51"/>
      <c r="D11651" s="51"/>
    </row>
    <row r="11652" spans="3:4" x14ac:dyDescent="0.35">
      <c r="C11652" s="51"/>
      <c r="D11652" s="51"/>
    </row>
    <row r="11653" spans="3:4" x14ac:dyDescent="0.35">
      <c r="C11653" s="51"/>
      <c r="D11653" s="51"/>
    </row>
    <row r="11654" spans="3:4" x14ac:dyDescent="0.35">
      <c r="C11654" s="51"/>
      <c r="D11654" s="51"/>
    </row>
    <row r="11655" spans="3:4" x14ac:dyDescent="0.35">
      <c r="C11655" s="51"/>
      <c r="D11655" s="51"/>
    </row>
    <row r="11656" spans="3:4" x14ac:dyDescent="0.35">
      <c r="C11656" s="51"/>
      <c r="D11656" s="51"/>
    </row>
    <row r="11657" spans="3:4" x14ac:dyDescent="0.35">
      <c r="C11657" s="51"/>
      <c r="D11657" s="51"/>
    </row>
    <row r="11658" spans="3:4" x14ac:dyDescent="0.35">
      <c r="C11658" s="51"/>
      <c r="D11658" s="51"/>
    </row>
    <row r="11659" spans="3:4" x14ac:dyDescent="0.35">
      <c r="C11659" s="51"/>
      <c r="D11659" s="51"/>
    </row>
    <row r="11660" spans="3:4" x14ac:dyDescent="0.35">
      <c r="C11660" s="51"/>
      <c r="D11660" s="51"/>
    </row>
    <row r="11661" spans="3:4" x14ac:dyDescent="0.35">
      <c r="C11661" s="51"/>
      <c r="D11661" s="51"/>
    </row>
    <row r="11662" spans="3:4" x14ac:dyDescent="0.35">
      <c r="C11662" s="51"/>
      <c r="D11662" s="51"/>
    </row>
    <row r="11663" spans="3:4" x14ac:dyDescent="0.35">
      <c r="C11663" s="51"/>
      <c r="D11663" s="51"/>
    </row>
    <row r="11664" spans="3:4" x14ac:dyDescent="0.35">
      <c r="C11664" s="51"/>
      <c r="D11664" s="51"/>
    </row>
    <row r="11665" spans="3:4" x14ac:dyDescent="0.35">
      <c r="C11665" s="51"/>
      <c r="D11665" s="51"/>
    </row>
    <row r="11666" spans="3:4" x14ac:dyDescent="0.35">
      <c r="C11666" s="51"/>
      <c r="D11666" s="51"/>
    </row>
    <row r="11667" spans="3:4" x14ac:dyDescent="0.35">
      <c r="C11667" s="51"/>
      <c r="D11667" s="51"/>
    </row>
    <row r="11668" spans="3:4" x14ac:dyDescent="0.35">
      <c r="C11668" s="51"/>
      <c r="D11668" s="51"/>
    </row>
    <row r="11669" spans="3:4" x14ac:dyDescent="0.35">
      <c r="C11669" s="51"/>
      <c r="D11669" s="51"/>
    </row>
    <row r="11670" spans="3:4" x14ac:dyDescent="0.35">
      <c r="C11670" s="51"/>
      <c r="D11670" s="51"/>
    </row>
    <row r="11671" spans="3:4" x14ac:dyDescent="0.35">
      <c r="C11671" s="51"/>
      <c r="D11671" s="51"/>
    </row>
    <row r="11672" spans="3:4" x14ac:dyDescent="0.35">
      <c r="C11672" s="51"/>
      <c r="D11672" s="51"/>
    </row>
    <row r="11673" spans="3:4" x14ac:dyDescent="0.35">
      <c r="C11673" s="51"/>
      <c r="D11673" s="51"/>
    </row>
    <row r="11674" spans="3:4" x14ac:dyDescent="0.35">
      <c r="C11674" s="51"/>
      <c r="D11674" s="51"/>
    </row>
    <row r="11675" spans="3:4" x14ac:dyDescent="0.35">
      <c r="C11675" s="51"/>
      <c r="D11675" s="51"/>
    </row>
    <row r="11676" spans="3:4" x14ac:dyDescent="0.35">
      <c r="C11676" s="51"/>
      <c r="D11676" s="51"/>
    </row>
    <row r="11677" spans="3:4" x14ac:dyDescent="0.35">
      <c r="C11677" s="51"/>
      <c r="D11677" s="51"/>
    </row>
    <row r="11678" spans="3:4" x14ac:dyDescent="0.35">
      <c r="C11678" s="51"/>
      <c r="D11678" s="51"/>
    </row>
    <row r="11679" spans="3:4" x14ac:dyDescent="0.35">
      <c r="C11679" s="51"/>
      <c r="D11679" s="51"/>
    </row>
    <row r="11680" spans="3:4" x14ac:dyDescent="0.35">
      <c r="C11680" s="51"/>
      <c r="D11680" s="51"/>
    </row>
    <row r="11681" spans="3:4" x14ac:dyDescent="0.35">
      <c r="C11681" s="51"/>
      <c r="D11681" s="51"/>
    </row>
    <row r="11682" spans="3:4" x14ac:dyDescent="0.35">
      <c r="C11682" s="51"/>
      <c r="D11682" s="51"/>
    </row>
    <row r="11683" spans="3:4" x14ac:dyDescent="0.35">
      <c r="C11683" s="51"/>
      <c r="D11683" s="51"/>
    </row>
    <row r="11684" spans="3:4" x14ac:dyDescent="0.35">
      <c r="C11684" s="51"/>
      <c r="D11684" s="51"/>
    </row>
    <row r="11685" spans="3:4" x14ac:dyDescent="0.35">
      <c r="C11685" s="51"/>
      <c r="D11685" s="51"/>
    </row>
    <row r="11686" spans="3:4" x14ac:dyDescent="0.35">
      <c r="C11686" s="51"/>
      <c r="D11686" s="51"/>
    </row>
    <row r="11687" spans="3:4" x14ac:dyDescent="0.35">
      <c r="C11687" s="51"/>
      <c r="D11687" s="51"/>
    </row>
    <row r="11688" spans="3:4" x14ac:dyDescent="0.35">
      <c r="C11688" s="51"/>
      <c r="D11688" s="51"/>
    </row>
    <row r="11689" spans="3:4" x14ac:dyDescent="0.35">
      <c r="C11689" s="51"/>
      <c r="D11689" s="51"/>
    </row>
    <row r="11690" spans="3:4" x14ac:dyDescent="0.35">
      <c r="C11690" s="51"/>
      <c r="D11690" s="51"/>
    </row>
    <row r="11691" spans="3:4" x14ac:dyDescent="0.35">
      <c r="C11691" s="51"/>
      <c r="D11691" s="51"/>
    </row>
    <row r="11692" spans="3:4" x14ac:dyDescent="0.35">
      <c r="C11692" s="51"/>
      <c r="D11692" s="51"/>
    </row>
    <row r="11693" spans="3:4" x14ac:dyDescent="0.35">
      <c r="C11693" s="51"/>
      <c r="D11693" s="51"/>
    </row>
    <row r="11694" spans="3:4" x14ac:dyDescent="0.35">
      <c r="C11694" s="51"/>
      <c r="D11694" s="51"/>
    </row>
    <row r="11695" spans="3:4" x14ac:dyDescent="0.35">
      <c r="C11695" s="51"/>
      <c r="D11695" s="51"/>
    </row>
    <row r="11696" spans="3:4" x14ac:dyDescent="0.35">
      <c r="C11696" s="51"/>
      <c r="D11696" s="51"/>
    </row>
    <row r="11697" spans="3:4" x14ac:dyDescent="0.35">
      <c r="C11697" s="51"/>
      <c r="D11697" s="51"/>
    </row>
    <row r="11698" spans="3:4" x14ac:dyDescent="0.35">
      <c r="C11698" s="51"/>
      <c r="D11698" s="51"/>
    </row>
    <row r="11699" spans="3:4" x14ac:dyDescent="0.35">
      <c r="C11699" s="51"/>
      <c r="D11699" s="51"/>
    </row>
    <row r="11700" spans="3:4" x14ac:dyDescent="0.35">
      <c r="C11700" s="51"/>
      <c r="D11700" s="51"/>
    </row>
    <row r="11701" spans="3:4" x14ac:dyDescent="0.35">
      <c r="C11701" s="51"/>
      <c r="D11701" s="51"/>
    </row>
    <row r="11702" spans="3:4" x14ac:dyDescent="0.35">
      <c r="C11702" s="51"/>
      <c r="D11702" s="51"/>
    </row>
    <row r="11703" spans="3:4" x14ac:dyDescent="0.35">
      <c r="C11703" s="51"/>
      <c r="D11703" s="51"/>
    </row>
    <row r="11704" spans="3:4" x14ac:dyDescent="0.35">
      <c r="C11704" s="51"/>
      <c r="D11704" s="51"/>
    </row>
    <row r="11705" spans="3:4" x14ac:dyDescent="0.35">
      <c r="C11705" s="51"/>
      <c r="D11705" s="51"/>
    </row>
    <row r="11706" spans="3:4" x14ac:dyDescent="0.35">
      <c r="C11706" s="51"/>
      <c r="D11706" s="51"/>
    </row>
    <row r="11707" spans="3:4" x14ac:dyDescent="0.35">
      <c r="C11707" s="51"/>
      <c r="D11707" s="51"/>
    </row>
    <row r="11708" spans="3:4" x14ac:dyDescent="0.35">
      <c r="C11708" s="51"/>
      <c r="D11708" s="51"/>
    </row>
    <row r="11709" spans="3:4" x14ac:dyDescent="0.35">
      <c r="C11709" s="51"/>
      <c r="D11709" s="51"/>
    </row>
    <row r="11710" spans="3:4" x14ac:dyDescent="0.35">
      <c r="C11710" s="51"/>
      <c r="D11710" s="51"/>
    </row>
    <row r="11711" spans="3:4" x14ac:dyDescent="0.35">
      <c r="C11711" s="51"/>
      <c r="D11711" s="51"/>
    </row>
    <row r="11712" spans="3:4" x14ac:dyDescent="0.35">
      <c r="C11712" s="51"/>
      <c r="D11712" s="51"/>
    </row>
    <row r="11713" spans="3:4" x14ac:dyDescent="0.35">
      <c r="C11713" s="51"/>
      <c r="D11713" s="51"/>
    </row>
    <row r="11714" spans="3:4" x14ac:dyDescent="0.35">
      <c r="C11714" s="51"/>
      <c r="D11714" s="51"/>
    </row>
    <row r="11715" spans="3:4" x14ac:dyDescent="0.35">
      <c r="C11715" s="51"/>
      <c r="D11715" s="51"/>
    </row>
    <row r="11716" spans="3:4" x14ac:dyDescent="0.35">
      <c r="C11716" s="51"/>
      <c r="D11716" s="51"/>
    </row>
    <row r="11717" spans="3:4" x14ac:dyDescent="0.35">
      <c r="C11717" s="51"/>
      <c r="D11717" s="51"/>
    </row>
    <row r="11718" spans="3:4" x14ac:dyDescent="0.35">
      <c r="C11718" s="51"/>
      <c r="D11718" s="51"/>
    </row>
    <row r="11719" spans="3:4" x14ac:dyDescent="0.35">
      <c r="C11719" s="51"/>
      <c r="D11719" s="51"/>
    </row>
    <row r="11720" spans="3:4" x14ac:dyDescent="0.35">
      <c r="C11720" s="51"/>
      <c r="D11720" s="51"/>
    </row>
    <row r="11721" spans="3:4" x14ac:dyDescent="0.35">
      <c r="C11721" s="51"/>
      <c r="D11721" s="51"/>
    </row>
    <row r="11722" spans="3:4" x14ac:dyDescent="0.35">
      <c r="C11722" s="51"/>
      <c r="D11722" s="51"/>
    </row>
    <row r="11723" spans="3:4" x14ac:dyDescent="0.35">
      <c r="C11723" s="51"/>
      <c r="D11723" s="51"/>
    </row>
    <row r="11724" spans="3:4" x14ac:dyDescent="0.35">
      <c r="C11724" s="51"/>
      <c r="D11724" s="51"/>
    </row>
    <row r="11725" spans="3:4" x14ac:dyDescent="0.35">
      <c r="C11725" s="51"/>
      <c r="D11725" s="51"/>
    </row>
    <row r="11726" spans="3:4" x14ac:dyDescent="0.35">
      <c r="C11726" s="51"/>
      <c r="D11726" s="51"/>
    </row>
    <row r="11727" spans="3:4" x14ac:dyDescent="0.35">
      <c r="C11727" s="51"/>
      <c r="D11727" s="51"/>
    </row>
    <row r="11728" spans="3:4" x14ac:dyDescent="0.35">
      <c r="C11728" s="51"/>
      <c r="D11728" s="51"/>
    </row>
    <row r="11729" spans="3:4" x14ac:dyDescent="0.35">
      <c r="C11729" s="51"/>
      <c r="D11729" s="51"/>
    </row>
    <row r="11730" spans="3:4" x14ac:dyDescent="0.35">
      <c r="C11730" s="51"/>
      <c r="D11730" s="51"/>
    </row>
    <row r="11731" spans="3:4" x14ac:dyDescent="0.35">
      <c r="C11731" s="51"/>
      <c r="D11731" s="51"/>
    </row>
    <row r="11732" spans="3:4" x14ac:dyDescent="0.35">
      <c r="C11732" s="51"/>
      <c r="D11732" s="51"/>
    </row>
    <row r="11733" spans="3:4" x14ac:dyDescent="0.35">
      <c r="C11733" s="51"/>
      <c r="D11733" s="51"/>
    </row>
    <row r="11734" spans="3:4" x14ac:dyDescent="0.35">
      <c r="C11734" s="51"/>
      <c r="D11734" s="51"/>
    </row>
    <row r="11735" spans="3:4" x14ac:dyDescent="0.35">
      <c r="C11735" s="51"/>
      <c r="D11735" s="51"/>
    </row>
    <row r="11736" spans="3:4" x14ac:dyDescent="0.35">
      <c r="C11736" s="51"/>
      <c r="D11736" s="51"/>
    </row>
    <row r="11737" spans="3:4" x14ac:dyDescent="0.35">
      <c r="C11737" s="51"/>
      <c r="D11737" s="51"/>
    </row>
    <row r="11738" spans="3:4" x14ac:dyDescent="0.35">
      <c r="C11738" s="51"/>
      <c r="D11738" s="51"/>
    </row>
    <row r="11739" spans="3:4" x14ac:dyDescent="0.35">
      <c r="C11739" s="51"/>
      <c r="D11739" s="51"/>
    </row>
    <row r="11740" spans="3:4" x14ac:dyDescent="0.35">
      <c r="C11740" s="51"/>
      <c r="D11740" s="51"/>
    </row>
    <row r="11741" spans="3:4" x14ac:dyDescent="0.35">
      <c r="C11741" s="51"/>
      <c r="D11741" s="51"/>
    </row>
    <row r="11742" spans="3:4" x14ac:dyDescent="0.35">
      <c r="C11742" s="51"/>
      <c r="D11742" s="51"/>
    </row>
    <row r="11743" spans="3:4" x14ac:dyDescent="0.35">
      <c r="C11743" s="51"/>
      <c r="D11743" s="51"/>
    </row>
    <row r="11744" spans="3:4" x14ac:dyDescent="0.35">
      <c r="C11744" s="51"/>
      <c r="D11744" s="51"/>
    </row>
    <row r="11745" spans="3:4" x14ac:dyDescent="0.35">
      <c r="C11745" s="51"/>
      <c r="D11745" s="51"/>
    </row>
    <row r="11746" spans="3:4" x14ac:dyDescent="0.35">
      <c r="C11746" s="51"/>
      <c r="D11746" s="51"/>
    </row>
    <row r="11747" spans="3:4" x14ac:dyDescent="0.35">
      <c r="C11747" s="51"/>
      <c r="D11747" s="51"/>
    </row>
    <row r="11748" spans="3:4" x14ac:dyDescent="0.35">
      <c r="C11748" s="51"/>
      <c r="D11748" s="51"/>
    </row>
    <row r="11749" spans="3:4" x14ac:dyDescent="0.35">
      <c r="C11749" s="51"/>
      <c r="D11749" s="51"/>
    </row>
    <row r="11750" spans="3:4" x14ac:dyDescent="0.35">
      <c r="C11750" s="51"/>
      <c r="D11750" s="51"/>
    </row>
    <row r="11751" spans="3:4" x14ac:dyDescent="0.35">
      <c r="C11751" s="51"/>
      <c r="D11751" s="51"/>
    </row>
    <row r="11752" spans="3:4" x14ac:dyDescent="0.35">
      <c r="C11752" s="51"/>
      <c r="D11752" s="51"/>
    </row>
    <row r="11753" spans="3:4" x14ac:dyDescent="0.35">
      <c r="C11753" s="51"/>
      <c r="D11753" s="51"/>
    </row>
    <row r="11754" spans="3:4" x14ac:dyDescent="0.35">
      <c r="C11754" s="51"/>
      <c r="D11754" s="51"/>
    </row>
    <row r="11755" spans="3:4" x14ac:dyDescent="0.35">
      <c r="C11755" s="51"/>
      <c r="D11755" s="51"/>
    </row>
    <row r="11756" spans="3:4" x14ac:dyDescent="0.35">
      <c r="C11756" s="51"/>
      <c r="D11756" s="51"/>
    </row>
    <row r="11757" spans="3:4" x14ac:dyDescent="0.35">
      <c r="C11757" s="51"/>
      <c r="D11757" s="51"/>
    </row>
    <row r="11758" spans="3:4" x14ac:dyDescent="0.35">
      <c r="C11758" s="51"/>
      <c r="D11758" s="51"/>
    </row>
    <row r="11759" spans="3:4" x14ac:dyDescent="0.35">
      <c r="C11759" s="51"/>
      <c r="D11759" s="51"/>
    </row>
    <row r="11760" spans="3:4" x14ac:dyDescent="0.35">
      <c r="C11760" s="51"/>
      <c r="D11760" s="51"/>
    </row>
    <row r="11761" spans="3:4" x14ac:dyDescent="0.35">
      <c r="C11761" s="51"/>
      <c r="D11761" s="51"/>
    </row>
    <row r="11762" spans="3:4" x14ac:dyDescent="0.35">
      <c r="C11762" s="51"/>
      <c r="D11762" s="51"/>
    </row>
    <row r="11763" spans="3:4" x14ac:dyDescent="0.35">
      <c r="C11763" s="51"/>
      <c r="D11763" s="51"/>
    </row>
    <row r="11764" spans="3:4" x14ac:dyDescent="0.35">
      <c r="C11764" s="51"/>
      <c r="D11764" s="51"/>
    </row>
    <row r="11765" spans="3:4" x14ac:dyDescent="0.35">
      <c r="C11765" s="51"/>
      <c r="D11765" s="51"/>
    </row>
    <row r="11766" spans="3:4" x14ac:dyDescent="0.35">
      <c r="C11766" s="51"/>
      <c r="D11766" s="51"/>
    </row>
    <row r="11767" spans="3:4" x14ac:dyDescent="0.35">
      <c r="C11767" s="51"/>
      <c r="D11767" s="51"/>
    </row>
    <row r="11768" spans="3:4" x14ac:dyDescent="0.35">
      <c r="C11768" s="51"/>
      <c r="D11768" s="51"/>
    </row>
    <row r="11769" spans="3:4" x14ac:dyDescent="0.35">
      <c r="C11769" s="51"/>
      <c r="D11769" s="51"/>
    </row>
    <row r="11770" spans="3:4" x14ac:dyDescent="0.35">
      <c r="C11770" s="51"/>
      <c r="D11770" s="51"/>
    </row>
    <row r="11771" spans="3:4" x14ac:dyDescent="0.35">
      <c r="C11771" s="51"/>
      <c r="D11771" s="51"/>
    </row>
    <row r="11772" spans="3:4" x14ac:dyDescent="0.35">
      <c r="C11772" s="51"/>
      <c r="D11772" s="51"/>
    </row>
    <row r="11773" spans="3:4" x14ac:dyDescent="0.35">
      <c r="C11773" s="51"/>
      <c r="D11773" s="51"/>
    </row>
    <row r="11774" spans="3:4" x14ac:dyDescent="0.35">
      <c r="C11774" s="51"/>
      <c r="D11774" s="51"/>
    </row>
    <row r="11775" spans="3:4" x14ac:dyDescent="0.35">
      <c r="C11775" s="51"/>
      <c r="D11775" s="51"/>
    </row>
    <row r="11776" spans="3:4" x14ac:dyDescent="0.35">
      <c r="C11776" s="51"/>
      <c r="D11776" s="51"/>
    </row>
    <row r="11777" spans="3:4" x14ac:dyDescent="0.35">
      <c r="C11777" s="51"/>
      <c r="D11777" s="51"/>
    </row>
    <row r="11778" spans="3:4" x14ac:dyDescent="0.35">
      <c r="C11778" s="51"/>
      <c r="D11778" s="51"/>
    </row>
    <row r="11779" spans="3:4" x14ac:dyDescent="0.35">
      <c r="C11779" s="51"/>
      <c r="D11779" s="51"/>
    </row>
    <row r="11780" spans="3:4" x14ac:dyDescent="0.35">
      <c r="C11780" s="51"/>
      <c r="D11780" s="51"/>
    </row>
    <row r="11781" spans="3:4" x14ac:dyDescent="0.35">
      <c r="C11781" s="51"/>
      <c r="D11781" s="51"/>
    </row>
    <row r="11782" spans="3:4" x14ac:dyDescent="0.35">
      <c r="C11782" s="51"/>
      <c r="D11782" s="51"/>
    </row>
    <row r="11783" spans="3:4" x14ac:dyDescent="0.35">
      <c r="C11783" s="51"/>
      <c r="D11783" s="51"/>
    </row>
    <row r="11784" spans="3:4" x14ac:dyDescent="0.35">
      <c r="C11784" s="51"/>
      <c r="D11784" s="51"/>
    </row>
    <row r="11785" spans="3:4" x14ac:dyDescent="0.35">
      <c r="C11785" s="51"/>
      <c r="D11785" s="51"/>
    </row>
    <row r="11786" spans="3:4" x14ac:dyDescent="0.35">
      <c r="C11786" s="51"/>
      <c r="D11786" s="51"/>
    </row>
    <row r="11787" spans="3:4" x14ac:dyDescent="0.35">
      <c r="C11787" s="51"/>
      <c r="D11787" s="51"/>
    </row>
    <row r="11788" spans="3:4" x14ac:dyDescent="0.35">
      <c r="C11788" s="51"/>
      <c r="D11788" s="51"/>
    </row>
    <row r="11789" spans="3:4" x14ac:dyDescent="0.35">
      <c r="C11789" s="51"/>
      <c r="D11789" s="51"/>
    </row>
    <row r="11790" spans="3:4" x14ac:dyDescent="0.35">
      <c r="C11790" s="51"/>
      <c r="D11790" s="51"/>
    </row>
    <row r="11791" spans="3:4" x14ac:dyDescent="0.35">
      <c r="C11791" s="51"/>
      <c r="D11791" s="51"/>
    </row>
    <row r="11792" spans="3:4" x14ac:dyDescent="0.35">
      <c r="C11792" s="51"/>
      <c r="D11792" s="51"/>
    </row>
    <row r="11793" spans="3:4" x14ac:dyDescent="0.35">
      <c r="C11793" s="51"/>
      <c r="D11793" s="51"/>
    </row>
    <row r="11794" spans="3:4" x14ac:dyDescent="0.35">
      <c r="C11794" s="51"/>
      <c r="D11794" s="51"/>
    </row>
    <row r="11795" spans="3:4" x14ac:dyDescent="0.35">
      <c r="C11795" s="51"/>
      <c r="D11795" s="51"/>
    </row>
    <row r="11796" spans="3:4" x14ac:dyDescent="0.35">
      <c r="C11796" s="51"/>
      <c r="D11796" s="51"/>
    </row>
    <row r="11797" spans="3:4" x14ac:dyDescent="0.35">
      <c r="C11797" s="51"/>
      <c r="D11797" s="51"/>
    </row>
    <row r="11798" spans="3:4" x14ac:dyDescent="0.35">
      <c r="C11798" s="51"/>
      <c r="D11798" s="51"/>
    </row>
    <row r="11799" spans="3:4" x14ac:dyDescent="0.35">
      <c r="C11799" s="51"/>
      <c r="D11799" s="51"/>
    </row>
    <row r="11800" spans="3:4" x14ac:dyDescent="0.35">
      <c r="C11800" s="51"/>
      <c r="D11800" s="51"/>
    </row>
    <row r="11801" spans="3:4" x14ac:dyDescent="0.35">
      <c r="C11801" s="51"/>
      <c r="D11801" s="51"/>
    </row>
    <row r="11802" spans="3:4" x14ac:dyDescent="0.35">
      <c r="C11802" s="51"/>
      <c r="D11802" s="51"/>
    </row>
    <row r="11803" spans="3:4" x14ac:dyDescent="0.35">
      <c r="C11803" s="51"/>
      <c r="D11803" s="51"/>
    </row>
    <row r="11804" spans="3:4" x14ac:dyDescent="0.35">
      <c r="C11804" s="51"/>
      <c r="D11804" s="51"/>
    </row>
    <row r="11805" spans="3:4" x14ac:dyDescent="0.35">
      <c r="C11805" s="51"/>
      <c r="D11805" s="51"/>
    </row>
    <row r="11806" spans="3:4" x14ac:dyDescent="0.35">
      <c r="C11806" s="51"/>
      <c r="D11806" s="51"/>
    </row>
    <row r="11807" spans="3:4" x14ac:dyDescent="0.35">
      <c r="C11807" s="51"/>
      <c r="D11807" s="51"/>
    </row>
    <row r="11808" spans="3:4" x14ac:dyDescent="0.35">
      <c r="C11808" s="51"/>
      <c r="D11808" s="51"/>
    </row>
    <row r="11809" spans="3:4" x14ac:dyDescent="0.35">
      <c r="C11809" s="51"/>
      <c r="D11809" s="51"/>
    </row>
    <row r="11810" spans="3:4" x14ac:dyDescent="0.35">
      <c r="C11810" s="51"/>
      <c r="D11810" s="51"/>
    </row>
    <row r="11811" spans="3:4" x14ac:dyDescent="0.35">
      <c r="C11811" s="51"/>
      <c r="D11811" s="51"/>
    </row>
    <row r="11812" spans="3:4" x14ac:dyDescent="0.35">
      <c r="C11812" s="51"/>
      <c r="D11812" s="51"/>
    </row>
    <row r="11813" spans="3:4" x14ac:dyDescent="0.35">
      <c r="C11813" s="51"/>
      <c r="D11813" s="51"/>
    </row>
    <row r="11814" spans="3:4" x14ac:dyDescent="0.35">
      <c r="C11814" s="51"/>
      <c r="D11814" s="51"/>
    </row>
    <row r="11815" spans="3:4" x14ac:dyDescent="0.35">
      <c r="C11815" s="51"/>
      <c r="D11815" s="51"/>
    </row>
    <row r="11816" spans="3:4" x14ac:dyDescent="0.35">
      <c r="C11816" s="51"/>
      <c r="D11816" s="51"/>
    </row>
    <row r="11817" spans="3:4" x14ac:dyDescent="0.35">
      <c r="C11817" s="51"/>
      <c r="D11817" s="51"/>
    </row>
    <row r="11818" spans="3:4" x14ac:dyDescent="0.35">
      <c r="C11818" s="51"/>
      <c r="D11818" s="51"/>
    </row>
    <row r="11819" spans="3:4" x14ac:dyDescent="0.35">
      <c r="C11819" s="51"/>
      <c r="D11819" s="51"/>
    </row>
    <row r="11820" spans="3:4" x14ac:dyDescent="0.35">
      <c r="C11820" s="51"/>
      <c r="D11820" s="51"/>
    </row>
    <row r="11821" spans="3:4" x14ac:dyDescent="0.35">
      <c r="C11821" s="51"/>
      <c r="D11821" s="51"/>
    </row>
    <row r="11822" spans="3:4" x14ac:dyDescent="0.35">
      <c r="C11822" s="51"/>
      <c r="D11822" s="51"/>
    </row>
    <row r="11823" spans="3:4" x14ac:dyDescent="0.35">
      <c r="C11823" s="51"/>
      <c r="D11823" s="51"/>
    </row>
    <row r="11824" spans="3:4" x14ac:dyDescent="0.35">
      <c r="C11824" s="51"/>
      <c r="D11824" s="51"/>
    </row>
    <row r="11825" spans="3:4" x14ac:dyDescent="0.35">
      <c r="C11825" s="51"/>
      <c r="D11825" s="51"/>
    </row>
    <row r="11826" spans="3:4" x14ac:dyDescent="0.35">
      <c r="C11826" s="51"/>
      <c r="D11826" s="51"/>
    </row>
    <row r="11827" spans="3:4" x14ac:dyDescent="0.35">
      <c r="C11827" s="51"/>
      <c r="D11827" s="51"/>
    </row>
    <row r="11828" spans="3:4" x14ac:dyDescent="0.35">
      <c r="C11828" s="51"/>
      <c r="D11828" s="51"/>
    </row>
    <row r="11829" spans="3:4" x14ac:dyDescent="0.35">
      <c r="C11829" s="51"/>
      <c r="D11829" s="51"/>
    </row>
    <row r="11830" spans="3:4" x14ac:dyDescent="0.35">
      <c r="C11830" s="51"/>
      <c r="D11830" s="51"/>
    </row>
    <row r="11831" spans="3:4" x14ac:dyDescent="0.35">
      <c r="C11831" s="51"/>
      <c r="D11831" s="51"/>
    </row>
    <row r="11832" spans="3:4" x14ac:dyDescent="0.35">
      <c r="C11832" s="51"/>
      <c r="D11832" s="51"/>
    </row>
    <row r="11833" spans="3:4" x14ac:dyDescent="0.35">
      <c r="C11833" s="51"/>
      <c r="D11833" s="51"/>
    </row>
    <row r="11834" spans="3:4" x14ac:dyDescent="0.35">
      <c r="C11834" s="51"/>
      <c r="D11834" s="51"/>
    </row>
    <row r="11835" spans="3:4" x14ac:dyDescent="0.35">
      <c r="C11835" s="51"/>
      <c r="D11835" s="51"/>
    </row>
    <row r="11836" spans="3:4" x14ac:dyDescent="0.35">
      <c r="C11836" s="51"/>
      <c r="D11836" s="51"/>
    </row>
    <row r="11837" spans="3:4" x14ac:dyDescent="0.35">
      <c r="C11837" s="51"/>
      <c r="D11837" s="51"/>
    </row>
    <row r="11838" spans="3:4" x14ac:dyDescent="0.35">
      <c r="C11838" s="51"/>
      <c r="D11838" s="51"/>
    </row>
    <row r="11839" spans="3:4" x14ac:dyDescent="0.35">
      <c r="C11839" s="51"/>
      <c r="D11839" s="51"/>
    </row>
    <row r="11840" spans="3:4" x14ac:dyDescent="0.35">
      <c r="C11840" s="51"/>
      <c r="D11840" s="51"/>
    </row>
    <row r="11841" spans="3:4" x14ac:dyDescent="0.35">
      <c r="C11841" s="51"/>
      <c r="D11841" s="51"/>
    </row>
    <row r="11842" spans="3:4" x14ac:dyDescent="0.35">
      <c r="C11842" s="51"/>
      <c r="D11842" s="51"/>
    </row>
    <row r="11843" spans="3:4" x14ac:dyDescent="0.35">
      <c r="C11843" s="51"/>
      <c r="D11843" s="51"/>
    </row>
    <row r="11844" spans="3:4" x14ac:dyDescent="0.35">
      <c r="C11844" s="51"/>
      <c r="D11844" s="51"/>
    </row>
    <row r="11845" spans="3:4" x14ac:dyDescent="0.35">
      <c r="C11845" s="51"/>
      <c r="D11845" s="51"/>
    </row>
    <row r="11846" spans="3:4" x14ac:dyDescent="0.35">
      <c r="C11846" s="51"/>
      <c r="D11846" s="51"/>
    </row>
    <row r="11847" spans="3:4" x14ac:dyDescent="0.35">
      <c r="C11847" s="51"/>
      <c r="D11847" s="51"/>
    </row>
    <row r="11848" spans="3:4" x14ac:dyDescent="0.35">
      <c r="C11848" s="51"/>
      <c r="D11848" s="51"/>
    </row>
    <row r="11849" spans="3:4" x14ac:dyDescent="0.35">
      <c r="C11849" s="51"/>
      <c r="D11849" s="51"/>
    </row>
    <row r="11850" spans="3:4" x14ac:dyDescent="0.35">
      <c r="C11850" s="51"/>
      <c r="D11850" s="51"/>
    </row>
    <row r="11851" spans="3:4" x14ac:dyDescent="0.35">
      <c r="C11851" s="51"/>
      <c r="D11851" s="51"/>
    </row>
    <row r="11852" spans="3:4" x14ac:dyDescent="0.35">
      <c r="C11852" s="51"/>
      <c r="D11852" s="51"/>
    </row>
    <row r="11853" spans="3:4" x14ac:dyDescent="0.35">
      <c r="C11853" s="51"/>
      <c r="D11853" s="51"/>
    </row>
    <row r="11854" spans="3:4" x14ac:dyDescent="0.35">
      <c r="C11854" s="51"/>
      <c r="D11854" s="51"/>
    </row>
    <row r="11855" spans="3:4" x14ac:dyDescent="0.35">
      <c r="C11855" s="51"/>
      <c r="D11855" s="51"/>
    </row>
    <row r="11856" spans="3:4" x14ac:dyDescent="0.35">
      <c r="C11856" s="51"/>
      <c r="D11856" s="51"/>
    </row>
    <row r="11857" spans="3:4" x14ac:dyDescent="0.35">
      <c r="C11857" s="51"/>
      <c r="D11857" s="51"/>
    </row>
    <row r="11858" spans="3:4" x14ac:dyDescent="0.35">
      <c r="C11858" s="51"/>
      <c r="D11858" s="51"/>
    </row>
    <row r="11859" spans="3:4" x14ac:dyDescent="0.35">
      <c r="C11859" s="51"/>
      <c r="D11859" s="51"/>
    </row>
    <row r="11860" spans="3:4" x14ac:dyDescent="0.35">
      <c r="C11860" s="51"/>
      <c r="D11860" s="51"/>
    </row>
    <row r="11861" spans="3:4" x14ac:dyDescent="0.35">
      <c r="C11861" s="51"/>
      <c r="D11861" s="51"/>
    </row>
    <row r="11862" spans="3:4" x14ac:dyDescent="0.35">
      <c r="C11862" s="51"/>
      <c r="D11862" s="51"/>
    </row>
    <row r="11863" spans="3:4" x14ac:dyDescent="0.35">
      <c r="C11863" s="51"/>
      <c r="D11863" s="51"/>
    </row>
    <row r="11864" spans="3:4" x14ac:dyDescent="0.35">
      <c r="C11864" s="51"/>
      <c r="D11864" s="51"/>
    </row>
    <row r="11865" spans="3:4" x14ac:dyDescent="0.35">
      <c r="C11865" s="51"/>
      <c r="D11865" s="51"/>
    </row>
    <row r="11866" spans="3:4" x14ac:dyDescent="0.35">
      <c r="C11866" s="51"/>
      <c r="D11866" s="51"/>
    </row>
    <row r="11867" spans="3:4" x14ac:dyDescent="0.35">
      <c r="C11867" s="51"/>
      <c r="D11867" s="51"/>
    </row>
    <row r="11868" spans="3:4" x14ac:dyDescent="0.35">
      <c r="C11868" s="51"/>
      <c r="D11868" s="51"/>
    </row>
    <row r="11869" spans="3:4" x14ac:dyDescent="0.35">
      <c r="C11869" s="51"/>
      <c r="D11869" s="51"/>
    </row>
    <row r="11870" spans="3:4" x14ac:dyDescent="0.35">
      <c r="C11870" s="51"/>
      <c r="D11870" s="51"/>
    </row>
    <row r="11871" spans="3:4" x14ac:dyDescent="0.35">
      <c r="C11871" s="51"/>
      <c r="D11871" s="51"/>
    </row>
    <row r="11872" spans="3:4" x14ac:dyDescent="0.35">
      <c r="C11872" s="51"/>
      <c r="D11872" s="51"/>
    </row>
    <row r="11873" spans="3:4" x14ac:dyDescent="0.35">
      <c r="C11873" s="51"/>
      <c r="D11873" s="51"/>
    </row>
    <row r="11874" spans="3:4" x14ac:dyDescent="0.35">
      <c r="C11874" s="51"/>
      <c r="D11874" s="51"/>
    </row>
    <row r="11875" spans="3:4" x14ac:dyDescent="0.35">
      <c r="C11875" s="51"/>
      <c r="D11875" s="51"/>
    </row>
    <row r="11876" spans="3:4" x14ac:dyDescent="0.35">
      <c r="C11876" s="51"/>
      <c r="D11876" s="51"/>
    </row>
    <row r="11877" spans="3:4" x14ac:dyDescent="0.35">
      <c r="C11877" s="51"/>
      <c r="D11877" s="51"/>
    </row>
    <row r="11878" spans="3:4" x14ac:dyDescent="0.35">
      <c r="C11878" s="51"/>
      <c r="D11878" s="51"/>
    </row>
    <row r="11879" spans="3:4" x14ac:dyDescent="0.35">
      <c r="C11879" s="51"/>
      <c r="D11879" s="51"/>
    </row>
    <row r="11880" spans="3:4" x14ac:dyDescent="0.35">
      <c r="C11880" s="51"/>
      <c r="D11880" s="51"/>
    </row>
    <row r="11881" spans="3:4" x14ac:dyDescent="0.35">
      <c r="C11881" s="51"/>
      <c r="D11881" s="51"/>
    </row>
    <row r="11882" spans="3:4" x14ac:dyDescent="0.35">
      <c r="C11882" s="51"/>
      <c r="D11882" s="51"/>
    </row>
    <row r="11883" spans="3:4" x14ac:dyDescent="0.35">
      <c r="C11883" s="51"/>
      <c r="D11883" s="51"/>
    </row>
    <row r="11884" spans="3:4" x14ac:dyDescent="0.35">
      <c r="C11884" s="51"/>
      <c r="D11884" s="51"/>
    </row>
    <row r="11885" spans="3:4" x14ac:dyDescent="0.35">
      <c r="C11885" s="51"/>
      <c r="D11885" s="51"/>
    </row>
    <row r="11886" spans="3:4" x14ac:dyDescent="0.35">
      <c r="C11886" s="51"/>
      <c r="D11886" s="51"/>
    </row>
    <row r="11887" spans="3:4" x14ac:dyDescent="0.35">
      <c r="C11887" s="51"/>
      <c r="D11887" s="51"/>
    </row>
    <row r="11888" spans="3:4" x14ac:dyDescent="0.35">
      <c r="C11888" s="51"/>
      <c r="D11888" s="51"/>
    </row>
    <row r="11889" spans="3:4" x14ac:dyDescent="0.35">
      <c r="C11889" s="51"/>
      <c r="D11889" s="51"/>
    </row>
    <row r="11890" spans="3:4" x14ac:dyDescent="0.35">
      <c r="C11890" s="51"/>
      <c r="D11890" s="51"/>
    </row>
    <row r="11891" spans="3:4" x14ac:dyDescent="0.35">
      <c r="C11891" s="51"/>
      <c r="D11891" s="51"/>
    </row>
    <row r="11892" spans="3:4" x14ac:dyDescent="0.35">
      <c r="C11892" s="51"/>
      <c r="D11892" s="51"/>
    </row>
    <row r="11893" spans="3:4" x14ac:dyDescent="0.35">
      <c r="C11893" s="51"/>
      <c r="D11893" s="51"/>
    </row>
    <row r="11894" spans="3:4" x14ac:dyDescent="0.35">
      <c r="C11894" s="51"/>
      <c r="D11894" s="51"/>
    </row>
    <row r="11895" spans="3:4" x14ac:dyDescent="0.35">
      <c r="C11895" s="51"/>
      <c r="D11895" s="51"/>
    </row>
    <row r="11896" spans="3:4" x14ac:dyDescent="0.35">
      <c r="C11896" s="51"/>
      <c r="D11896" s="51"/>
    </row>
    <row r="11897" spans="3:4" x14ac:dyDescent="0.35">
      <c r="C11897" s="51"/>
      <c r="D11897" s="51"/>
    </row>
    <row r="11898" spans="3:4" x14ac:dyDescent="0.35">
      <c r="C11898" s="51"/>
      <c r="D11898" s="51"/>
    </row>
    <row r="11899" spans="3:4" x14ac:dyDescent="0.35">
      <c r="C11899" s="51"/>
      <c r="D11899" s="51"/>
    </row>
    <row r="11900" spans="3:4" x14ac:dyDescent="0.35">
      <c r="C11900" s="51"/>
      <c r="D11900" s="51"/>
    </row>
    <row r="11901" spans="3:4" x14ac:dyDescent="0.35">
      <c r="C11901" s="51"/>
      <c r="D11901" s="51"/>
    </row>
    <row r="11902" spans="3:4" x14ac:dyDescent="0.35">
      <c r="C11902" s="51"/>
      <c r="D11902" s="51"/>
    </row>
    <row r="11903" spans="3:4" x14ac:dyDescent="0.35">
      <c r="C11903" s="51"/>
      <c r="D11903" s="51"/>
    </row>
    <row r="11904" spans="3:4" x14ac:dyDescent="0.35">
      <c r="C11904" s="51"/>
      <c r="D11904" s="51"/>
    </row>
    <row r="11905" spans="3:4" x14ac:dyDescent="0.35">
      <c r="C11905" s="51"/>
      <c r="D11905" s="51"/>
    </row>
    <row r="11906" spans="3:4" x14ac:dyDescent="0.35">
      <c r="C11906" s="51"/>
      <c r="D11906" s="51"/>
    </row>
    <row r="11907" spans="3:4" x14ac:dyDescent="0.35">
      <c r="C11907" s="51"/>
      <c r="D11907" s="51"/>
    </row>
    <row r="11908" spans="3:4" x14ac:dyDescent="0.35">
      <c r="C11908" s="51"/>
      <c r="D11908" s="51"/>
    </row>
    <row r="11909" spans="3:4" x14ac:dyDescent="0.35">
      <c r="C11909" s="51"/>
      <c r="D11909" s="51"/>
    </row>
    <row r="11910" spans="3:4" x14ac:dyDescent="0.35">
      <c r="C11910" s="51"/>
      <c r="D11910" s="51"/>
    </row>
    <row r="11911" spans="3:4" x14ac:dyDescent="0.35">
      <c r="C11911" s="51"/>
      <c r="D11911" s="51"/>
    </row>
    <row r="11912" spans="3:4" x14ac:dyDescent="0.35">
      <c r="C11912" s="51"/>
      <c r="D11912" s="51"/>
    </row>
    <row r="11913" spans="3:4" x14ac:dyDescent="0.35">
      <c r="C11913" s="51"/>
      <c r="D11913" s="51"/>
    </row>
    <row r="11914" spans="3:4" x14ac:dyDescent="0.35">
      <c r="C11914" s="51"/>
      <c r="D11914" s="51"/>
    </row>
    <row r="11915" spans="3:4" x14ac:dyDescent="0.35">
      <c r="C11915" s="51"/>
      <c r="D11915" s="51"/>
    </row>
    <row r="11916" spans="3:4" x14ac:dyDescent="0.35">
      <c r="C11916" s="51"/>
      <c r="D11916" s="51"/>
    </row>
    <row r="11917" spans="3:4" x14ac:dyDescent="0.35">
      <c r="C11917" s="51"/>
      <c r="D11917" s="51"/>
    </row>
    <row r="11918" spans="3:4" x14ac:dyDescent="0.35">
      <c r="C11918" s="51"/>
      <c r="D11918" s="51"/>
    </row>
    <row r="11919" spans="3:4" x14ac:dyDescent="0.35">
      <c r="C11919" s="51"/>
      <c r="D11919" s="51"/>
    </row>
    <row r="11920" spans="3:4" x14ac:dyDescent="0.35">
      <c r="C11920" s="51"/>
      <c r="D11920" s="51"/>
    </row>
    <row r="11921" spans="3:4" x14ac:dyDescent="0.35">
      <c r="C11921" s="51"/>
      <c r="D11921" s="51"/>
    </row>
    <row r="11922" spans="3:4" x14ac:dyDescent="0.35">
      <c r="C11922" s="51"/>
      <c r="D11922" s="51"/>
    </row>
    <row r="11923" spans="3:4" x14ac:dyDescent="0.35">
      <c r="C11923" s="51"/>
      <c r="D11923" s="51"/>
    </row>
    <row r="11924" spans="3:4" x14ac:dyDescent="0.35">
      <c r="C11924" s="51"/>
      <c r="D11924" s="51"/>
    </row>
    <row r="11925" spans="3:4" x14ac:dyDescent="0.35">
      <c r="C11925" s="51"/>
      <c r="D11925" s="51"/>
    </row>
    <row r="11926" spans="3:4" x14ac:dyDescent="0.35">
      <c r="C11926" s="51"/>
      <c r="D11926" s="51"/>
    </row>
    <row r="11927" spans="3:4" x14ac:dyDescent="0.35">
      <c r="C11927" s="51"/>
      <c r="D11927" s="51"/>
    </row>
    <row r="11928" spans="3:4" x14ac:dyDescent="0.35">
      <c r="C11928" s="51"/>
      <c r="D11928" s="51"/>
    </row>
    <row r="11929" spans="3:4" x14ac:dyDescent="0.35">
      <c r="C11929" s="51"/>
      <c r="D11929" s="51"/>
    </row>
    <row r="11930" spans="3:4" x14ac:dyDescent="0.35">
      <c r="C11930" s="51"/>
      <c r="D11930" s="51"/>
    </row>
    <row r="11931" spans="3:4" x14ac:dyDescent="0.35">
      <c r="C11931" s="51"/>
      <c r="D11931" s="51"/>
    </row>
    <row r="11932" spans="3:4" x14ac:dyDescent="0.35">
      <c r="C11932" s="51"/>
      <c r="D11932" s="51"/>
    </row>
    <row r="11933" spans="3:4" x14ac:dyDescent="0.35">
      <c r="C11933" s="51"/>
      <c r="D11933" s="51"/>
    </row>
    <row r="11934" spans="3:4" x14ac:dyDescent="0.35">
      <c r="C11934" s="51"/>
      <c r="D11934" s="51"/>
    </row>
    <row r="11935" spans="3:4" x14ac:dyDescent="0.35">
      <c r="C11935" s="51"/>
      <c r="D11935" s="51"/>
    </row>
    <row r="11936" spans="3:4" x14ac:dyDescent="0.35">
      <c r="C11936" s="51"/>
      <c r="D11936" s="51"/>
    </row>
    <row r="11937" spans="3:4" x14ac:dyDescent="0.35">
      <c r="C11937" s="51"/>
      <c r="D11937" s="51"/>
    </row>
    <row r="11938" spans="3:4" x14ac:dyDescent="0.35">
      <c r="C11938" s="51"/>
      <c r="D11938" s="51"/>
    </row>
    <row r="11939" spans="3:4" x14ac:dyDescent="0.35">
      <c r="C11939" s="51"/>
      <c r="D11939" s="51"/>
    </row>
    <row r="11940" spans="3:4" x14ac:dyDescent="0.35">
      <c r="C11940" s="51"/>
      <c r="D11940" s="51"/>
    </row>
    <row r="11941" spans="3:4" x14ac:dyDescent="0.35">
      <c r="C11941" s="51"/>
      <c r="D11941" s="51"/>
    </row>
    <row r="11942" spans="3:4" x14ac:dyDescent="0.35">
      <c r="C11942" s="51"/>
      <c r="D11942" s="51"/>
    </row>
    <row r="11943" spans="3:4" x14ac:dyDescent="0.35">
      <c r="C11943" s="51"/>
      <c r="D11943" s="51"/>
    </row>
    <row r="11944" spans="3:4" x14ac:dyDescent="0.35">
      <c r="C11944" s="51"/>
      <c r="D11944" s="51"/>
    </row>
    <row r="11945" spans="3:4" x14ac:dyDescent="0.35">
      <c r="C11945" s="51"/>
      <c r="D11945" s="51"/>
    </row>
    <row r="11946" spans="3:4" x14ac:dyDescent="0.35">
      <c r="C11946" s="51"/>
      <c r="D11946" s="51"/>
    </row>
    <row r="11947" spans="3:4" x14ac:dyDescent="0.35">
      <c r="C11947" s="51"/>
      <c r="D11947" s="51"/>
    </row>
    <row r="11948" spans="3:4" x14ac:dyDescent="0.35">
      <c r="C11948" s="51"/>
      <c r="D11948" s="51"/>
    </row>
    <row r="11949" spans="3:4" x14ac:dyDescent="0.35">
      <c r="C11949" s="51"/>
      <c r="D11949" s="51"/>
    </row>
    <row r="11950" spans="3:4" x14ac:dyDescent="0.35">
      <c r="C11950" s="51"/>
      <c r="D11950" s="51"/>
    </row>
    <row r="11951" spans="3:4" x14ac:dyDescent="0.35">
      <c r="C11951" s="51"/>
      <c r="D11951" s="51"/>
    </row>
    <row r="11952" spans="3:4" x14ac:dyDescent="0.35">
      <c r="C11952" s="51"/>
      <c r="D11952" s="51"/>
    </row>
    <row r="11953" spans="3:4" x14ac:dyDescent="0.35">
      <c r="C11953" s="51"/>
      <c r="D11953" s="51"/>
    </row>
    <row r="11954" spans="3:4" x14ac:dyDescent="0.35">
      <c r="C11954" s="51"/>
      <c r="D11954" s="51"/>
    </row>
    <row r="11955" spans="3:4" x14ac:dyDescent="0.35">
      <c r="C11955" s="51"/>
      <c r="D11955" s="51"/>
    </row>
    <row r="11956" spans="3:4" x14ac:dyDescent="0.35">
      <c r="C11956" s="51"/>
      <c r="D11956" s="51"/>
    </row>
    <row r="11957" spans="3:4" x14ac:dyDescent="0.35">
      <c r="C11957" s="51"/>
      <c r="D11957" s="51"/>
    </row>
    <row r="11958" spans="3:4" x14ac:dyDescent="0.35">
      <c r="C11958" s="51"/>
      <c r="D11958" s="51"/>
    </row>
    <row r="11959" spans="3:4" x14ac:dyDescent="0.35">
      <c r="C11959" s="51"/>
      <c r="D11959" s="51"/>
    </row>
    <row r="11960" spans="3:4" x14ac:dyDescent="0.35">
      <c r="C11960" s="51"/>
      <c r="D11960" s="51"/>
    </row>
    <row r="11961" spans="3:4" x14ac:dyDescent="0.35">
      <c r="C11961" s="51"/>
      <c r="D11961" s="51"/>
    </row>
    <row r="11962" spans="3:4" x14ac:dyDescent="0.35">
      <c r="C11962" s="51"/>
      <c r="D11962" s="51"/>
    </row>
    <row r="11963" spans="3:4" x14ac:dyDescent="0.35">
      <c r="C11963" s="51"/>
      <c r="D11963" s="51"/>
    </row>
    <row r="11964" spans="3:4" x14ac:dyDescent="0.35">
      <c r="C11964" s="51"/>
      <c r="D11964" s="51"/>
    </row>
    <row r="11965" spans="3:4" x14ac:dyDescent="0.35">
      <c r="C11965" s="51"/>
      <c r="D11965" s="51"/>
    </row>
    <row r="11966" spans="3:4" x14ac:dyDescent="0.35">
      <c r="C11966" s="51"/>
      <c r="D11966" s="51"/>
    </row>
    <row r="11967" spans="3:4" x14ac:dyDescent="0.35">
      <c r="C11967" s="51"/>
      <c r="D11967" s="51"/>
    </row>
    <row r="11968" spans="3:4" x14ac:dyDescent="0.35">
      <c r="C11968" s="51"/>
      <c r="D11968" s="51"/>
    </row>
    <row r="11969" spans="3:4" x14ac:dyDescent="0.35">
      <c r="C11969" s="51"/>
      <c r="D11969" s="51"/>
    </row>
    <row r="11970" spans="3:4" x14ac:dyDescent="0.35">
      <c r="C11970" s="51"/>
      <c r="D11970" s="51"/>
    </row>
    <row r="11971" spans="3:4" x14ac:dyDescent="0.35">
      <c r="C11971" s="51"/>
      <c r="D11971" s="51"/>
    </row>
    <row r="11972" spans="3:4" x14ac:dyDescent="0.35">
      <c r="C11972" s="51"/>
      <c r="D11972" s="51"/>
    </row>
    <row r="11973" spans="3:4" x14ac:dyDescent="0.35">
      <c r="C11973" s="51"/>
      <c r="D11973" s="51"/>
    </row>
    <row r="11974" spans="3:4" x14ac:dyDescent="0.35">
      <c r="C11974" s="51"/>
      <c r="D11974" s="51"/>
    </row>
    <row r="11975" spans="3:4" x14ac:dyDescent="0.35">
      <c r="C11975" s="51"/>
      <c r="D11975" s="51"/>
    </row>
    <row r="11976" spans="3:4" x14ac:dyDescent="0.35">
      <c r="C11976" s="51"/>
      <c r="D11976" s="51"/>
    </row>
    <row r="11977" spans="3:4" x14ac:dyDescent="0.35">
      <c r="C11977" s="51"/>
      <c r="D11977" s="51"/>
    </row>
    <row r="11978" spans="3:4" x14ac:dyDescent="0.35">
      <c r="C11978" s="51"/>
      <c r="D11978" s="51"/>
    </row>
    <row r="11979" spans="3:4" x14ac:dyDescent="0.35">
      <c r="C11979" s="51"/>
      <c r="D11979" s="51"/>
    </row>
    <row r="11980" spans="3:4" x14ac:dyDescent="0.35">
      <c r="C11980" s="51"/>
      <c r="D11980" s="51"/>
    </row>
    <row r="11981" spans="3:4" x14ac:dyDescent="0.35">
      <c r="C11981" s="51"/>
      <c r="D11981" s="51"/>
    </row>
    <row r="11982" spans="3:4" x14ac:dyDescent="0.35">
      <c r="C11982" s="51"/>
      <c r="D11982" s="51"/>
    </row>
    <row r="11983" spans="3:4" x14ac:dyDescent="0.35">
      <c r="C11983" s="51"/>
      <c r="D11983" s="51"/>
    </row>
    <row r="11984" spans="3:4" x14ac:dyDescent="0.35">
      <c r="C11984" s="51"/>
      <c r="D11984" s="51"/>
    </row>
    <row r="11985" spans="3:4" x14ac:dyDescent="0.35">
      <c r="C11985" s="51"/>
      <c r="D11985" s="51"/>
    </row>
    <row r="11986" spans="3:4" x14ac:dyDescent="0.35">
      <c r="C11986" s="51"/>
      <c r="D11986" s="51"/>
    </row>
    <row r="11987" spans="3:4" x14ac:dyDescent="0.35">
      <c r="C11987" s="51"/>
      <c r="D11987" s="51"/>
    </row>
    <row r="11988" spans="3:4" x14ac:dyDescent="0.35">
      <c r="C11988" s="51"/>
      <c r="D11988" s="51"/>
    </row>
    <row r="11989" spans="3:4" x14ac:dyDescent="0.35">
      <c r="C11989" s="51"/>
      <c r="D11989" s="51"/>
    </row>
    <row r="11990" spans="3:4" x14ac:dyDescent="0.35">
      <c r="C11990" s="51"/>
      <c r="D11990" s="51"/>
    </row>
    <row r="11991" spans="3:4" x14ac:dyDescent="0.35">
      <c r="C11991" s="51"/>
      <c r="D11991" s="51"/>
    </row>
    <row r="11992" spans="3:4" x14ac:dyDescent="0.35">
      <c r="C11992" s="51"/>
      <c r="D11992" s="51"/>
    </row>
    <row r="11993" spans="3:4" x14ac:dyDescent="0.35">
      <c r="C11993" s="51"/>
      <c r="D11993" s="51"/>
    </row>
    <row r="11994" spans="3:4" x14ac:dyDescent="0.35">
      <c r="C11994" s="51"/>
      <c r="D11994" s="51"/>
    </row>
    <row r="11995" spans="3:4" x14ac:dyDescent="0.35">
      <c r="C11995" s="51"/>
      <c r="D11995" s="51"/>
    </row>
    <row r="11996" spans="3:4" x14ac:dyDescent="0.35">
      <c r="C11996" s="51"/>
      <c r="D11996" s="51"/>
    </row>
    <row r="11997" spans="3:4" x14ac:dyDescent="0.35">
      <c r="C11997" s="51"/>
      <c r="D11997" s="51"/>
    </row>
    <row r="11998" spans="3:4" x14ac:dyDescent="0.35">
      <c r="C11998" s="51"/>
      <c r="D11998" s="51"/>
    </row>
    <row r="11999" spans="3:4" x14ac:dyDescent="0.35">
      <c r="C11999" s="51"/>
      <c r="D11999" s="51"/>
    </row>
    <row r="12000" spans="3:4" x14ac:dyDescent="0.35">
      <c r="C12000" s="51"/>
      <c r="D12000" s="51"/>
    </row>
    <row r="12001" spans="3:4" x14ac:dyDescent="0.35">
      <c r="C12001" s="51"/>
      <c r="D12001" s="51"/>
    </row>
    <row r="12002" spans="3:4" x14ac:dyDescent="0.35">
      <c r="C12002" s="51"/>
      <c r="D12002" s="51"/>
    </row>
    <row r="12003" spans="3:4" x14ac:dyDescent="0.35">
      <c r="C12003" s="51"/>
      <c r="D12003" s="51"/>
    </row>
    <row r="12004" spans="3:4" x14ac:dyDescent="0.35">
      <c r="C12004" s="51"/>
      <c r="D12004" s="51"/>
    </row>
    <row r="12005" spans="3:4" x14ac:dyDescent="0.35">
      <c r="C12005" s="51"/>
      <c r="D12005" s="51"/>
    </row>
    <row r="12006" spans="3:4" x14ac:dyDescent="0.35">
      <c r="C12006" s="51"/>
      <c r="D12006" s="51"/>
    </row>
    <row r="12007" spans="3:4" x14ac:dyDescent="0.35">
      <c r="C12007" s="51"/>
      <c r="D12007" s="51"/>
    </row>
    <row r="12008" spans="3:4" x14ac:dyDescent="0.35">
      <c r="C12008" s="51"/>
      <c r="D12008" s="51"/>
    </row>
    <row r="12009" spans="3:4" x14ac:dyDescent="0.35">
      <c r="C12009" s="51"/>
      <c r="D12009" s="51"/>
    </row>
    <row r="12010" spans="3:4" x14ac:dyDescent="0.35">
      <c r="C12010" s="51"/>
      <c r="D12010" s="51"/>
    </row>
    <row r="12011" spans="3:4" x14ac:dyDescent="0.35">
      <c r="C12011" s="51"/>
      <c r="D12011" s="51"/>
    </row>
    <row r="12012" spans="3:4" x14ac:dyDescent="0.35">
      <c r="C12012" s="51"/>
      <c r="D12012" s="51"/>
    </row>
    <row r="12013" spans="3:4" x14ac:dyDescent="0.35">
      <c r="C12013" s="51"/>
      <c r="D12013" s="51"/>
    </row>
    <row r="12014" spans="3:4" x14ac:dyDescent="0.35">
      <c r="C12014" s="51"/>
      <c r="D12014" s="51"/>
    </row>
    <row r="12015" spans="3:4" x14ac:dyDescent="0.35">
      <c r="C12015" s="51"/>
      <c r="D12015" s="51"/>
    </row>
    <row r="12016" spans="3:4" x14ac:dyDescent="0.35">
      <c r="C12016" s="51"/>
      <c r="D12016" s="51"/>
    </row>
    <row r="12017" spans="3:4" x14ac:dyDescent="0.35">
      <c r="C12017" s="51"/>
      <c r="D12017" s="51"/>
    </row>
    <row r="12018" spans="3:4" x14ac:dyDescent="0.35">
      <c r="C12018" s="51"/>
      <c r="D12018" s="51"/>
    </row>
    <row r="12019" spans="3:4" x14ac:dyDescent="0.35">
      <c r="C12019" s="51"/>
      <c r="D12019" s="51"/>
    </row>
    <row r="12020" spans="3:4" x14ac:dyDescent="0.35">
      <c r="C12020" s="51"/>
      <c r="D12020" s="51"/>
    </row>
    <row r="12021" spans="3:4" x14ac:dyDescent="0.35">
      <c r="C12021" s="51"/>
      <c r="D12021" s="51"/>
    </row>
    <row r="12022" spans="3:4" x14ac:dyDescent="0.35">
      <c r="C12022" s="51"/>
      <c r="D12022" s="51"/>
    </row>
    <row r="12023" spans="3:4" x14ac:dyDescent="0.35">
      <c r="C12023" s="51"/>
      <c r="D12023" s="51"/>
    </row>
    <row r="12024" spans="3:4" x14ac:dyDescent="0.35">
      <c r="C12024" s="51"/>
      <c r="D12024" s="51"/>
    </row>
    <row r="12025" spans="3:4" x14ac:dyDescent="0.35">
      <c r="C12025" s="51"/>
      <c r="D12025" s="51"/>
    </row>
    <row r="12026" spans="3:4" x14ac:dyDescent="0.35">
      <c r="C12026" s="51"/>
      <c r="D12026" s="51"/>
    </row>
    <row r="12027" spans="3:4" x14ac:dyDescent="0.35">
      <c r="C12027" s="51"/>
      <c r="D12027" s="51"/>
    </row>
    <row r="12028" spans="3:4" x14ac:dyDescent="0.35">
      <c r="C12028" s="51"/>
      <c r="D12028" s="51"/>
    </row>
    <row r="12029" spans="3:4" x14ac:dyDescent="0.35">
      <c r="C12029" s="51"/>
      <c r="D12029" s="51"/>
    </row>
    <row r="12030" spans="3:4" x14ac:dyDescent="0.35">
      <c r="C12030" s="51"/>
      <c r="D12030" s="51"/>
    </row>
    <row r="12031" spans="3:4" x14ac:dyDescent="0.35">
      <c r="C12031" s="51"/>
      <c r="D12031" s="51"/>
    </row>
    <row r="12032" spans="3:4" x14ac:dyDescent="0.35">
      <c r="C12032" s="51"/>
      <c r="D12032" s="51"/>
    </row>
    <row r="12033" spans="3:4" x14ac:dyDescent="0.35">
      <c r="C12033" s="51"/>
      <c r="D12033" s="51"/>
    </row>
    <row r="12034" spans="3:4" x14ac:dyDescent="0.35">
      <c r="C12034" s="51"/>
      <c r="D12034" s="51"/>
    </row>
    <row r="12035" spans="3:4" x14ac:dyDescent="0.35">
      <c r="C12035" s="51"/>
      <c r="D12035" s="51"/>
    </row>
    <row r="12036" spans="3:4" x14ac:dyDescent="0.35">
      <c r="C12036" s="51"/>
      <c r="D12036" s="51"/>
    </row>
    <row r="12037" spans="3:4" x14ac:dyDescent="0.35">
      <c r="C12037" s="51"/>
      <c r="D12037" s="51"/>
    </row>
    <row r="12038" spans="3:4" x14ac:dyDescent="0.35">
      <c r="C12038" s="51"/>
      <c r="D12038" s="51"/>
    </row>
    <row r="12039" spans="3:4" x14ac:dyDescent="0.35">
      <c r="C12039" s="51"/>
      <c r="D12039" s="51"/>
    </row>
    <row r="12040" spans="3:4" x14ac:dyDescent="0.35">
      <c r="C12040" s="51"/>
      <c r="D12040" s="51"/>
    </row>
    <row r="12041" spans="3:4" x14ac:dyDescent="0.35">
      <c r="C12041" s="51"/>
      <c r="D12041" s="51"/>
    </row>
    <row r="12042" spans="3:4" x14ac:dyDescent="0.35">
      <c r="C12042" s="51"/>
      <c r="D12042" s="51"/>
    </row>
    <row r="12043" spans="3:4" x14ac:dyDescent="0.35">
      <c r="C12043" s="51"/>
      <c r="D12043" s="51"/>
    </row>
    <row r="12044" spans="3:4" x14ac:dyDescent="0.35">
      <c r="C12044" s="51"/>
      <c r="D12044" s="51"/>
    </row>
    <row r="12045" spans="3:4" x14ac:dyDescent="0.35">
      <c r="C12045" s="51"/>
      <c r="D12045" s="51"/>
    </row>
    <row r="12046" spans="3:4" x14ac:dyDescent="0.35">
      <c r="C12046" s="51"/>
      <c r="D12046" s="51"/>
    </row>
    <row r="12047" spans="3:4" x14ac:dyDescent="0.35">
      <c r="C12047" s="51"/>
      <c r="D12047" s="51"/>
    </row>
    <row r="12048" spans="3:4" x14ac:dyDescent="0.35">
      <c r="C12048" s="51"/>
      <c r="D12048" s="51"/>
    </row>
    <row r="12049" spans="3:4" x14ac:dyDescent="0.35">
      <c r="C12049" s="51"/>
      <c r="D12049" s="51"/>
    </row>
    <row r="12050" spans="3:4" x14ac:dyDescent="0.35">
      <c r="C12050" s="51"/>
      <c r="D12050" s="51"/>
    </row>
    <row r="12051" spans="3:4" x14ac:dyDescent="0.35">
      <c r="C12051" s="51"/>
      <c r="D12051" s="51"/>
    </row>
    <row r="12052" spans="3:4" x14ac:dyDescent="0.35">
      <c r="C12052" s="51"/>
      <c r="D12052" s="51"/>
    </row>
    <row r="12053" spans="3:4" x14ac:dyDescent="0.35">
      <c r="C12053" s="51"/>
      <c r="D12053" s="51"/>
    </row>
    <row r="12054" spans="3:4" x14ac:dyDescent="0.35">
      <c r="C12054" s="51"/>
      <c r="D12054" s="51"/>
    </row>
    <row r="12055" spans="3:4" x14ac:dyDescent="0.35">
      <c r="C12055" s="51"/>
      <c r="D12055" s="51"/>
    </row>
    <row r="12056" spans="3:4" x14ac:dyDescent="0.35">
      <c r="C12056" s="51"/>
      <c r="D12056" s="51"/>
    </row>
    <row r="12057" spans="3:4" x14ac:dyDescent="0.35">
      <c r="C12057" s="51"/>
      <c r="D12057" s="51"/>
    </row>
    <row r="12058" spans="3:4" x14ac:dyDescent="0.35">
      <c r="C12058" s="51"/>
      <c r="D12058" s="51"/>
    </row>
    <row r="12059" spans="3:4" x14ac:dyDescent="0.35">
      <c r="C12059" s="51"/>
      <c r="D12059" s="51"/>
    </row>
    <row r="12060" spans="3:4" x14ac:dyDescent="0.35">
      <c r="C12060" s="51"/>
      <c r="D12060" s="51"/>
    </row>
    <row r="12061" spans="3:4" x14ac:dyDescent="0.35">
      <c r="C12061" s="51"/>
      <c r="D12061" s="51"/>
    </row>
    <row r="12062" spans="3:4" x14ac:dyDescent="0.35">
      <c r="C12062" s="51"/>
      <c r="D12062" s="51"/>
    </row>
    <row r="12063" spans="3:4" x14ac:dyDescent="0.35">
      <c r="C12063" s="51"/>
      <c r="D12063" s="51"/>
    </row>
    <row r="12064" spans="3:4" x14ac:dyDescent="0.35">
      <c r="C12064" s="51"/>
      <c r="D12064" s="51"/>
    </row>
    <row r="12065" spans="3:4" x14ac:dyDescent="0.35">
      <c r="C12065" s="51"/>
      <c r="D12065" s="51"/>
    </row>
    <row r="12066" spans="3:4" x14ac:dyDescent="0.35">
      <c r="C12066" s="51"/>
      <c r="D12066" s="51"/>
    </row>
    <row r="12067" spans="3:4" x14ac:dyDescent="0.35">
      <c r="C12067" s="51"/>
      <c r="D12067" s="51"/>
    </row>
    <row r="12068" spans="3:4" x14ac:dyDescent="0.35">
      <c r="C12068" s="51"/>
      <c r="D12068" s="51"/>
    </row>
    <row r="12069" spans="3:4" x14ac:dyDescent="0.35">
      <c r="C12069" s="51"/>
      <c r="D12069" s="51"/>
    </row>
    <row r="12070" spans="3:4" x14ac:dyDescent="0.35">
      <c r="C12070" s="51"/>
      <c r="D12070" s="51"/>
    </row>
    <row r="12071" spans="3:4" x14ac:dyDescent="0.35">
      <c r="C12071" s="51"/>
      <c r="D12071" s="51"/>
    </row>
    <row r="12072" spans="3:4" x14ac:dyDescent="0.35">
      <c r="C12072" s="51"/>
      <c r="D12072" s="51"/>
    </row>
    <row r="12073" spans="3:4" x14ac:dyDescent="0.35">
      <c r="C12073" s="51"/>
      <c r="D12073" s="51"/>
    </row>
    <row r="12074" spans="3:4" x14ac:dyDescent="0.35">
      <c r="C12074" s="51"/>
      <c r="D12074" s="51"/>
    </row>
    <row r="12075" spans="3:4" x14ac:dyDescent="0.35">
      <c r="C12075" s="51"/>
      <c r="D12075" s="51"/>
    </row>
    <row r="12076" spans="3:4" x14ac:dyDescent="0.35">
      <c r="C12076" s="51"/>
      <c r="D12076" s="51"/>
    </row>
    <row r="12077" spans="3:4" x14ac:dyDescent="0.35">
      <c r="C12077" s="51"/>
      <c r="D12077" s="51"/>
    </row>
    <row r="12078" spans="3:4" x14ac:dyDescent="0.35">
      <c r="C12078" s="51"/>
      <c r="D12078" s="51"/>
    </row>
    <row r="12079" spans="3:4" x14ac:dyDescent="0.35">
      <c r="C12079" s="51"/>
      <c r="D12079" s="51"/>
    </row>
    <row r="12080" spans="3:4" x14ac:dyDescent="0.35">
      <c r="C12080" s="51"/>
      <c r="D12080" s="51"/>
    </row>
    <row r="12081" spans="3:4" x14ac:dyDescent="0.35">
      <c r="C12081" s="51"/>
      <c r="D12081" s="51"/>
    </row>
    <row r="12082" spans="3:4" x14ac:dyDescent="0.35">
      <c r="C12082" s="51"/>
      <c r="D12082" s="51"/>
    </row>
    <row r="12083" spans="3:4" x14ac:dyDescent="0.35">
      <c r="C12083" s="51"/>
      <c r="D12083" s="51"/>
    </row>
    <row r="12084" spans="3:4" x14ac:dyDescent="0.35">
      <c r="C12084" s="51"/>
      <c r="D12084" s="51"/>
    </row>
    <row r="12085" spans="3:4" x14ac:dyDescent="0.35">
      <c r="C12085" s="51"/>
      <c r="D12085" s="51"/>
    </row>
    <row r="12086" spans="3:4" x14ac:dyDescent="0.35">
      <c r="C12086" s="51"/>
      <c r="D12086" s="51"/>
    </row>
    <row r="12087" spans="3:4" x14ac:dyDescent="0.35">
      <c r="C12087" s="51"/>
      <c r="D12087" s="51"/>
    </row>
    <row r="12088" spans="3:4" x14ac:dyDescent="0.35">
      <c r="C12088" s="51"/>
      <c r="D12088" s="51"/>
    </row>
    <row r="12089" spans="3:4" x14ac:dyDescent="0.35">
      <c r="C12089" s="51"/>
      <c r="D12089" s="51"/>
    </row>
    <row r="12090" spans="3:4" x14ac:dyDescent="0.35">
      <c r="C12090" s="51"/>
      <c r="D12090" s="51"/>
    </row>
    <row r="12091" spans="3:4" x14ac:dyDescent="0.35">
      <c r="C12091" s="51"/>
      <c r="D12091" s="51"/>
    </row>
    <row r="12092" spans="3:4" x14ac:dyDescent="0.35">
      <c r="C12092" s="51"/>
      <c r="D12092" s="51"/>
    </row>
    <row r="12093" spans="3:4" x14ac:dyDescent="0.35">
      <c r="C12093" s="51"/>
      <c r="D12093" s="51"/>
    </row>
    <row r="12094" spans="3:4" x14ac:dyDescent="0.35">
      <c r="C12094" s="51"/>
      <c r="D12094" s="51"/>
    </row>
    <row r="12095" spans="3:4" x14ac:dyDescent="0.35">
      <c r="C12095" s="51"/>
      <c r="D12095" s="51"/>
    </row>
    <row r="12096" spans="3:4" x14ac:dyDescent="0.35">
      <c r="C12096" s="51"/>
      <c r="D12096" s="51"/>
    </row>
    <row r="12097" spans="3:4" x14ac:dyDescent="0.35">
      <c r="C12097" s="51"/>
      <c r="D12097" s="51"/>
    </row>
    <row r="12098" spans="3:4" x14ac:dyDescent="0.35">
      <c r="C12098" s="51"/>
      <c r="D12098" s="51"/>
    </row>
    <row r="12099" spans="3:4" x14ac:dyDescent="0.35">
      <c r="C12099" s="51"/>
      <c r="D12099" s="51"/>
    </row>
    <row r="12100" spans="3:4" x14ac:dyDescent="0.35">
      <c r="C12100" s="51"/>
      <c r="D12100" s="51"/>
    </row>
    <row r="12101" spans="3:4" x14ac:dyDescent="0.35">
      <c r="C12101" s="51"/>
      <c r="D12101" s="51"/>
    </row>
    <row r="12102" spans="3:4" x14ac:dyDescent="0.35">
      <c r="C12102" s="51"/>
      <c r="D12102" s="51"/>
    </row>
    <row r="12103" spans="3:4" x14ac:dyDescent="0.35">
      <c r="C12103" s="51"/>
      <c r="D12103" s="51"/>
    </row>
    <row r="12104" spans="3:4" x14ac:dyDescent="0.35">
      <c r="C12104" s="51"/>
      <c r="D12104" s="51"/>
    </row>
    <row r="12105" spans="3:4" x14ac:dyDescent="0.35">
      <c r="C12105" s="51"/>
      <c r="D12105" s="51"/>
    </row>
    <row r="12106" spans="3:4" x14ac:dyDescent="0.35">
      <c r="C12106" s="51"/>
      <c r="D12106" s="51"/>
    </row>
    <row r="12107" spans="3:4" x14ac:dyDescent="0.35">
      <c r="C12107" s="51"/>
      <c r="D12107" s="51"/>
    </row>
    <row r="12108" spans="3:4" x14ac:dyDescent="0.35">
      <c r="C12108" s="51"/>
      <c r="D12108" s="51"/>
    </row>
    <row r="12109" spans="3:4" x14ac:dyDescent="0.35">
      <c r="C12109" s="51"/>
      <c r="D12109" s="51"/>
    </row>
    <row r="12110" spans="3:4" x14ac:dyDescent="0.35">
      <c r="C12110" s="51"/>
      <c r="D12110" s="51"/>
    </row>
    <row r="12111" spans="3:4" x14ac:dyDescent="0.35">
      <c r="C12111" s="51"/>
      <c r="D12111" s="51"/>
    </row>
    <row r="12112" spans="3:4" x14ac:dyDescent="0.35">
      <c r="C12112" s="51"/>
      <c r="D12112" s="51"/>
    </row>
    <row r="12113" spans="3:4" x14ac:dyDescent="0.35">
      <c r="C12113" s="51"/>
      <c r="D12113" s="51"/>
    </row>
    <row r="12114" spans="3:4" x14ac:dyDescent="0.35">
      <c r="C12114" s="51"/>
      <c r="D12114" s="51"/>
    </row>
    <row r="12115" spans="3:4" x14ac:dyDescent="0.35">
      <c r="C12115" s="51"/>
      <c r="D12115" s="51"/>
    </row>
    <row r="12116" spans="3:4" x14ac:dyDescent="0.35">
      <c r="C12116" s="51"/>
      <c r="D12116" s="51"/>
    </row>
    <row r="12117" spans="3:4" x14ac:dyDescent="0.35">
      <c r="C12117" s="51"/>
      <c r="D12117" s="51"/>
    </row>
    <row r="12118" spans="3:4" x14ac:dyDescent="0.35">
      <c r="C12118" s="51"/>
      <c r="D12118" s="51"/>
    </row>
    <row r="12119" spans="3:4" x14ac:dyDescent="0.35">
      <c r="C12119" s="51"/>
      <c r="D12119" s="51"/>
    </row>
    <row r="12120" spans="3:4" x14ac:dyDescent="0.35">
      <c r="C12120" s="51"/>
      <c r="D12120" s="51"/>
    </row>
    <row r="12121" spans="3:4" x14ac:dyDescent="0.35">
      <c r="C12121" s="51"/>
      <c r="D12121" s="51"/>
    </row>
    <row r="12122" spans="3:4" x14ac:dyDescent="0.35">
      <c r="C12122" s="51"/>
      <c r="D12122" s="51"/>
    </row>
    <row r="12123" spans="3:4" x14ac:dyDescent="0.35">
      <c r="C12123" s="51"/>
      <c r="D12123" s="51"/>
    </row>
    <row r="12124" spans="3:4" x14ac:dyDescent="0.35">
      <c r="C12124" s="51"/>
      <c r="D12124" s="51"/>
    </row>
    <row r="12125" spans="3:4" x14ac:dyDescent="0.35">
      <c r="C12125" s="51"/>
      <c r="D12125" s="51"/>
    </row>
    <row r="12126" spans="3:4" x14ac:dyDescent="0.35">
      <c r="C12126" s="51"/>
      <c r="D12126" s="51"/>
    </row>
    <row r="12127" spans="3:4" x14ac:dyDescent="0.35">
      <c r="C12127" s="51"/>
      <c r="D12127" s="51"/>
    </row>
    <row r="12128" spans="3:4" x14ac:dyDescent="0.35">
      <c r="C12128" s="51"/>
      <c r="D12128" s="51"/>
    </row>
    <row r="12129" spans="3:4" x14ac:dyDescent="0.35">
      <c r="C12129" s="51"/>
      <c r="D12129" s="51"/>
    </row>
    <row r="12130" spans="3:4" x14ac:dyDescent="0.35">
      <c r="C12130" s="51"/>
      <c r="D12130" s="51"/>
    </row>
    <row r="12131" spans="3:4" x14ac:dyDescent="0.35">
      <c r="C12131" s="51"/>
      <c r="D12131" s="51"/>
    </row>
    <row r="12132" spans="3:4" x14ac:dyDescent="0.35">
      <c r="C12132" s="51"/>
      <c r="D12132" s="51"/>
    </row>
    <row r="12133" spans="3:4" x14ac:dyDescent="0.35">
      <c r="C12133" s="51"/>
      <c r="D12133" s="51"/>
    </row>
    <row r="12134" spans="3:4" x14ac:dyDescent="0.35">
      <c r="C12134" s="51"/>
      <c r="D12134" s="51"/>
    </row>
    <row r="12135" spans="3:4" x14ac:dyDescent="0.35">
      <c r="C12135" s="51"/>
      <c r="D12135" s="51"/>
    </row>
    <row r="12136" spans="3:4" x14ac:dyDescent="0.35">
      <c r="C12136" s="51"/>
      <c r="D12136" s="51"/>
    </row>
    <row r="12137" spans="3:4" x14ac:dyDescent="0.35">
      <c r="C12137" s="51"/>
      <c r="D12137" s="51"/>
    </row>
    <row r="12138" spans="3:4" x14ac:dyDescent="0.35">
      <c r="C12138" s="51"/>
      <c r="D12138" s="51"/>
    </row>
    <row r="12139" spans="3:4" x14ac:dyDescent="0.35">
      <c r="C12139" s="51"/>
      <c r="D12139" s="51"/>
    </row>
    <row r="12140" spans="3:4" x14ac:dyDescent="0.35">
      <c r="C12140" s="51"/>
      <c r="D12140" s="51"/>
    </row>
    <row r="12141" spans="3:4" x14ac:dyDescent="0.35">
      <c r="C12141" s="51"/>
      <c r="D12141" s="51"/>
    </row>
    <row r="12142" spans="3:4" x14ac:dyDescent="0.35">
      <c r="C12142" s="51"/>
      <c r="D12142" s="51"/>
    </row>
    <row r="12143" spans="3:4" x14ac:dyDescent="0.35">
      <c r="C12143" s="51"/>
      <c r="D12143" s="51"/>
    </row>
    <row r="12144" spans="3:4" x14ac:dyDescent="0.35">
      <c r="C12144" s="51"/>
      <c r="D12144" s="51"/>
    </row>
    <row r="12145" spans="3:4" x14ac:dyDescent="0.35">
      <c r="C12145" s="51"/>
      <c r="D12145" s="51"/>
    </row>
    <row r="12146" spans="3:4" x14ac:dyDescent="0.35">
      <c r="C12146" s="51"/>
      <c r="D12146" s="51"/>
    </row>
    <row r="12147" spans="3:4" x14ac:dyDescent="0.35">
      <c r="C12147" s="51"/>
      <c r="D12147" s="51"/>
    </row>
    <row r="12148" spans="3:4" x14ac:dyDescent="0.35">
      <c r="C12148" s="51"/>
      <c r="D12148" s="51"/>
    </row>
    <row r="12149" spans="3:4" x14ac:dyDescent="0.35">
      <c r="C12149" s="51"/>
      <c r="D12149" s="51"/>
    </row>
    <row r="12150" spans="3:4" x14ac:dyDescent="0.35">
      <c r="C12150" s="51"/>
      <c r="D12150" s="51"/>
    </row>
    <row r="12151" spans="3:4" x14ac:dyDescent="0.35">
      <c r="C12151" s="51"/>
      <c r="D12151" s="51"/>
    </row>
    <row r="12152" spans="3:4" x14ac:dyDescent="0.35">
      <c r="C12152" s="51"/>
      <c r="D12152" s="51"/>
    </row>
    <row r="12153" spans="3:4" x14ac:dyDescent="0.35">
      <c r="C12153" s="51"/>
      <c r="D12153" s="51"/>
    </row>
    <row r="12154" spans="3:4" x14ac:dyDescent="0.35">
      <c r="C12154" s="51"/>
      <c r="D12154" s="51"/>
    </row>
    <row r="12155" spans="3:4" x14ac:dyDescent="0.35">
      <c r="C12155" s="51"/>
      <c r="D12155" s="51"/>
    </row>
    <row r="12156" spans="3:4" x14ac:dyDescent="0.35">
      <c r="C12156" s="51"/>
      <c r="D12156" s="51"/>
    </row>
    <row r="12157" spans="3:4" x14ac:dyDescent="0.35">
      <c r="C12157" s="51"/>
      <c r="D12157" s="51"/>
    </row>
    <row r="12158" spans="3:4" x14ac:dyDescent="0.35">
      <c r="C12158" s="51"/>
      <c r="D12158" s="51"/>
    </row>
    <row r="12159" spans="3:4" x14ac:dyDescent="0.35">
      <c r="C12159" s="51"/>
      <c r="D12159" s="51"/>
    </row>
    <row r="12160" spans="3:4" x14ac:dyDescent="0.35">
      <c r="C12160" s="51"/>
      <c r="D12160" s="51"/>
    </row>
    <row r="12161" spans="3:4" x14ac:dyDescent="0.35">
      <c r="C12161" s="51"/>
      <c r="D12161" s="51"/>
    </row>
    <row r="12162" spans="3:4" x14ac:dyDescent="0.35">
      <c r="C12162" s="51"/>
      <c r="D12162" s="51"/>
    </row>
    <row r="12163" spans="3:4" x14ac:dyDescent="0.35">
      <c r="C12163" s="51"/>
      <c r="D12163" s="51"/>
    </row>
    <row r="12164" spans="3:4" x14ac:dyDescent="0.35">
      <c r="C12164" s="51"/>
      <c r="D12164" s="51"/>
    </row>
    <row r="12165" spans="3:4" x14ac:dyDescent="0.35">
      <c r="C12165" s="51"/>
      <c r="D12165" s="51"/>
    </row>
    <row r="12166" spans="3:4" x14ac:dyDescent="0.35">
      <c r="C12166" s="51"/>
      <c r="D12166" s="51"/>
    </row>
    <row r="12167" spans="3:4" x14ac:dyDescent="0.35">
      <c r="C12167" s="51"/>
      <c r="D12167" s="51"/>
    </row>
    <row r="12168" spans="3:4" x14ac:dyDescent="0.35">
      <c r="C12168" s="51"/>
      <c r="D12168" s="51"/>
    </row>
    <row r="12169" spans="3:4" x14ac:dyDescent="0.35">
      <c r="C12169" s="51"/>
      <c r="D12169" s="51"/>
    </row>
    <row r="12170" spans="3:4" x14ac:dyDescent="0.35">
      <c r="C12170" s="51"/>
      <c r="D12170" s="51"/>
    </row>
    <row r="12171" spans="3:4" x14ac:dyDescent="0.35">
      <c r="C12171" s="51"/>
      <c r="D12171" s="51"/>
    </row>
    <row r="12172" spans="3:4" x14ac:dyDescent="0.35">
      <c r="C12172" s="51"/>
      <c r="D12172" s="51"/>
    </row>
    <row r="12173" spans="3:4" x14ac:dyDescent="0.35">
      <c r="C12173" s="51"/>
      <c r="D12173" s="51"/>
    </row>
    <row r="12174" spans="3:4" x14ac:dyDescent="0.35">
      <c r="C12174" s="51"/>
      <c r="D12174" s="51"/>
    </row>
    <row r="12175" spans="3:4" x14ac:dyDescent="0.35">
      <c r="C12175" s="51"/>
      <c r="D12175" s="51"/>
    </row>
    <row r="12176" spans="3:4" x14ac:dyDescent="0.35">
      <c r="C12176" s="51"/>
      <c r="D12176" s="51"/>
    </row>
    <row r="12177" spans="3:4" x14ac:dyDescent="0.35">
      <c r="C12177" s="51"/>
      <c r="D12177" s="51"/>
    </row>
    <row r="12178" spans="3:4" x14ac:dyDescent="0.35">
      <c r="C12178" s="51"/>
      <c r="D12178" s="51"/>
    </row>
    <row r="12179" spans="3:4" x14ac:dyDescent="0.35">
      <c r="C12179" s="51"/>
      <c r="D12179" s="51"/>
    </row>
    <row r="12180" spans="3:4" x14ac:dyDescent="0.35">
      <c r="C12180" s="51"/>
      <c r="D12180" s="51"/>
    </row>
    <row r="12181" spans="3:4" x14ac:dyDescent="0.35">
      <c r="C12181" s="51"/>
      <c r="D12181" s="51"/>
    </row>
    <row r="12182" spans="3:4" x14ac:dyDescent="0.35">
      <c r="C12182" s="51"/>
      <c r="D12182" s="51"/>
    </row>
    <row r="12183" spans="3:4" x14ac:dyDescent="0.35">
      <c r="C12183" s="51"/>
      <c r="D12183" s="51"/>
    </row>
    <row r="12184" spans="3:4" x14ac:dyDescent="0.35">
      <c r="C12184" s="51"/>
      <c r="D12184" s="51"/>
    </row>
    <row r="12185" spans="3:4" x14ac:dyDescent="0.35">
      <c r="C12185" s="51"/>
      <c r="D12185" s="51"/>
    </row>
    <row r="12186" spans="3:4" x14ac:dyDescent="0.35">
      <c r="C12186" s="51"/>
      <c r="D12186" s="51"/>
    </row>
    <row r="12187" spans="3:4" x14ac:dyDescent="0.35">
      <c r="C12187" s="51"/>
      <c r="D12187" s="51"/>
    </row>
    <row r="12188" spans="3:4" x14ac:dyDescent="0.35">
      <c r="C12188" s="51"/>
      <c r="D12188" s="51"/>
    </row>
    <row r="12189" spans="3:4" x14ac:dyDescent="0.35">
      <c r="C12189" s="51"/>
      <c r="D12189" s="51"/>
    </row>
    <row r="12190" spans="3:4" x14ac:dyDescent="0.35">
      <c r="C12190" s="51"/>
      <c r="D12190" s="51"/>
    </row>
    <row r="12191" spans="3:4" x14ac:dyDescent="0.35">
      <c r="C12191" s="51"/>
      <c r="D12191" s="51"/>
    </row>
    <row r="12192" spans="3:4" x14ac:dyDescent="0.35">
      <c r="C12192" s="51"/>
      <c r="D12192" s="51"/>
    </row>
    <row r="12193" spans="3:4" x14ac:dyDescent="0.35">
      <c r="C12193" s="51"/>
      <c r="D12193" s="51"/>
    </row>
    <row r="12194" spans="3:4" x14ac:dyDescent="0.35">
      <c r="C12194" s="51"/>
      <c r="D12194" s="51"/>
    </row>
    <row r="12195" spans="3:4" x14ac:dyDescent="0.35">
      <c r="C12195" s="51"/>
      <c r="D12195" s="51"/>
    </row>
    <row r="12196" spans="3:4" x14ac:dyDescent="0.35">
      <c r="C12196" s="51"/>
      <c r="D12196" s="51"/>
    </row>
    <row r="12197" spans="3:4" x14ac:dyDescent="0.35">
      <c r="C12197" s="51"/>
      <c r="D12197" s="51"/>
    </row>
    <row r="12198" spans="3:4" x14ac:dyDescent="0.35">
      <c r="C12198" s="51"/>
      <c r="D12198" s="51"/>
    </row>
    <row r="12199" spans="3:4" x14ac:dyDescent="0.35">
      <c r="C12199" s="51"/>
      <c r="D12199" s="51"/>
    </row>
    <row r="12200" spans="3:4" x14ac:dyDescent="0.35">
      <c r="C12200" s="51"/>
      <c r="D12200" s="51"/>
    </row>
    <row r="12201" spans="3:4" x14ac:dyDescent="0.35">
      <c r="C12201" s="51"/>
      <c r="D12201" s="51"/>
    </row>
    <row r="12202" spans="3:4" x14ac:dyDescent="0.35">
      <c r="C12202" s="51"/>
      <c r="D12202" s="51"/>
    </row>
    <row r="12203" spans="3:4" x14ac:dyDescent="0.35">
      <c r="C12203" s="51"/>
      <c r="D12203" s="51"/>
    </row>
    <row r="12204" spans="3:4" x14ac:dyDescent="0.35">
      <c r="C12204" s="51"/>
      <c r="D12204" s="51"/>
    </row>
    <row r="12205" spans="3:4" x14ac:dyDescent="0.35">
      <c r="C12205" s="51"/>
      <c r="D12205" s="51"/>
    </row>
    <row r="12206" spans="3:4" x14ac:dyDescent="0.35">
      <c r="C12206" s="51"/>
      <c r="D12206" s="51"/>
    </row>
    <row r="12207" spans="3:4" x14ac:dyDescent="0.35">
      <c r="C12207" s="51"/>
      <c r="D12207" s="51"/>
    </row>
    <row r="12208" spans="3:4" x14ac:dyDescent="0.35">
      <c r="C12208" s="51"/>
      <c r="D12208" s="51"/>
    </row>
    <row r="12209" spans="3:4" x14ac:dyDescent="0.35">
      <c r="C12209" s="51"/>
      <c r="D12209" s="51"/>
    </row>
    <row r="12210" spans="3:4" x14ac:dyDescent="0.35">
      <c r="C12210" s="51"/>
      <c r="D12210" s="51"/>
    </row>
    <row r="12211" spans="3:4" x14ac:dyDescent="0.35">
      <c r="C12211" s="51"/>
      <c r="D12211" s="51"/>
    </row>
    <row r="12212" spans="3:4" x14ac:dyDescent="0.35">
      <c r="C12212" s="51"/>
      <c r="D12212" s="51"/>
    </row>
    <row r="12213" spans="3:4" x14ac:dyDescent="0.35">
      <c r="C12213" s="51"/>
      <c r="D12213" s="51"/>
    </row>
    <row r="12214" spans="3:4" x14ac:dyDescent="0.35">
      <c r="C12214" s="51"/>
      <c r="D12214" s="51"/>
    </row>
    <row r="12215" spans="3:4" x14ac:dyDescent="0.35">
      <c r="C12215" s="51"/>
      <c r="D12215" s="51"/>
    </row>
    <row r="12216" spans="3:4" x14ac:dyDescent="0.35">
      <c r="C12216" s="51"/>
      <c r="D12216" s="51"/>
    </row>
    <row r="12217" spans="3:4" x14ac:dyDescent="0.35">
      <c r="C12217" s="51"/>
      <c r="D12217" s="51"/>
    </row>
    <row r="12218" spans="3:4" x14ac:dyDescent="0.35">
      <c r="C12218" s="51"/>
      <c r="D12218" s="51"/>
    </row>
    <row r="12219" spans="3:4" x14ac:dyDescent="0.35">
      <c r="C12219" s="51"/>
      <c r="D12219" s="51"/>
    </row>
    <row r="12220" spans="3:4" x14ac:dyDescent="0.35">
      <c r="C12220" s="51"/>
      <c r="D12220" s="51"/>
    </row>
    <row r="12221" spans="3:4" x14ac:dyDescent="0.35">
      <c r="C12221" s="51"/>
      <c r="D12221" s="51"/>
    </row>
    <row r="12222" spans="3:4" x14ac:dyDescent="0.35">
      <c r="C12222" s="51"/>
      <c r="D12222" s="51"/>
    </row>
    <row r="12223" spans="3:4" x14ac:dyDescent="0.35">
      <c r="C12223" s="51"/>
      <c r="D12223" s="51"/>
    </row>
    <row r="12224" spans="3:4" x14ac:dyDescent="0.35">
      <c r="C12224" s="51"/>
      <c r="D12224" s="51"/>
    </row>
    <row r="12225" spans="3:4" x14ac:dyDescent="0.35">
      <c r="C12225" s="51"/>
      <c r="D12225" s="51"/>
    </row>
    <row r="12226" spans="3:4" x14ac:dyDescent="0.35">
      <c r="C12226" s="51"/>
      <c r="D12226" s="51"/>
    </row>
    <row r="12227" spans="3:4" x14ac:dyDescent="0.35">
      <c r="C12227" s="51"/>
      <c r="D12227" s="51"/>
    </row>
    <row r="12228" spans="3:4" x14ac:dyDescent="0.35">
      <c r="C12228" s="51"/>
      <c r="D12228" s="51"/>
    </row>
    <row r="12229" spans="3:4" x14ac:dyDescent="0.35">
      <c r="C12229" s="51"/>
      <c r="D12229" s="51"/>
    </row>
    <row r="12230" spans="3:4" x14ac:dyDescent="0.35">
      <c r="C12230" s="51"/>
      <c r="D12230" s="51"/>
    </row>
    <row r="12231" spans="3:4" x14ac:dyDescent="0.35">
      <c r="C12231" s="51"/>
      <c r="D12231" s="51"/>
    </row>
    <row r="12232" spans="3:4" x14ac:dyDescent="0.35">
      <c r="C12232" s="51"/>
      <c r="D12232" s="51"/>
    </row>
    <row r="12233" spans="3:4" x14ac:dyDescent="0.35">
      <c r="C12233" s="51"/>
      <c r="D12233" s="51"/>
    </row>
    <row r="12234" spans="3:4" x14ac:dyDescent="0.35">
      <c r="C12234" s="51"/>
      <c r="D12234" s="51"/>
    </row>
    <row r="12235" spans="3:4" x14ac:dyDescent="0.35">
      <c r="C12235" s="51"/>
      <c r="D12235" s="51"/>
    </row>
    <row r="12236" spans="3:4" x14ac:dyDescent="0.35">
      <c r="C12236" s="51"/>
      <c r="D12236" s="51"/>
    </row>
    <row r="12237" spans="3:4" x14ac:dyDescent="0.35">
      <c r="C12237" s="51"/>
      <c r="D12237" s="51"/>
    </row>
    <row r="12238" spans="3:4" x14ac:dyDescent="0.35">
      <c r="C12238" s="51"/>
      <c r="D12238" s="51"/>
    </row>
    <row r="12239" spans="3:4" x14ac:dyDescent="0.35">
      <c r="C12239" s="51"/>
      <c r="D12239" s="51"/>
    </row>
    <row r="12240" spans="3:4" x14ac:dyDescent="0.35">
      <c r="C12240" s="51"/>
      <c r="D12240" s="51"/>
    </row>
    <row r="12241" spans="3:4" x14ac:dyDescent="0.35">
      <c r="C12241" s="51"/>
      <c r="D12241" s="51"/>
    </row>
    <row r="12242" spans="3:4" x14ac:dyDescent="0.35">
      <c r="C12242" s="51"/>
      <c r="D12242" s="51"/>
    </row>
    <row r="12243" spans="3:4" x14ac:dyDescent="0.35">
      <c r="C12243" s="51"/>
      <c r="D12243" s="51"/>
    </row>
    <row r="12244" spans="3:4" x14ac:dyDescent="0.35">
      <c r="C12244" s="51"/>
      <c r="D12244" s="51"/>
    </row>
    <row r="12245" spans="3:4" x14ac:dyDescent="0.35">
      <c r="C12245" s="51"/>
      <c r="D12245" s="51"/>
    </row>
    <row r="12246" spans="3:4" x14ac:dyDescent="0.35">
      <c r="C12246" s="51"/>
      <c r="D12246" s="51"/>
    </row>
    <row r="12247" spans="3:4" x14ac:dyDescent="0.35">
      <c r="C12247" s="51"/>
      <c r="D12247" s="51"/>
    </row>
    <row r="12248" spans="3:4" x14ac:dyDescent="0.35">
      <c r="C12248" s="51"/>
      <c r="D12248" s="51"/>
    </row>
    <row r="12249" spans="3:4" x14ac:dyDescent="0.35">
      <c r="C12249" s="51"/>
      <c r="D12249" s="51"/>
    </row>
    <row r="12250" spans="3:4" x14ac:dyDescent="0.35">
      <c r="C12250" s="51"/>
      <c r="D12250" s="51"/>
    </row>
    <row r="12251" spans="3:4" x14ac:dyDescent="0.35">
      <c r="C12251" s="51"/>
      <c r="D12251" s="51"/>
    </row>
    <row r="12252" spans="3:4" x14ac:dyDescent="0.35">
      <c r="C12252" s="51"/>
      <c r="D12252" s="51"/>
    </row>
    <row r="12253" spans="3:4" x14ac:dyDescent="0.35">
      <c r="C12253" s="51"/>
      <c r="D12253" s="51"/>
    </row>
    <row r="12254" spans="3:4" x14ac:dyDescent="0.35">
      <c r="C12254" s="51"/>
      <c r="D12254" s="51"/>
    </row>
    <row r="12255" spans="3:4" x14ac:dyDescent="0.35">
      <c r="C12255" s="51"/>
      <c r="D12255" s="51"/>
    </row>
    <row r="12256" spans="3:4" x14ac:dyDescent="0.35">
      <c r="C12256" s="51"/>
      <c r="D12256" s="51"/>
    </row>
    <row r="12257" spans="3:4" x14ac:dyDescent="0.35">
      <c r="C12257" s="51"/>
      <c r="D12257" s="51"/>
    </row>
    <row r="12258" spans="3:4" x14ac:dyDescent="0.35">
      <c r="C12258" s="51"/>
      <c r="D12258" s="51"/>
    </row>
    <row r="12259" spans="3:4" x14ac:dyDescent="0.35">
      <c r="C12259" s="51"/>
      <c r="D12259" s="51"/>
    </row>
    <row r="12260" spans="3:4" x14ac:dyDescent="0.35">
      <c r="C12260" s="51"/>
      <c r="D12260" s="51"/>
    </row>
    <row r="12261" spans="3:4" x14ac:dyDescent="0.35">
      <c r="C12261" s="51"/>
      <c r="D12261" s="51"/>
    </row>
    <row r="12262" spans="3:4" x14ac:dyDescent="0.35">
      <c r="C12262" s="51"/>
      <c r="D12262" s="51"/>
    </row>
    <row r="12263" spans="3:4" x14ac:dyDescent="0.35">
      <c r="C12263" s="51"/>
      <c r="D12263" s="51"/>
    </row>
    <row r="12264" spans="3:4" x14ac:dyDescent="0.35">
      <c r="C12264" s="51"/>
      <c r="D12264" s="51"/>
    </row>
    <row r="12265" spans="3:4" x14ac:dyDescent="0.35">
      <c r="C12265" s="51"/>
      <c r="D12265" s="51"/>
    </row>
    <row r="12266" spans="3:4" x14ac:dyDescent="0.35">
      <c r="C12266" s="51"/>
      <c r="D12266" s="51"/>
    </row>
    <row r="12267" spans="3:4" x14ac:dyDescent="0.35">
      <c r="C12267" s="51"/>
      <c r="D12267" s="51"/>
    </row>
    <row r="12268" spans="3:4" x14ac:dyDescent="0.35">
      <c r="C12268" s="51"/>
      <c r="D12268" s="51"/>
    </row>
    <row r="12269" spans="3:4" x14ac:dyDescent="0.35">
      <c r="C12269" s="51"/>
      <c r="D12269" s="51"/>
    </row>
    <row r="12270" spans="3:4" x14ac:dyDescent="0.35">
      <c r="C12270" s="51"/>
      <c r="D12270" s="51"/>
    </row>
    <row r="12271" spans="3:4" x14ac:dyDescent="0.35">
      <c r="C12271" s="51"/>
      <c r="D12271" s="51"/>
    </row>
    <row r="12272" spans="3:4" x14ac:dyDescent="0.35">
      <c r="C12272" s="51"/>
      <c r="D12272" s="51"/>
    </row>
    <row r="12273" spans="3:4" x14ac:dyDescent="0.35">
      <c r="C12273" s="51"/>
      <c r="D12273" s="51"/>
    </row>
    <row r="12274" spans="3:4" x14ac:dyDescent="0.35">
      <c r="C12274" s="51"/>
      <c r="D12274" s="51"/>
    </row>
    <row r="12275" spans="3:4" x14ac:dyDescent="0.35">
      <c r="C12275" s="51"/>
      <c r="D12275" s="51"/>
    </row>
    <row r="12276" spans="3:4" x14ac:dyDescent="0.35">
      <c r="C12276" s="51"/>
      <c r="D12276" s="51"/>
    </row>
    <row r="12277" spans="3:4" x14ac:dyDescent="0.35">
      <c r="C12277" s="51"/>
      <c r="D12277" s="51"/>
    </row>
    <row r="12278" spans="3:4" x14ac:dyDescent="0.35">
      <c r="C12278" s="51"/>
      <c r="D12278" s="51"/>
    </row>
    <row r="12279" spans="3:4" x14ac:dyDescent="0.35">
      <c r="C12279" s="51"/>
      <c r="D12279" s="51"/>
    </row>
    <row r="12280" spans="3:4" x14ac:dyDescent="0.35">
      <c r="C12280" s="51"/>
      <c r="D12280" s="51"/>
    </row>
    <row r="12281" spans="3:4" x14ac:dyDescent="0.35">
      <c r="C12281" s="51"/>
      <c r="D12281" s="51"/>
    </row>
    <row r="12282" spans="3:4" x14ac:dyDescent="0.35">
      <c r="C12282" s="51"/>
      <c r="D12282" s="51"/>
    </row>
    <row r="12283" spans="3:4" x14ac:dyDescent="0.35">
      <c r="C12283" s="51"/>
      <c r="D12283" s="51"/>
    </row>
    <row r="12284" spans="3:4" x14ac:dyDescent="0.35">
      <c r="C12284" s="51"/>
      <c r="D12284" s="51"/>
    </row>
    <row r="12285" spans="3:4" x14ac:dyDescent="0.35">
      <c r="C12285" s="51"/>
      <c r="D12285" s="51"/>
    </row>
    <row r="12286" spans="3:4" x14ac:dyDescent="0.35">
      <c r="C12286" s="51"/>
      <c r="D12286" s="51"/>
    </row>
    <row r="12287" spans="3:4" x14ac:dyDescent="0.35">
      <c r="C12287" s="51"/>
      <c r="D12287" s="51"/>
    </row>
    <row r="12288" spans="3:4" x14ac:dyDescent="0.35">
      <c r="C12288" s="51"/>
      <c r="D12288" s="51"/>
    </row>
    <row r="12289" spans="3:4" x14ac:dyDescent="0.35">
      <c r="C12289" s="51"/>
      <c r="D12289" s="51"/>
    </row>
    <row r="12290" spans="3:4" x14ac:dyDescent="0.35">
      <c r="C12290" s="51"/>
      <c r="D12290" s="51"/>
    </row>
    <row r="12291" spans="3:4" x14ac:dyDescent="0.35">
      <c r="C12291" s="51"/>
      <c r="D12291" s="51"/>
    </row>
    <row r="12292" spans="3:4" x14ac:dyDescent="0.35">
      <c r="C12292" s="51"/>
      <c r="D12292" s="51"/>
    </row>
    <row r="12293" spans="3:4" x14ac:dyDescent="0.35">
      <c r="C12293" s="51"/>
      <c r="D12293" s="51"/>
    </row>
    <row r="12294" spans="3:4" x14ac:dyDescent="0.35">
      <c r="C12294" s="51"/>
      <c r="D12294" s="51"/>
    </row>
    <row r="12295" spans="3:4" x14ac:dyDescent="0.35">
      <c r="C12295" s="51"/>
      <c r="D12295" s="51"/>
    </row>
    <row r="12296" spans="3:4" x14ac:dyDescent="0.35">
      <c r="C12296" s="51"/>
      <c r="D12296" s="51"/>
    </row>
    <row r="12297" spans="3:4" x14ac:dyDescent="0.35">
      <c r="C12297" s="51"/>
      <c r="D12297" s="51"/>
    </row>
    <row r="12298" spans="3:4" x14ac:dyDescent="0.35">
      <c r="C12298" s="51"/>
      <c r="D12298" s="51"/>
    </row>
    <row r="12299" spans="3:4" x14ac:dyDescent="0.35">
      <c r="C12299" s="51"/>
      <c r="D12299" s="51"/>
    </row>
    <row r="12300" spans="3:4" x14ac:dyDescent="0.35">
      <c r="C12300" s="51"/>
      <c r="D12300" s="51"/>
    </row>
    <row r="12301" spans="3:4" x14ac:dyDescent="0.35">
      <c r="C12301" s="51"/>
      <c r="D12301" s="51"/>
    </row>
    <row r="12302" spans="3:4" x14ac:dyDescent="0.35">
      <c r="C12302" s="51"/>
      <c r="D12302" s="51"/>
    </row>
    <row r="12303" spans="3:4" x14ac:dyDescent="0.35">
      <c r="C12303" s="51"/>
      <c r="D12303" s="51"/>
    </row>
    <row r="12304" spans="3:4" x14ac:dyDescent="0.35">
      <c r="C12304" s="51"/>
      <c r="D12304" s="51"/>
    </row>
    <row r="12305" spans="3:4" x14ac:dyDescent="0.35">
      <c r="C12305" s="51"/>
      <c r="D12305" s="51"/>
    </row>
    <row r="12306" spans="3:4" x14ac:dyDescent="0.35">
      <c r="C12306" s="51"/>
      <c r="D12306" s="51"/>
    </row>
    <row r="12307" spans="3:4" x14ac:dyDescent="0.35">
      <c r="C12307" s="51"/>
      <c r="D12307" s="51"/>
    </row>
    <row r="12308" spans="3:4" x14ac:dyDescent="0.35">
      <c r="C12308" s="51"/>
      <c r="D12308" s="51"/>
    </row>
    <row r="12309" spans="3:4" x14ac:dyDescent="0.35">
      <c r="C12309" s="51"/>
      <c r="D12309" s="51"/>
    </row>
    <row r="12310" spans="3:4" x14ac:dyDescent="0.35">
      <c r="C12310" s="51"/>
      <c r="D12310" s="51"/>
    </row>
    <row r="12311" spans="3:4" x14ac:dyDescent="0.35">
      <c r="C12311" s="51"/>
      <c r="D12311" s="51"/>
    </row>
    <row r="12312" spans="3:4" x14ac:dyDescent="0.35">
      <c r="C12312" s="51"/>
      <c r="D12312" s="51"/>
    </row>
    <row r="12313" spans="3:4" x14ac:dyDescent="0.35">
      <c r="C12313" s="51"/>
      <c r="D12313" s="51"/>
    </row>
    <row r="12314" spans="3:4" x14ac:dyDescent="0.35">
      <c r="C12314" s="51"/>
      <c r="D12314" s="51"/>
    </row>
    <row r="12315" spans="3:4" x14ac:dyDescent="0.35">
      <c r="C12315" s="51"/>
      <c r="D12315" s="51"/>
    </row>
    <row r="12316" spans="3:4" x14ac:dyDescent="0.35">
      <c r="C12316" s="51"/>
      <c r="D12316" s="51"/>
    </row>
    <row r="12317" spans="3:4" x14ac:dyDescent="0.35">
      <c r="C12317" s="51"/>
      <c r="D12317" s="51"/>
    </row>
    <row r="12318" spans="3:4" x14ac:dyDescent="0.35">
      <c r="C12318" s="51"/>
      <c r="D12318" s="51"/>
    </row>
    <row r="12319" spans="3:4" x14ac:dyDescent="0.35">
      <c r="C12319" s="51"/>
      <c r="D12319" s="51"/>
    </row>
    <row r="12320" spans="3:4" x14ac:dyDescent="0.35">
      <c r="C12320" s="51"/>
      <c r="D12320" s="51"/>
    </row>
    <row r="12321" spans="3:4" x14ac:dyDescent="0.35">
      <c r="C12321" s="51"/>
      <c r="D12321" s="51"/>
    </row>
    <row r="12322" spans="3:4" x14ac:dyDescent="0.35">
      <c r="C12322" s="51"/>
      <c r="D12322" s="51"/>
    </row>
    <row r="12323" spans="3:4" x14ac:dyDescent="0.35">
      <c r="C12323" s="51"/>
      <c r="D12323" s="51"/>
    </row>
    <row r="12324" spans="3:4" x14ac:dyDescent="0.35">
      <c r="C12324" s="51"/>
      <c r="D12324" s="51"/>
    </row>
    <row r="12325" spans="3:4" x14ac:dyDescent="0.35">
      <c r="C12325" s="51"/>
      <c r="D12325" s="51"/>
    </row>
    <row r="12326" spans="3:4" x14ac:dyDescent="0.35">
      <c r="C12326" s="51"/>
      <c r="D12326" s="51"/>
    </row>
    <row r="12327" spans="3:4" x14ac:dyDescent="0.35">
      <c r="C12327" s="51"/>
      <c r="D12327" s="51"/>
    </row>
    <row r="12328" spans="3:4" x14ac:dyDescent="0.35">
      <c r="C12328" s="51"/>
      <c r="D12328" s="51"/>
    </row>
    <row r="12329" spans="3:4" x14ac:dyDescent="0.35">
      <c r="C12329" s="51"/>
      <c r="D12329" s="51"/>
    </row>
    <row r="12330" spans="3:4" x14ac:dyDescent="0.35">
      <c r="C12330" s="51"/>
      <c r="D12330" s="51"/>
    </row>
    <row r="12331" spans="3:4" x14ac:dyDescent="0.35">
      <c r="C12331" s="51"/>
      <c r="D12331" s="51"/>
    </row>
    <row r="12332" spans="3:4" x14ac:dyDescent="0.35">
      <c r="C12332" s="51"/>
      <c r="D12332" s="51"/>
    </row>
    <row r="12333" spans="3:4" x14ac:dyDescent="0.35">
      <c r="C12333" s="51"/>
      <c r="D12333" s="51"/>
    </row>
    <row r="12334" spans="3:4" x14ac:dyDescent="0.35">
      <c r="C12334" s="51"/>
      <c r="D12334" s="51"/>
    </row>
    <row r="12335" spans="3:4" x14ac:dyDescent="0.35">
      <c r="C12335" s="51"/>
      <c r="D12335" s="51"/>
    </row>
    <row r="12336" spans="3:4" x14ac:dyDescent="0.35">
      <c r="C12336" s="51"/>
      <c r="D12336" s="51"/>
    </row>
    <row r="12337" spans="3:4" x14ac:dyDescent="0.35">
      <c r="C12337" s="51"/>
      <c r="D12337" s="51"/>
    </row>
    <row r="12338" spans="3:4" x14ac:dyDescent="0.35">
      <c r="C12338" s="51"/>
      <c r="D12338" s="51"/>
    </row>
    <row r="12339" spans="3:4" x14ac:dyDescent="0.35">
      <c r="C12339" s="51"/>
      <c r="D12339" s="51"/>
    </row>
    <row r="12340" spans="3:4" x14ac:dyDescent="0.35">
      <c r="C12340" s="51"/>
      <c r="D12340" s="51"/>
    </row>
    <row r="12341" spans="3:4" x14ac:dyDescent="0.35">
      <c r="C12341" s="51"/>
      <c r="D12341" s="51"/>
    </row>
    <row r="12342" spans="3:4" x14ac:dyDescent="0.35">
      <c r="C12342" s="51"/>
      <c r="D12342" s="51"/>
    </row>
    <row r="12343" spans="3:4" x14ac:dyDescent="0.35">
      <c r="C12343" s="51"/>
      <c r="D12343" s="51"/>
    </row>
    <row r="12344" spans="3:4" x14ac:dyDescent="0.35">
      <c r="C12344" s="51"/>
      <c r="D12344" s="51"/>
    </row>
    <row r="12345" spans="3:4" x14ac:dyDescent="0.35">
      <c r="C12345" s="51"/>
      <c r="D12345" s="51"/>
    </row>
    <row r="12346" spans="3:4" x14ac:dyDescent="0.35">
      <c r="C12346" s="51"/>
      <c r="D12346" s="51"/>
    </row>
    <row r="12347" spans="3:4" x14ac:dyDescent="0.35">
      <c r="C12347" s="51"/>
      <c r="D12347" s="51"/>
    </row>
    <row r="12348" spans="3:4" x14ac:dyDescent="0.35">
      <c r="C12348" s="51"/>
      <c r="D12348" s="51"/>
    </row>
    <row r="12349" spans="3:4" x14ac:dyDescent="0.35">
      <c r="C12349" s="51"/>
      <c r="D12349" s="51"/>
    </row>
    <row r="12350" spans="3:4" x14ac:dyDescent="0.35">
      <c r="C12350" s="51"/>
      <c r="D12350" s="51"/>
    </row>
    <row r="12351" spans="3:4" x14ac:dyDescent="0.35">
      <c r="C12351" s="51"/>
      <c r="D12351" s="51"/>
    </row>
    <row r="12352" spans="3:4" x14ac:dyDescent="0.35">
      <c r="C12352" s="51"/>
      <c r="D12352" s="51"/>
    </row>
    <row r="12353" spans="3:4" x14ac:dyDescent="0.35">
      <c r="C12353" s="51"/>
      <c r="D12353" s="51"/>
    </row>
    <row r="12354" spans="3:4" x14ac:dyDescent="0.35">
      <c r="C12354" s="51"/>
      <c r="D12354" s="51"/>
    </row>
    <row r="12355" spans="3:4" x14ac:dyDescent="0.35">
      <c r="C12355" s="51"/>
      <c r="D12355" s="51"/>
    </row>
    <row r="12356" spans="3:4" x14ac:dyDescent="0.35">
      <c r="C12356" s="51"/>
      <c r="D12356" s="51"/>
    </row>
    <row r="12357" spans="3:4" x14ac:dyDescent="0.35">
      <c r="C12357" s="51"/>
      <c r="D12357" s="51"/>
    </row>
    <row r="12358" spans="3:4" x14ac:dyDescent="0.35">
      <c r="C12358" s="51"/>
      <c r="D12358" s="51"/>
    </row>
    <row r="12359" spans="3:4" x14ac:dyDescent="0.35">
      <c r="C12359" s="51"/>
      <c r="D12359" s="51"/>
    </row>
    <row r="12360" spans="3:4" x14ac:dyDescent="0.35">
      <c r="C12360" s="51"/>
      <c r="D12360" s="51"/>
    </row>
    <row r="12361" spans="3:4" x14ac:dyDescent="0.35">
      <c r="C12361" s="51"/>
      <c r="D12361" s="51"/>
    </row>
    <row r="12362" spans="3:4" x14ac:dyDescent="0.35">
      <c r="C12362" s="51"/>
      <c r="D12362" s="51"/>
    </row>
    <row r="12363" spans="3:4" x14ac:dyDescent="0.35">
      <c r="C12363" s="51"/>
      <c r="D12363" s="51"/>
    </row>
    <row r="12364" spans="3:4" x14ac:dyDescent="0.35">
      <c r="C12364" s="51"/>
      <c r="D12364" s="51"/>
    </row>
    <row r="12365" spans="3:4" x14ac:dyDescent="0.35">
      <c r="C12365" s="51"/>
      <c r="D12365" s="51"/>
    </row>
    <row r="12366" spans="3:4" x14ac:dyDescent="0.35">
      <c r="C12366" s="51"/>
      <c r="D12366" s="51"/>
    </row>
    <row r="12367" spans="3:4" x14ac:dyDescent="0.35">
      <c r="C12367" s="51"/>
      <c r="D12367" s="51"/>
    </row>
    <row r="12368" spans="3:4" x14ac:dyDescent="0.35">
      <c r="C12368" s="51"/>
      <c r="D12368" s="51"/>
    </row>
    <row r="12369" spans="3:4" x14ac:dyDescent="0.35">
      <c r="C12369" s="51"/>
      <c r="D12369" s="51"/>
    </row>
    <row r="12370" spans="3:4" x14ac:dyDescent="0.35">
      <c r="C12370" s="51"/>
      <c r="D12370" s="51"/>
    </row>
    <row r="12371" spans="3:4" x14ac:dyDescent="0.35">
      <c r="C12371" s="51"/>
      <c r="D12371" s="51"/>
    </row>
    <row r="12372" spans="3:4" x14ac:dyDescent="0.35">
      <c r="C12372" s="51"/>
      <c r="D12372" s="51"/>
    </row>
    <row r="12373" spans="3:4" x14ac:dyDescent="0.35">
      <c r="C12373" s="51"/>
      <c r="D12373" s="51"/>
    </row>
    <row r="12374" spans="3:4" x14ac:dyDescent="0.35">
      <c r="C12374" s="51"/>
      <c r="D12374" s="51"/>
    </row>
    <row r="12375" spans="3:4" x14ac:dyDescent="0.35">
      <c r="C12375" s="51"/>
      <c r="D12375" s="51"/>
    </row>
    <row r="12376" spans="3:4" x14ac:dyDescent="0.35">
      <c r="C12376" s="51"/>
      <c r="D12376" s="51"/>
    </row>
    <row r="12377" spans="3:4" x14ac:dyDescent="0.35">
      <c r="C12377" s="51"/>
      <c r="D12377" s="51"/>
    </row>
    <row r="12378" spans="3:4" x14ac:dyDescent="0.35">
      <c r="C12378" s="51"/>
      <c r="D12378" s="51"/>
    </row>
    <row r="12379" spans="3:4" x14ac:dyDescent="0.35">
      <c r="C12379" s="51"/>
      <c r="D12379" s="51"/>
    </row>
    <row r="12380" spans="3:4" x14ac:dyDescent="0.35">
      <c r="C12380" s="51"/>
      <c r="D12380" s="51"/>
    </row>
    <row r="12381" spans="3:4" x14ac:dyDescent="0.35">
      <c r="C12381" s="51"/>
      <c r="D12381" s="51"/>
    </row>
    <row r="12382" spans="3:4" x14ac:dyDescent="0.35">
      <c r="C12382" s="51"/>
      <c r="D12382" s="51"/>
    </row>
    <row r="12383" spans="3:4" x14ac:dyDescent="0.35">
      <c r="C12383" s="51"/>
      <c r="D12383" s="51"/>
    </row>
    <row r="12384" spans="3:4" x14ac:dyDescent="0.35">
      <c r="C12384" s="51"/>
      <c r="D12384" s="51"/>
    </row>
    <row r="12385" spans="3:4" x14ac:dyDescent="0.35">
      <c r="C12385" s="51"/>
      <c r="D12385" s="51"/>
    </row>
    <row r="12386" spans="3:4" x14ac:dyDescent="0.35">
      <c r="C12386" s="51"/>
      <c r="D12386" s="51"/>
    </row>
    <row r="12387" spans="3:4" x14ac:dyDescent="0.35">
      <c r="C12387" s="51"/>
      <c r="D12387" s="51"/>
    </row>
    <row r="12388" spans="3:4" x14ac:dyDescent="0.35">
      <c r="C12388" s="51"/>
      <c r="D12388" s="51"/>
    </row>
    <row r="12389" spans="3:4" x14ac:dyDescent="0.35">
      <c r="C12389" s="51"/>
      <c r="D12389" s="51"/>
    </row>
    <row r="12390" spans="3:4" x14ac:dyDescent="0.35">
      <c r="C12390" s="51"/>
      <c r="D12390" s="51"/>
    </row>
    <row r="12391" spans="3:4" x14ac:dyDescent="0.35">
      <c r="C12391" s="51"/>
      <c r="D12391" s="51"/>
    </row>
    <row r="12392" spans="3:4" x14ac:dyDescent="0.35">
      <c r="C12392" s="51"/>
      <c r="D12392" s="51"/>
    </row>
    <row r="12393" spans="3:4" x14ac:dyDescent="0.35">
      <c r="C12393" s="51"/>
      <c r="D12393" s="51"/>
    </row>
    <row r="12394" spans="3:4" x14ac:dyDescent="0.35">
      <c r="C12394" s="51"/>
      <c r="D12394" s="51"/>
    </row>
    <row r="12395" spans="3:4" x14ac:dyDescent="0.35">
      <c r="C12395" s="51"/>
      <c r="D12395" s="51"/>
    </row>
    <row r="12396" spans="3:4" x14ac:dyDescent="0.35">
      <c r="C12396" s="51"/>
      <c r="D12396" s="51"/>
    </row>
    <row r="12397" spans="3:4" x14ac:dyDescent="0.35">
      <c r="C12397" s="51"/>
      <c r="D12397" s="51"/>
    </row>
    <row r="12398" spans="3:4" x14ac:dyDescent="0.35">
      <c r="C12398" s="51"/>
      <c r="D12398" s="51"/>
    </row>
    <row r="12399" spans="3:4" x14ac:dyDescent="0.35">
      <c r="C12399" s="51"/>
      <c r="D12399" s="51"/>
    </row>
    <row r="12400" spans="3:4" x14ac:dyDescent="0.35">
      <c r="C12400" s="51"/>
      <c r="D12400" s="51"/>
    </row>
    <row r="12401" spans="3:4" x14ac:dyDescent="0.35">
      <c r="C12401" s="51"/>
      <c r="D12401" s="51"/>
    </row>
    <row r="12402" spans="3:4" x14ac:dyDescent="0.35">
      <c r="C12402" s="51"/>
      <c r="D12402" s="51"/>
    </row>
    <row r="12403" spans="3:4" x14ac:dyDescent="0.35">
      <c r="C12403" s="51"/>
      <c r="D12403" s="51"/>
    </row>
    <row r="12404" spans="3:4" x14ac:dyDescent="0.35">
      <c r="C12404" s="51"/>
      <c r="D12404" s="51"/>
    </row>
    <row r="12405" spans="3:4" x14ac:dyDescent="0.35">
      <c r="C12405" s="51"/>
      <c r="D12405" s="51"/>
    </row>
    <row r="12406" spans="3:4" x14ac:dyDescent="0.35">
      <c r="C12406" s="51"/>
      <c r="D12406" s="51"/>
    </row>
    <row r="12407" spans="3:4" x14ac:dyDescent="0.35">
      <c r="C12407" s="51"/>
      <c r="D12407" s="51"/>
    </row>
    <row r="12408" spans="3:4" x14ac:dyDescent="0.35">
      <c r="C12408" s="51"/>
      <c r="D12408" s="51"/>
    </row>
    <row r="12409" spans="3:4" x14ac:dyDescent="0.35">
      <c r="C12409" s="51"/>
      <c r="D12409" s="51"/>
    </row>
    <row r="12410" spans="3:4" x14ac:dyDescent="0.35">
      <c r="C12410" s="51"/>
      <c r="D12410" s="51"/>
    </row>
    <row r="12411" spans="3:4" x14ac:dyDescent="0.35">
      <c r="C12411" s="51"/>
      <c r="D12411" s="51"/>
    </row>
    <row r="12412" spans="3:4" x14ac:dyDescent="0.35">
      <c r="C12412" s="51"/>
      <c r="D12412" s="51"/>
    </row>
    <row r="12413" spans="3:4" x14ac:dyDescent="0.35">
      <c r="C12413" s="51"/>
      <c r="D12413" s="51"/>
    </row>
    <row r="12414" spans="3:4" x14ac:dyDescent="0.35">
      <c r="C12414" s="51"/>
      <c r="D12414" s="51"/>
    </row>
    <row r="12415" spans="3:4" x14ac:dyDescent="0.35">
      <c r="C12415" s="51"/>
      <c r="D12415" s="51"/>
    </row>
    <row r="12416" spans="3:4" x14ac:dyDescent="0.35">
      <c r="C12416" s="51"/>
      <c r="D12416" s="51"/>
    </row>
    <row r="12417" spans="3:4" x14ac:dyDescent="0.35">
      <c r="C12417" s="51"/>
      <c r="D12417" s="51"/>
    </row>
    <row r="12418" spans="3:4" x14ac:dyDescent="0.35">
      <c r="C12418" s="51"/>
      <c r="D12418" s="51"/>
    </row>
    <row r="12419" spans="3:4" x14ac:dyDescent="0.35">
      <c r="C12419" s="51"/>
      <c r="D12419" s="51"/>
    </row>
    <row r="12420" spans="3:4" x14ac:dyDescent="0.35">
      <c r="C12420" s="51"/>
      <c r="D12420" s="51"/>
    </row>
    <row r="12421" spans="3:4" x14ac:dyDescent="0.35">
      <c r="C12421" s="51"/>
      <c r="D12421" s="51"/>
    </row>
    <row r="12422" spans="3:4" x14ac:dyDescent="0.35">
      <c r="C12422" s="51"/>
      <c r="D12422" s="51"/>
    </row>
    <row r="12423" spans="3:4" x14ac:dyDescent="0.35">
      <c r="C12423" s="51"/>
      <c r="D12423" s="51"/>
    </row>
    <row r="12424" spans="3:4" x14ac:dyDescent="0.35">
      <c r="C12424" s="51"/>
      <c r="D12424" s="51"/>
    </row>
    <row r="12425" spans="3:4" x14ac:dyDescent="0.35">
      <c r="C12425" s="51"/>
      <c r="D12425" s="51"/>
    </row>
    <row r="12426" spans="3:4" x14ac:dyDescent="0.35">
      <c r="C12426" s="51"/>
      <c r="D12426" s="51"/>
    </row>
    <row r="12427" spans="3:4" x14ac:dyDescent="0.35">
      <c r="C12427" s="51"/>
      <c r="D12427" s="51"/>
    </row>
    <row r="12428" spans="3:4" x14ac:dyDescent="0.35">
      <c r="C12428" s="51"/>
      <c r="D12428" s="51"/>
    </row>
    <row r="12429" spans="3:4" x14ac:dyDescent="0.35">
      <c r="C12429" s="51"/>
      <c r="D12429" s="51"/>
    </row>
    <row r="12430" spans="3:4" x14ac:dyDescent="0.35">
      <c r="C12430" s="51"/>
      <c r="D12430" s="51"/>
    </row>
    <row r="12431" spans="3:4" x14ac:dyDescent="0.35">
      <c r="C12431" s="51"/>
      <c r="D12431" s="51"/>
    </row>
    <row r="12432" spans="3:4" x14ac:dyDescent="0.35">
      <c r="C12432" s="51"/>
      <c r="D12432" s="51"/>
    </row>
    <row r="12433" spans="3:4" x14ac:dyDescent="0.35">
      <c r="C12433" s="51"/>
      <c r="D12433" s="51"/>
    </row>
    <row r="12434" spans="3:4" x14ac:dyDescent="0.35">
      <c r="C12434" s="51"/>
      <c r="D12434" s="51"/>
    </row>
    <row r="12435" spans="3:4" x14ac:dyDescent="0.35">
      <c r="C12435" s="51"/>
      <c r="D12435" s="51"/>
    </row>
    <row r="12436" spans="3:4" x14ac:dyDescent="0.35">
      <c r="C12436" s="51"/>
      <c r="D12436" s="51"/>
    </row>
    <row r="12437" spans="3:4" x14ac:dyDescent="0.35">
      <c r="C12437" s="51"/>
      <c r="D12437" s="51"/>
    </row>
    <row r="12438" spans="3:4" x14ac:dyDescent="0.35">
      <c r="C12438" s="51"/>
      <c r="D12438" s="51"/>
    </row>
    <row r="12439" spans="3:4" x14ac:dyDescent="0.35">
      <c r="C12439" s="51"/>
      <c r="D12439" s="51"/>
    </row>
    <row r="12440" spans="3:4" x14ac:dyDescent="0.35">
      <c r="C12440" s="51"/>
      <c r="D12440" s="51"/>
    </row>
    <row r="12441" spans="3:4" x14ac:dyDescent="0.35">
      <c r="C12441" s="51"/>
      <c r="D12441" s="51"/>
    </row>
    <row r="12442" spans="3:4" x14ac:dyDescent="0.35">
      <c r="C12442" s="51"/>
      <c r="D12442" s="51"/>
    </row>
    <row r="12443" spans="3:4" x14ac:dyDescent="0.35">
      <c r="C12443" s="51"/>
      <c r="D12443" s="51"/>
    </row>
    <row r="12444" spans="3:4" x14ac:dyDescent="0.35">
      <c r="C12444" s="51"/>
      <c r="D12444" s="51"/>
    </row>
    <row r="12445" spans="3:4" x14ac:dyDescent="0.35">
      <c r="C12445" s="51"/>
      <c r="D12445" s="51"/>
    </row>
    <row r="12446" spans="3:4" x14ac:dyDescent="0.35">
      <c r="C12446" s="51"/>
      <c r="D12446" s="51"/>
    </row>
    <row r="12447" spans="3:4" x14ac:dyDescent="0.35">
      <c r="C12447" s="51"/>
      <c r="D12447" s="51"/>
    </row>
    <row r="12448" spans="3:4" x14ac:dyDescent="0.35">
      <c r="C12448" s="51"/>
      <c r="D12448" s="51"/>
    </row>
    <row r="12449" spans="3:4" x14ac:dyDescent="0.35">
      <c r="C12449" s="51"/>
      <c r="D12449" s="51"/>
    </row>
    <row r="12450" spans="3:4" x14ac:dyDescent="0.35">
      <c r="C12450" s="51"/>
      <c r="D12450" s="51"/>
    </row>
    <row r="12451" spans="3:4" x14ac:dyDescent="0.35">
      <c r="C12451" s="51"/>
      <c r="D12451" s="51"/>
    </row>
    <row r="12452" spans="3:4" x14ac:dyDescent="0.35">
      <c r="C12452" s="51"/>
      <c r="D12452" s="51"/>
    </row>
    <row r="12453" spans="3:4" x14ac:dyDescent="0.35">
      <c r="C12453" s="51"/>
      <c r="D12453" s="51"/>
    </row>
    <row r="12454" spans="3:4" x14ac:dyDescent="0.35">
      <c r="C12454" s="51"/>
      <c r="D12454" s="51"/>
    </row>
    <row r="12455" spans="3:4" x14ac:dyDescent="0.35">
      <c r="C12455" s="51"/>
      <c r="D12455" s="51"/>
    </row>
    <row r="12456" spans="3:4" x14ac:dyDescent="0.35">
      <c r="C12456" s="51"/>
      <c r="D12456" s="51"/>
    </row>
    <row r="12457" spans="3:4" x14ac:dyDescent="0.35">
      <c r="C12457" s="51"/>
      <c r="D12457" s="51"/>
    </row>
    <row r="12458" spans="3:4" x14ac:dyDescent="0.35">
      <c r="C12458" s="51"/>
      <c r="D12458" s="51"/>
    </row>
    <row r="12459" spans="3:4" x14ac:dyDescent="0.35">
      <c r="C12459" s="51"/>
      <c r="D12459" s="51"/>
    </row>
    <row r="12460" spans="3:4" x14ac:dyDescent="0.35">
      <c r="C12460" s="51"/>
      <c r="D12460" s="51"/>
    </row>
    <row r="12461" spans="3:4" x14ac:dyDescent="0.35">
      <c r="C12461" s="51"/>
      <c r="D12461" s="51"/>
    </row>
    <row r="12462" spans="3:4" x14ac:dyDescent="0.35">
      <c r="C12462" s="51"/>
      <c r="D12462" s="51"/>
    </row>
    <row r="12463" spans="3:4" x14ac:dyDescent="0.35">
      <c r="C12463" s="51"/>
      <c r="D12463" s="51"/>
    </row>
    <row r="12464" spans="3:4" x14ac:dyDescent="0.35">
      <c r="C12464" s="51"/>
      <c r="D12464" s="51"/>
    </row>
    <row r="12465" spans="3:4" x14ac:dyDescent="0.35">
      <c r="C12465" s="51"/>
      <c r="D12465" s="51"/>
    </row>
    <row r="12466" spans="3:4" x14ac:dyDescent="0.35">
      <c r="C12466" s="51"/>
      <c r="D12466" s="51"/>
    </row>
    <row r="12467" spans="3:4" x14ac:dyDescent="0.35">
      <c r="C12467" s="51"/>
      <c r="D12467" s="51"/>
    </row>
    <row r="12468" spans="3:4" x14ac:dyDescent="0.35">
      <c r="C12468" s="51"/>
      <c r="D12468" s="51"/>
    </row>
    <row r="12469" spans="3:4" x14ac:dyDescent="0.35">
      <c r="C12469" s="51"/>
      <c r="D12469" s="51"/>
    </row>
    <row r="12470" spans="3:4" x14ac:dyDescent="0.35">
      <c r="C12470" s="51"/>
      <c r="D12470" s="51"/>
    </row>
    <row r="12471" spans="3:4" x14ac:dyDescent="0.35">
      <c r="C12471" s="51"/>
      <c r="D12471" s="51"/>
    </row>
    <row r="12472" spans="3:4" x14ac:dyDescent="0.35">
      <c r="C12472" s="51"/>
      <c r="D12472" s="51"/>
    </row>
    <row r="12473" spans="3:4" x14ac:dyDescent="0.35">
      <c r="C12473" s="51"/>
      <c r="D12473" s="51"/>
    </row>
    <row r="12474" spans="3:4" x14ac:dyDescent="0.35">
      <c r="C12474" s="51"/>
      <c r="D12474" s="51"/>
    </row>
    <row r="12475" spans="3:4" x14ac:dyDescent="0.35">
      <c r="C12475" s="51"/>
      <c r="D12475" s="51"/>
    </row>
    <row r="12476" spans="3:4" x14ac:dyDescent="0.35">
      <c r="C12476" s="51"/>
      <c r="D12476" s="51"/>
    </row>
    <row r="12477" spans="3:4" x14ac:dyDescent="0.35">
      <c r="C12477" s="51"/>
      <c r="D12477" s="51"/>
    </row>
    <row r="12478" spans="3:4" x14ac:dyDescent="0.35">
      <c r="C12478" s="51"/>
      <c r="D12478" s="51"/>
    </row>
    <row r="12479" spans="3:4" x14ac:dyDescent="0.35">
      <c r="C12479" s="51"/>
      <c r="D12479" s="51"/>
    </row>
    <row r="12480" spans="3:4" x14ac:dyDescent="0.35">
      <c r="C12480" s="51"/>
      <c r="D12480" s="51"/>
    </row>
    <row r="12481" spans="3:4" x14ac:dyDescent="0.35">
      <c r="C12481" s="51"/>
      <c r="D12481" s="51"/>
    </row>
    <row r="12482" spans="3:4" x14ac:dyDescent="0.35">
      <c r="C12482" s="51"/>
      <c r="D12482" s="51"/>
    </row>
    <row r="12483" spans="3:4" x14ac:dyDescent="0.35">
      <c r="C12483" s="51"/>
      <c r="D12483" s="51"/>
    </row>
    <row r="12484" spans="3:4" x14ac:dyDescent="0.35">
      <c r="C12484" s="51"/>
      <c r="D12484" s="51"/>
    </row>
    <row r="12485" spans="3:4" x14ac:dyDescent="0.35">
      <c r="C12485" s="51"/>
      <c r="D12485" s="51"/>
    </row>
    <row r="12486" spans="3:4" x14ac:dyDescent="0.35">
      <c r="C12486" s="51"/>
      <c r="D12486" s="51"/>
    </row>
    <row r="12487" spans="3:4" x14ac:dyDescent="0.35">
      <c r="C12487" s="51"/>
      <c r="D12487" s="51"/>
    </row>
    <row r="12488" spans="3:4" x14ac:dyDescent="0.35">
      <c r="C12488" s="51"/>
      <c r="D12488" s="51"/>
    </row>
    <row r="12489" spans="3:4" x14ac:dyDescent="0.35">
      <c r="C12489" s="51"/>
      <c r="D12489" s="51"/>
    </row>
    <row r="12490" spans="3:4" x14ac:dyDescent="0.35">
      <c r="C12490" s="51"/>
      <c r="D12490" s="51"/>
    </row>
    <row r="12491" spans="3:4" x14ac:dyDescent="0.35">
      <c r="C12491" s="51"/>
      <c r="D12491" s="51"/>
    </row>
    <row r="12492" spans="3:4" x14ac:dyDescent="0.35">
      <c r="C12492" s="51"/>
      <c r="D12492" s="51"/>
    </row>
    <row r="12493" spans="3:4" x14ac:dyDescent="0.35">
      <c r="C12493" s="51"/>
      <c r="D12493" s="51"/>
    </row>
    <row r="12494" spans="3:4" x14ac:dyDescent="0.35">
      <c r="C12494" s="51"/>
      <c r="D12494" s="51"/>
    </row>
    <row r="12495" spans="3:4" x14ac:dyDescent="0.35">
      <c r="C12495" s="51"/>
      <c r="D12495" s="51"/>
    </row>
    <row r="12496" spans="3:4" x14ac:dyDescent="0.35">
      <c r="C12496" s="51"/>
      <c r="D12496" s="51"/>
    </row>
    <row r="12497" spans="3:4" x14ac:dyDescent="0.35">
      <c r="C12497" s="51"/>
      <c r="D12497" s="51"/>
    </row>
    <row r="12498" spans="3:4" x14ac:dyDescent="0.35">
      <c r="C12498" s="51"/>
      <c r="D12498" s="51"/>
    </row>
    <row r="12499" spans="3:4" x14ac:dyDescent="0.35">
      <c r="C12499" s="51"/>
      <c r="D12499" s="51"/>
    </row>
    <row r="12500" spans="3:4" x14ac:dyDescent="0.35">
      <c r="C12500" s="51"/>
      <c r="D12500" s="51"/>
    </row>
    <row r="12501" spans="3:4" x14ac:dyDescent="0.35">
      <c r="C12501" s="51"/>
      <c r="D12501" s="51"/>
    </row>
    <row r="12502" spans="3:4" x14ac:dyDescent="0.35">
      <c r="C12502" s="51"/>
      <c r="D12502" s="51"/>
    </row>
    <row r="12503" spans="3:4" x14ac:dyDescent="0.35">
      <c r="C12503" s="51"/>
      <c r="D12503" s="51"/>
    </row>
    <row r="12504" spans="3:4" x14ac:dyDescent="0.35">
      <c r="C12504" s="51"/>
      <c r="D12504" s="51"/>
    </row>
    <row r="12505" spans="3:4" x14ac:dyDescent="0.35">
      <c r="C12505" s="51"/>
      <c r="D12505" s="51"/>
    </row>
    <row r="12506" spans="3:4" x14ac:dyDescent="0.35">
      <c r="C12506" s="51"/>
      <c r="D12506" s="51"/>
    </row>
    <row r="12507" spans="3:4" x14ac:dyDescent="0.35">
      <c r="C12507" s="51"/>
      <c r="D12507" s="51"/>
    </row>
    <row r="12508" spans="3:4" x14ac:dyDescent="0.35">
      <c r="C12508" s="51"/>
      <c r="D12508" s="51"/>
    </row>
    <row r="12509" spans="3:4" x14ac:dyDescent="0.35">
      <c r="C12509" s="51"/>
      <c r="D12509" s="51"/>
    </row>
    <row r="12510" spans="3:4" x14ac:dyDescent="0.35">
      <c r="C12510" s="51"/>
      <c r="D12510" s="51"/>
    </row>
    <row r="12511" spans="3:4" x14ac:dyDescent="0.35">
      <c r="C12511" s="51"/>
      <c r="D12511" s="51"/>
    </row>
    <row r="12512" spans="3:4" x14ac:dyDescent="0.35">
      <c r="C12512" s="51"/>
      <c r="D12512" s="51"/>
    </row>
    <row r="12513" spans="3:4" x14ac:dyDescent="0.35">
      <c r="C12513" s="51"/>
      <c r="D12513" s="51"/>
    </row>
    <row r="12514" spans="3:4" x14ac:dyDescent="0.35">
      <c r="C12514" s="51"/>
      <c r="D12514" s="51"/>
    </row>
    <row r="12515" spans="3:4" x14ac:dyDescent="0.35">
      <c r="C12515" s="51"/>
      <c r="D12515" s="51"/>
    </row>
    <row r="12516" spans="3:4" x14ac:dyDescent="0.35">
      <c r="C12516" s="51"/>
      <c r="D12516" s="51"/>
    </row>
    <row r="12517" spans="3:4" x14ac:dyDescent="0.35">
      <c r="C12517" s="51"/>
      <c r="D12517" s="51"/>
    </row>
    <row r="12518" spans="3:4" x14ac:dyDescent="0.35">
      <c r="C12518" s="51"/>
      <c r="D12518" s="51"/>
    </row>
    <row r="12519" spans="3:4" x14ac:dyDescent="0.35">
      <c r="C12519" s="51"/>
      <c r="D12519" s="51"/>
    </row>
    <row r="12520" spans="3:4" x14ac:dyDescent="0.35">
      <c r="C12520" s="51"/>
      <c r="D12520" s="51"/>
    </row>
    <row r="12521" spans="3:4" x14ac:dyDescent="0.35">
      <c r="C12521" s="51"/>
      <c r="D12521" s="51"/>
    </row>
    <row r="12522" spans="3:4" x14ac:dyDescent="0.35">
      <c r="C12522" s="51"/>
      <c r="D12522" s="51"/>
    </row>
    <row r="12523" spans="3:4" x14ac:dyDescent="0.35">
      <c r="C12523" s="51"/>
      <c r="D12523" s="51"/>
    </row>
    <row r="12524" spans="3:4" x14ac:dyDescent="0.35">
      <c r="C12524" s="51"/>
      <c r="D12524" s="51"/>
    </row>
    <row r="12525" spans="3:4" x14ac:dyDescent="0.35">
      <c r="C12525" s="51"/>
      <c r="D12525" s="51"/>
    </row>
    <row r="12526" spans="3:4" x14ac:dyDescent="0.35">
      <c r="C12526" s="51"/>
      <c r="D12526" s="51"/>
    </row>
    <row r="12527" spans="3:4" x14ac:dyDescent="0.35">
      <c r="C12527" s="51"/>
      <c r="D12527" s="51"/>
    </row>
    <row r="12528" spans="3:4" x14ac:dyDescent="0.35">
      <c r="C12528" s="51"/>
      <c r="D12528" s="51"/>
    </row>
    <row r="12529" spans="3:4" x14ac:dyDescent="0.35">
      <c r="C12529" s="51"/>
      <c r="D12529" s="51"/>
    </row>
    <row r="12530" spans="3:4" x14ac:dyDescent="0.35">
      <c r="C12530" s="51"/>
      <c r="D12530" s="51"/>
    </row>
    <row r="12531" spans="3:4" x14ac:dyDescent="0.35">
      <c r="C12531" s="51"/>
      <c r="D12531" s="51"/>
    </row>
    <row r="12532" spans="3:4" x14ac:dyDescent="0.35">
      <c r="C12532" s="51"/>
      <c r="D12532" s="51"/>
    </row>
    <row r="12533" spans="3:4" x14ac:dyDescent="0.35">
      <c r="C12533" s="51"/>
      <c r="D12533" s="51"/>
    </row>
    <row r="12534" spans="3:4" x14ac:dyDescent="0.35">
      <c r="C12534" s="51"/>
      <c r="D12534" s="51"/>
    </row>
    <row r="12535" spans="3:4" x14ac:dyDescent="0.35">
      <c r="C12535" s="51"/>
      <c r="D12535" s="51"/>
    </row>
    <row r="12536" spans="3:4" x14ac:dyDescent="0.35">
      <c r="C12536" s="51"/>
      <c r="D12536" s="51"/>
    </row>
    <row r="12537" spans="3:4" x14ac:dyDescent="0.35">
      <c r="C12537" s="51"/>
      <c r="D12537" s="51"/>
    </row>
    <row r="12538" spans="3:4" x14ac:dyDescent="0.35">
      <c r="C12538" s="51"/>
      <c r="D12538" s="51"/>
    </row>
    <row r="12539" spans="3:4" x14ac:dyDescent="0.35">
      <c r="C12539" s="51"/>
      <c r="D12539" s="51"/>
    </row>
    <row r="12540" spans="3:4" x14ac:dyDescent="0.35">
      <c r="C12540" s="51"/>
      <c r="D12540" s="51"/>
    </row>
    <row r="12541" spans="3:4" x14ac:dyDescent="0.35">
      <c r="C12541" s="51"/>
      <c r="D12541" s="51"/>
    </row>
    <row r="12542" spans="3:4" x14ac:dyDescent="0.35">
      <c r="C12542" s="51"/>
      <c r="D12542" s="51"/>
    </row>
    <row r="12543" spans="3:4" x14ac:dyDescent="0.35">
      <c r="C12543" s="51"/>
      <c r="D12543" s="51"/>
    </row>
    <row r="12544" spans="3:4" x14ac:dyDescent="0.35">
      <c r="C12544" s="51"/>
      <c r="D12544" s="51"/>
    </row>
    <row r="12545" spans="3:4" x14ac:dyDescent="0.35">
      <c r="C12545" s="51"/>
      <c r="D12545" s="51"/>
    </row>
    <row r="12546" spans="3:4" x14ac:dyDescent="0.35">
      <c r="C12546" s="51"/>
      <c r="D12546" s="51"/>
    </row>
    <row r="12547" spans="3:4" x14ac:dyDescent="0.35">
      <c r="C12547" s="51"/>
      <c r="D12547" s="51"/>
    </row>
    <row r="12548" spans="3:4" x14ac:dyDescent="0.35">
      <c r="C12548" s="51"/>
      <c r="D12548" s="51"/>
    </row>
    <row r="12549" spans="3:4" x14ac:dyDescent="0.35">
      <c r="C12549" s="51"/>
      <c r="D12549" s="51"/>
    </row>
    <row r="12550" spans="3:4" x14ac:dyDescent="0.35">
      <c r="C12550" s="51"/>
      <c r="D12550" s="51"/>
    </row>
    <row r="12551" spans="3:4" x14ac:dyDescent="0.35">
      <c r="C12551" s="51"/>
      <c r="D12551" s="51"/>
    </row>
    <row r="12552" spans="3:4" x14ac:dyDescent="0.35">
      <c r="C12552" s="51"/>
      <c r="D12552" s="51"/>
    </row>
    <row r="12553" spans="3:4" x14ac:dyDescent="0.35">
      <c r="C12553" s="51"/>
      <c r="D12553" s="51"/>
    </row>
    <row r="12554" spans="3:4" x14ac:dyDescent="0.35">
      <c r="C12554" s="51"/>
      <c r="D12554" s="51"/>
    </row>
    <row r="12555" spans="3:4" x14ac:dyDescent="0.35">
      <c r="C12555" s="51"/>
      <c r="D12555" s="51"/>
    </row>
    <row r="12556" spans="3:4" x14ac:dyDescent="0.35">
      <c r="C12556" s="51"/>
      <c r="D12556" s="51"/>
    </row>
    <row r="12557" spans="3:4" x14ac:dyDescent="0.35">
      <c r="C12557" s="51"/>
      <c r="D12557" s="51"/>
    </row>
    <row r="12558" spans="3:4" x14ac:dyDescent="0.35">
      <c r="C12558" s="51"/>
      <c r="D12558" s="51"/>
    </row>
    <row r="12559" spans="3:4" x14ac:dyDescent="0.35">
      <c r="C12559" s="51"/>
      <c r="D12559" s="51"/>
    </row>
    <row r="12560" spans="3:4" x14ac:dyDescent="0.35">
      <c r="C12560" s="51"/>
      <c r="D12560" s="51"/>
    </row>
    <row r="12561" spans="3:4" x14ac:dyDescent="0.35">
      <c r="C12561" s="51"/>
      <c r="D12561" s="51"/>
    </row>
    <row r="12562" spans="3:4" x14ac:dyDescent="0.35">
      <c r="C12562" s="51"/>
      <c r="D12562" s="51"/>
    </row>
    <row r="12563" spans="3:4" x14ac:dyDescent="0.35">
      <c r="C12563" s="51"/>
      <c r="D12563" s="51"/>
    </row>
    <row r="12564" spans="3:4" x14ac:dyDescent="0.35">
      <c r="C12564" s="51"/>
      <c r="D12564" s="51"/>
    </row>
    <row r="12565" spans="3:4" x14ac:dyDescent="0.35">
      <c r="C12565" s="51"/>
      <c r="D12565" s="51"/>
    </row>
    <row r="12566" spans="3:4" x14ac:dyDescent="0.35">
      <c r="C12566" s="51"/>
      <c r="D12566" s="51"/>
    </row>
    <row r="12567" spans="3:4" x14ac:dyDescent="0.35">
      <c r="C12567" s="51"/>
      <c r="D12567" s="51"/>
    </row>
    <row r="12568" spans="3:4" x14ac:dyDescent="0.35">
      <c r="C12568" s="51"/>
      <c r="D12568" s="51"/>
    </row>
    <row r="12569" spans="3:4" x14ac:dyDescent="0.35">
      <c r="C12569" s="51"/>
      <c r="D12569" s="51"/>
    </row>
    <row r="12570" spans="3:4" x14ac:dyDescent="0.35">
      <c r="C12570" s="51"/>
      <c r="D12570" s="51"/>
    </row>
    <row r="12571" spans="3:4" x14ac:dyDescent="0.35">
      <c r="C12571" s="51"/>
      <c r="D12571" s="51"/>
    </row>
    <row r="12572" spans="3:4" x14ac:dyDescent="0.35">
      <c r="C12572" s="51"/>
      <c r="D12572" s="51"/>
    </row>
    <row r="12573" spans="3:4" x14ac:dyDescent="0.35">
      <c r="C12573" s="51"/>
      <c r="D12573" s="51"/>
    </row>
    <row r="12574" spans="3:4" x14ac:dyDescent="0.35">
      <c r="C12574" s="51"/>
      <c r="D12574" s="51"/>
    </row>
    <row r="12575" spans="3:4" x14ac:dyDescent="0.35">
      <c r="C12575" s="51"/>
      <c r="D12575" s="51"/>
    </row>
    <row r="12576" spans="3:4" x14ac:dyDescent="0.35">
      <c r="C12576" s="51"/>
      <c r="D12576" s="51"/>
    </row>
    <row r="12577" spans="3:4" x14ac:dyDescent="0.35">
      <c r="C12577" s="51"/>
      <c r="D12577" s="51"/>
    </row>
    <row r="12578" spans="3:4" x14ac:dyDescent="0.35">
      <c r="C12578" s="51"/>
      <c r="D12578" s="51"/>
    </row>
    <row r="12579" spans="3:4" x14ac:dyDescent="0.35">
      <c r="C12579" s="51"/>
      <c r="D12579" s="51"/>
    </row>
    <row r="12580" spans="3:4" x14ac:dyDescent="0.35">
      <c r="C12580" s="51"/>
      <c r="D12580" s="51"/>
    </row>
    <row r="12581" spans="3:4" x14ac:dyDescent="0.35">
      <c r="C12581" s="51"/>
      <c r="D12581" s="51"/>
    </row>
    <row r="12582" spans="3:4" x14ac:dyDescent="0.35">
      <c r="C12582" s="51"/>
      <c r="D12582" s="51"/>
    </row>
    <row r="12583" spans="3:4" x14ac:dyDescent="0.35">
      <c r="C12583" s="51"/>
      <c r="D12583" s="51"/>
    </row>
    <row r="12584" spans="3:4" x14ac:dyDescent="0.35">
      <c r="C12584" s="51"/>
      <c r="D12584" s="51"/>
    </row>
    <row r="12585" spans="3:4" x14ac:dyDescent="0.35">
      <c r="C12585" s="51"/>
      <c r="D12585" s="51"/>
    </row>
    <row r="12586" spans="3:4" x14ac:dyDescent="0.35">
      <c r="C12586" s="51"/>
      <c r="D12586" s="51"/>
    </row>
    <row r="12587" spans="3:4" x14ac:dyDescent="0.35">
      <c r="C12587" s="51"/>
      <c r="D12587" s="51"/>
    </row>
    <row r="12588" spans="3:4" x14ac:dyDescent="0.35">
      <c r="C12588" s="51"/>
      <c r="D12588" s="51"/>
    </row>
    <row r="12589" spans="3:4" x14ac:dyDescent="0.35">
      <c r="C12589" s="51"/>
      <c r="D12589" s="51"/>
    </row>
    <row r="12590" spans="3:4" x14ac:dyDescent="0.35">
      <c r="C12590" s="51"/>
      <c r="D12590" s="51"/>
    </row>
    <row r="12591" spans="3:4" x14ac:dyDescent="0.35">
      <c r="C12591" s="51"/>
      <c r="D12591" s="51"/>
    </row>
    <row r="12592" spans="3:4" x14ac:dyDescent="0.35">
      <c r="C12592" s="51"/>
      <c r="D12592" s="51"/>
    </row>
    <row r="12593" spans="3:4" x14ac:dyDescent="0.35">
      <c r="C12593" s="51"/>
      <c r="D12593" s="51"/>
    </row>
    <row r="12594" spans="3:4" x14ac:dyDescent="0.35">
      <c r="C12594" s="51"/>
      <c r="D12594" s="51"/>
    </row>
    <row r="12595" spans="3:4" x14ac:dyDescent="0.35">
      <c r="C12595" s="51"/>
      <c r="D12595" s="51"/>
    </row>
    <row r="12596" spans="3:4" x14ac:dyDescent="0.35">
      <c r="C12596" s="51"/>
      <c r="D12596" s="51"/>
    </row>
    <row r="12597" spans="3:4" x14ac:dyDescent="0.35">
      <c r="C12597" s="51"/>
      <c r="D12597" s="51"/>
    </row>
    <row r="12598" spans="3:4" x14ac:dyDescent="0.35">
      <c r="C12598" s="51"/>
      <c r="D12598" s="51"/>
    </row>
    <row r="12599" spans="3:4" x14ac:dyDescent="0.35">
      <c r="C12599" s="51"/>
      <c r="D12599" s="51"/>
    </row>
    <row r="12600" spans="3:4" x14ac:dyDescent="0.35">
      <c r="C12600" s="51"/>
      <c r="D12600" s="51"/>
    </row>
    <row r="12601" spans="3:4" x14ac:dyDescent="0.35">
      <c r="C12601" s="51"/>
      <c r="D12601" s="51"/>
    </row>
    <row r="12602" spans="3:4" x14ac:dyDescent="0.35">
      <c r="C12602" s="51"/>
      <c r="D12602" s="51"/>
    </row>
    <row r="12603" spans="3:4" x14ac:dyDescent="0.35">
      <c r="C12603" s="51"/>
      <c r="D12603" s="51"/>
    </row>
    <row r="12604" spans="3:4" x14ac:dyDescent="0.35">
      <c r="C12604" s="51"/>
      <c r="D12604" s="51"/>
    </row>
    <row r="12605" spans="3:4" x14ac:dyDescent="0.35">
      <c r="C12605" s="51"/>
      <c r="D12605" s="51"/>
    </row>
    <row r="12606" spans="3:4" x14ac:dyDescent="0.35">
      <c r="C12606" s="51"/>
      <c r="D12606" s="51"/>
    </row>
    <row r="12607" spans="3:4" x14ac:dyDescent="0.35">
      <c r="C12607" s="51"/>
      <c r="D12607" s="51"/>
    </row>
    <row r="12608" spans="3:4" x14ac:dyDescent="0.35">
      <c r="C12608" s="51"/>
      <c r="D12608" s="51"/>
    </row>
    <row r="12609" spans="3:4" x14ac:dyDescent="0.35">
      <c r="C12609" s="51"/>
      <c r="D12609" s="51"/>
    </row>
    <row r="12610" spans="3:4" x14ac:dyDescent="0.35">
      <c r="C12610" s="51"/>
      <c r="D12610" s="51"/>
    </row>
    <row r="12611" spans="3:4" x14ac:dyDescent="0.35">
      <c r="C12611" s="51"/>
      <c r="D12611" s="51"/>
    </row>
    <row r="12612" spans="3:4" x14ac:dyDescent="0.35">
      <c r="C12612" s="51"/>
      <c r="D12612" s="51"/>
    </row>
    <row r="12613" spans="3:4" x14ac:dyDescent="0.35">
      <c r="C12613" s="51"/>
      <c r="D12613" s="51"/>
    </row>
    <row r="12614" spans="3:4" x14ac:dyDescent="0.35">
      <c r="C12614" s="51"/>
      <c r="D12614" s="51"/>
    </row>
    <row r="12615" spans="3:4" x14ac:dyDescent="0.35">
      <c r="C12615" s="51"/>
      <c r="D12615" s="51"/>
    </row>
    <row r="12616" spans="3:4" x14ac:dyDescent="0.35">
      <c r="C12616" s="51"/>
      <c r="D12616" s="51"/>
    </row>
    <row r="12617" spans="3:4" x14ac:dyDescent="0.35">
      <c r="C12617" s="51"/>
      <c r="D12617" s="51"/>
    </row>
    <row r="12618" spans="3:4" x14ac:dyDescent="0.35">
      <c r="C12618" s="51"/>
      <c r="D12618" s="51"/>
    </row>
    <row r="12619" spans="3:4" x14ac:dyDescent="0.35">
      <c r="C12619" s="51"/>
      <c r="D12619" s="51"/>
    </row>
    <row r="12620" spans="3:4" x14ac:dyDescent="0.35">
      <c r="C12620" s="51"/>
      <c r="D12620" s="51"/>
    </row>
    <row r="12621" spans="3:4" x14ac:dyDescent="0.35">
      <c r="C12621" s="51"/>
      <c r="D12621" s="51"/>
    </row>
    <row r="12622" spans="3:4" x14ac:dyDescent="0.35">
      <c r="C12622" s="51"/>
      <c r="D12622" s="51"/>
    </row>
    <row r="12623" spans="3:4" x14ac:dyDescent="0.35">
      <c r="C12623" s="51"/>
      <c r="D12623" s="51"/>
    </row>
    <row r="12624" spans="3:4" x14ac:dyDescent="0.35">
      <c r="C12624" s="51"/>
      <c r="D12624" s="51"/>
    </row>
    <row r="12625" spans="3:4" x14ac:dyDescent="0.35">
      <c r="C12625" s="51"/>
      <c r="D12625" s="51"/>
    </row>
    <row r="12626" spans="3:4" x14ac:dyDescent="0.35">
      <c r="C12626" s="51"/>
      <c r="D12626" s="51"/>
    </row>
    <row r="12627" spans="3:4" x14ac:dyDescent="0.35">
      <c r="C12627" s="51"/>
      <c r="D12627" s="51"/>
    </row>
    <row r="12628" spans="3:4" x14ac:dyDescent="0.35">
      <c r="C12628" s="51"/>
      <c r="D12628" s="51"/>
    </row>
    <row r="12629" spans="3:4" x14ac:dyDescent="0.35">
      <c r="C12629" s="51"/>
      <c r="D12629" s="51"/>
    </row>
    <row r="12630" spans="3:4" x14ac:dyDescent="0.35">
      <c r="C12630" s="51"/>
      <c r="D12630" s="51"/>
    </row>
    <row r="12631" spans="3:4" x14ac:dyDescent="0.35">
      <c r="C12631" s="51"/>
      <c r="D12631" s="51"/>
    </row>
    <row r="12632" spans="3:4" x14ac:dyDescent="0.35">
      <c r="C12632" s="51"/>
      <c r="D12632" s="51"/>
    </row>
    <row r="12633" spans="3:4" x14ac:dyDescent="0.35">
      <c r="C12633" s="51"/>
      <c r="D12633" s="51"/>
    </row>
    <row r="12634" spans="3:4" x14ac:dyDescent="0.35">
      <c r="C12634" s="51"/>
      <c r="D12634" s="51"/>
    </row>
    <row r="12635" spans="3:4" x14ac:dyDescent="0.35">
      <c r="C12635" s="51"/>
      <c r="D12635" s="51"/>
    </row>
    <row r="12636" spans="3:4" x14ac:dyDescent="0.35">
      <c r="C12636" s="51"/>
      <c r="D12636" s="51"/>
    </row>
    <row r="12637" spans="3:4" x14ac:dyDescent="0.35">
      <c r="C12637" s="51"/>
      <c r="D12637" s="51"/>
    </row>
    <row r="12638" spans="3:4" x14ac:dyDescent="0.35">
      <c r="C12638" s="51"/>
      <c r="D12638" s="51"/>
    </row>
    <row r="12639" spans="3:4" x14ac:dyDescent="0.35">
      <c r="C12639" s="51"/>
      <c r="D12639" s="51"/>
    </row>
    <row r="12640" spans="3:4" x14ac:dyDescent="0.35">
      <c r="C12640" s="51"/>
      <c r="D12640" s="51"/>
    </row>
    <row r="12641" spans="3:4" x14ac:dyDescent="0.35">
      <c r="C12641" s="51"/>
      <c r="D12641" s="51"/>
    </row>
    <row r="12642" spans="3:4" x14ac:dyDescent="0.35">
      <c r="C12642" s="51"/>
      <c r="D12642" s="51"/>
    </row>
    <row r="12643" spans="3:4" x14ac:dyDescent="0.35">
      <c r="C12643" s="51"/>
      <c r="D12643" s="51"/>
    </row>
    <row r="12644" spans="3:4" x14ac:dyDescent="0.35">
      <c r="C12644" s="51"/>
      <c r="D12644" s="51"/>
    </row>
    <row r="12645" spans="3:4" x14ac:dyDescent="0.35">
      <c r="C12645" s="51"/>
      <c r="D12645" s="51"/>
    </row>
    <row r="12646" spans="3:4" x14ac:dyDescent="0.35">
      <c r="C12646" s="51"/>
      <c r="D12646" s="51"/>
    </row>
    <row r="12647" spans="3:4" x14ac:dyDescent="0.35">
      <c r="C12647" s="51"/>
      <c r="D12647" s="51"/>
    </row>
    <row r="12648" spans="3:4" x14ac:dyDescent="0.35">
      <c r="C12648" s="51"/>
      <c r="D12648" s="51"/>
    </row>
    <row r="12649" spans="3:4" x14ac:dyDescent="0.35">
      <c r="C12649" s="51"/>
      <c r="D12649" s="51"/>
    </row>
    <row r="12650" spans="3:4" x14ac:dyDescent="0.35">
      <c r="C12650" s="51"/>
      <c r="D12650" s="51"/>
    </row>
    <row r="12651" spans="3:4" x14ac:dyDescent="0.35">
      <c r="C12651" s="51"/>
      <c r="D12651" s="51"/>
    </row>
    <row r="12652" spans="3:4" x14ac:dyDescent="0.35">
      <c r="C12652" s="51"/>
      <c r="D12652" s="51"/>
    </row>
    <row r="12653" spans="3:4" x14ac:dyDescent="0.35">
      <c r="C12653" s="51"/>
      <c r="D12653" s="51"/>
    </row>
    <row r="12654" spans="3:4" x14ac:dyDescent="0.35">
      <c r="C12654" s="51"/>
      <c r="D12654" s="51"/>
    </row>
    <row r="12655" spans="3:4" x14ac:dyDescent="0.35">
      <c r="C12655" s="51"/>
      <c r="D12655" s="51"/>
    </row>
    <row r="12656" spans="3:4" x14ac:dyDescent="0.35">
      <c r="C12656" s="51"/>
      <c r="D12656" s="51"/>
    </row>
    <row r="12657" spans="3:4" x14ac:dyDescent="0.35">
      <c r="C12657" s="51"/>
      <c r="D12657" s="51"/>
    </row>
    <row r="12658" spans="3:4" x14ac:dyDescent="0.35">
      <c r="C12658" s="51"/>
      <c r="D12658" s="51"/>
    </row>
    <row r="12659" spans="3:4" x14ac:dyDescent="0.35">
      <c r="C12659" s="51"/>
      <c r="D12659" s="51"/>
    </row>
    <row r="12660" spans="3:4" x14ac:dyDescent="0.35">
      <c r="C12660" s="51"/>
      <c r="D12660" s="51"/>
    </row>
    <row r="12661" spans="3:4" x14ac:dyDescent="0.35">
      <c r="C12661" s="51"/>
      <c r="D12661" s="51"/>
    </row>
    <row r="12662" spans="3:4" x14ac:dyDescent="0.35">
      <c r="C12662" s="51"/>
      <c r="D12662" s="51"/>
    </row>
    <row r="12663" spans="3:4" x14ac:dyDescent="0.35">
      <c r="C12663" s="51"/>
      <c r="D12663" s="51"/>
    </row>
    <row r="12664" spans="3:4" x14ac:dyDescent="0.35">
      <c r="C12664" s="51"/>
      <c r="D12664" s="51"/>
    </row>
    <row r="12665" spans="3:4" x14ac:dyDescent="0.35">
      <c r="C12665" s="51"/>
      <c r="D12665" s="51"/>
    </row>
    <row r="12666" spans="3:4" x14ac:dyDescent="0.35">
      <c r="C12666" s="51"/>
      <c r="D12666" s="51"/>
    </row>
    <row r="12667" spans="3:4" x14ac:dyDescent="0.35">
      <c r="C12667" s="51"/>
      <c r="D12667" s="51"/>
    </row>
    <row r="12668" spans="3:4" x14ac:dyDescent="0.35">
      <c r="C12668" s="51"/>
      <c r="D12668" s="51"/>
    </row>
    <row r="12669" spans="3:4" x14ac:dyDescent="0.35">
      <c r="C12669" s="51"/>
      <c r="D12669" s="51"/>
    </row>
    <row r="12670" spans="3:4" x14ac:dyDescent="0.35">
      <c r="C12670" s="51"/>
      <c r="D12670" s="51"/>
    </row>
    <row r="12671" spans="3:4" x14ac:dyDescent="0.35">
      <c r="C12671" s="51"/>
      <c r="D12671" s="51"/>
    </row>
    <row r="12672" spans="3:4" x14ac:dyDescent="0.35">
      <c r="C12672" s="51"/>
      <c r="D12672" s="51"/>
    </row>
    <row r="12673" spans="3:4" x14ac:dyDescent="0.35">
      <c r="C12673" s="51"/>
      <c r="D12673" s="51"/>
    </row>
    <row r="12674" spans="3:4" x14ac:dyDescent="0.35">
      <c r="C12674" s="51"/>
      <c r="D12674" s="51"/>
    </row>
    <row r="12675" spans="3:4" x14ac:dyDescent="0.35">
      <c r="C12675" s="51"/>
      <c r="D12675" s="51"/>
    </row>
    <row r="12676" spans="3:4" x14ac:dyDescent="0.35">
      <c r="C12676" s="51"/>
      <c r="D12676" s="51"/>
    </row>
    <row r="12677" spans="3:4" x14ac:dyDescent="0.35">
      <c r="C12677" s="51"/>
      <c r="D12677" s="51"/>
    </row>
    <row r="12678" spans="3:4" x14ac:dyDescent="0.35">
      <c r="C12678" s="51"/>
      <c r="D12678" s="51"/>
    </row>
    <row r="12679" spans="3:4" x14ac:dyDescent="0.35">
      <c r="C12679" s="51"/>
      <c r="D12679" s="51"/>
    </row>
    <row r="12680" spans="3:4" x14ac:dyDescent="0.35">
      <c r="C12680" s="51"/>
      <c r="D12680" s="51"/>
    </row>
    <row r="12681" spans="3:4" x14ac:dyDescent="0.35">
      <c r="C12681" s="51"/>
      <c r="D12681" s="51"/>
    </row>
    <row r="12682" spans="3:4" x14ac:dyDescent="0.35">
      <c r="C12682" s="51"/>
      <c r="D12682" s="51"/>
    </row>
    <row r="12683" spans="3:4" x14ac:dyDescent="0.35">
      <c r="C12683" s="51"/>
      <c r="D12683" s="51"/>
    </row>
    <row r="12684" spans="3:4" x14ac:dyDescent="0.35">
      <c r="C12684" s="51"/>
      <c r="D12684" s="51"/>
    </row>
    <row r="12685" spans="3:4" x14ac:dyDescent="0.35">
      <c r="C12685" s="51"/>
      <c r="D12685" s="51"/>
    </row>
    <row r="12686" spans="3:4" x14ac:dyDescent="0.35">
      <c r="C12686" s="51"/>
      <c r="D12686" s="51"/>
    </row>
    <row r="12687" spans="3:4" x14ac:dyDescent="0.35">
      <c r="C12687" s="51"/>
      <c r="D12687" s="51"/>
    </row>
    <row r="12688" spans="3:4" x14ac:dyDescent="0.35">
      <c r="C12688" s="51"/>
      <c r="D12688" s="51"/>
    </row>
    <row r="12689" spans="3:4" x14ac:dyDescent="0.35">
      <c r="C12689" s="51"/>
      <c r="D12689" s="51"/>
    </row>
    <row r="12690" spans="3:4" x14ac:dyDescent="0.35">
      <c r="C12690" s="51"/>
      <c r="D12690" s="51"/>
    </row>
    <row r="12691" spans="3:4" x14ac:dyDescent="0.35">
      <c r="C12691" s="51"/>
      <c r="D12691" s="51"/>
    </row>
    <row r="12692" spans="3:4" x14ac:dyDescent="0.35">
      <c r="C12692" s="51"/>
      <c r="D12692" s="51"/>
    </row>
    <row r="12693" spans="3:4" x14ac:dyDescent="0.35">
      <c r="C12693" s="51"/>
      <c r="D12693" s="51"/>
    </row>
    <row r="12694" spans="3:4" x14ac:dyDescent="0.35">
      <c r="C12694" s="51"/>
      <c r="D12694" s="51"/>
    </row>
    <row r="12695" spans="3:4" x14ac:dyDescent="0.35">
      <c r="C12695" s="51"/>
      <c r="D12695" s="51"/>
    </row>
    <row r="12696" spans="3:4" x14ac:dyDescent="0.35">
      <c r="C12696" s="51"/>
      <c r="D12696" s="51"/>
    </row>
    <row r="12697" spans="3:4" x14ac:dyDescent="0.35">
      <c r="C12697" s="51"/>
      <c r="D12697" s="51"/>
    </row>
    <row r="12698" spans="3:4" x14ac:dyDescent="0.35">
      <c r="C12698" s="51"/>
      <c r="D12698" s="51"/>
    </row>
    <row r="12699" spans="3:4" x14ac:dyDescent="0.35">
      <c r="C12699" s="51"/>
      <c r="D12699" s="51"/>
    </row>
    <row r="12700" spans="3:4" x14ac:dyDescent="0.35">
      <c r="C12700" s="51"/>
      <c r="D12700" s="51"/>
    </row>
    <row r="12701" spans="3:4" x14ac:dyDescent="0.35">
      <c r="C12701" s="51"/>
      <c r="D12701" s="51"/>
    </row>
    <row r="12702" spans="3:4" x14ac:dyDescent="0.35">
      <c r="C12702" s="51"/>
      <c r="D12702" s="51"/>
    </row>
    <row r="12703" spans="3:4" x14ac:dyDescent="0.35">
      <c r="C12703" s="51"/>
      <c r="D12703" s="51"/>
    </row>
    <row r="12704" spans="3:4" x14ac:dyDescent="0.35">
      <c r="C12704" s="51"/>
      <c r="D12704" s="51"/>
    </row>
    <row r="12705" spans="3:4" x14ac:dyDescent="0.35">
      <c r="C12705" s="51"/>
      <c r="D12705" s="51"/>
    </row>
    <row r="12706" spans="3:4" x14ac:dyDescent="0.35">
      <c r="C12706" s="51"/>
      <c r="D12706" s="51"/>
    </row>
    <row r="12707" spans="3:4" x14ac:dyDescent="0.35">
      <c r="C12707" s="51"/>
      <c r="D12707" s="51"/>
    </row>
    <row r="12708" spans="3:4" x14ac:dyDescent="0.35">
      <c r="C12708" s="51"/>
      <c r="D12708" s="51"/>
    </row>
    <row r="12709" spans="3:4" x14ac:dyDescent="0.35">
      <c r="C12709" s="51"/>
      <c r="D12709" s="51"/>
    </row>
    <row r="12710" spans="3:4" x14ac:dyDescent="0.35">
      <c r="C12710" s="51"/>
      <c r="D12710" s="51"/>
    </row>
    <row r="12711" spans="3:4" x14ac:dyDescent="0.35">
      <c r="C12711" s="51"/>
      <c r="D12711" s="51"/>
    </row>
    <row r="12712" spans="3:4" x14ac:dyDescent="0.35">
      <c r="C12712" s="51"/>
      <c r="D12712" s="51"/>
    </row>
    <row r="12713" spans="3:4" x14ac:dyDescent="0.35">
      <c r="C12713" s="51"/>
      <c r="D12713" s="51"/>
    </row>
    <row r="12714" spans="3:4" x14ac:dyDescent="0.35">
      <c r="C12714" s="51"/>
      <c r="D12714" s="51"/>
    </row>
    <row r="12715" spans="3:4" x14ac:dyDescent="0.35">
      <c r="C12715" s="51"/>
      <c r="D12715" s="51"/>
    </row>
    <row r="12716" spans="3:4" x14ac:dyDescent="0.35">
      <c r="C12716" s="51"/>
      <c r="D12716" s="51"/>
    </row>
    <row r="12717" spans="3:4" x14ac:dyDescent="0.35">
      <c r="C12717" s="51"/>
      <c r="D12717" s="51"/>
    </row>
    <row r="12718" spans="3:4" x14ac:dyDescent="0.35">
      <c r="C12718" s="51"/>
      <c r="D12718" s="51"/>
    </row>
    <row r="12719" spans="3:4" x14ac:dyDescent="0.35">
      <c r="C12719" s="51"/>
      <c r="D12719" s="51"/>
    </row>
    <row r="12720" spans="3:4" x14ac:dyDescent="0.35">
      <c r="C12720" s="51"/>
      <c r="D12720" s="51"/>
    </row>
    <row r="12721" spans="3:4" x14ac:dyDescent="0.35">
      <c r="C12721" s="51"/>
      <c r="D12721" s="51"/>
    </row>
    <row r="12722" spans="3:4" x14ac:dyDescent="0.35">
      <c r="C12722" s="51"/>
      <c r="D12722" s="51"/>
    </row>
    <row r="12723" spans="3:4" x14ac:dyDescent="0.35">
      <c r="C12723" s="51"/>
      <c r="D12723" s="51"/>
    </row>
    <row r="12724" spans="3:4" x14ac:dyDescent="0.35">
      <c r="C12724" s="51"/>
      <c r="D12724" s="51"/>
    </row>
    <row r="12725" spans="3:4" x14ac:dyDescent="0.35">
      <c r="C12725" s="51"/>
      <c r="D12725" s="51"/>
    </row>
    <row r="12726" spans="3:4" x14ac:dyDescent="0.35">
      <c r="C12726" s="51"/>
      <c r="D12726" s="51"/>
    </row>
    <row r="12727" spans="3:4" x14ac:dyDescent="0.35">
      <c r="C12727" s="51"/>
      <c r="D12727" s="51"/>
    </row>
    <row r="12728" spans="3:4" x14ac:dyDescent="0.35">
      <c r="C12728" s="51"/>
      <c r="D12728" s="51"/>
    </row>
    <row r="12729" spans="3:4" x14ac:dyDescent="0.35">
      <c r="C12729" s="51"/>
      <c r="D12729" s="51"/>
    </row>
    <row r="12730" spans="3:4" x14ac:dyDescent="0.35">
      <c r="C12730" s="51"/>
      <c r="D12730" s="51"/>
    </row>
    <row r="12731" spans="3:4" x14ac:dyDescent="0.35">
      <c r="C12731" s="51"/>
      <c r="D12731" s="51"/>
    </row>
    <row r="12732" spans="3:4" x14ac:dyDescent="0.35">
      <c r="C12732" s="51"/>
      <c r="D12732" s="51"/>
    </row>
    <row r="12733" spans="3:4" x14ac:dyDescent="0.35">
      <c r="C12733" s="51"/>
      <c r="D12733" s="51"/>
    </row>
    <row r="12734" spans="3:4" x14ac:dyDescent="0.35">
      <c r="C12734" s="51"/>
      <c r="D12734" s="51"/>
    </row>
    <row r="12735" spans="3:4" x14ac:dyDescent="0.35">
      <c r="C12735" s="51"/>
      <c r="D12735" s="51"/>
    </row>
    <row r="12736" spans="3:4" x14ac:dyDescent="0.35">
      <c r="C12736" s="51"/>
      <c r="D12736" s="51"/>
    </row>
    <row r="12737" spans="3:4" x14ac:dyDescent="0.35">
      <c r="C12737" s="51"/>
      <c r="D12737" s="51"/>
    </row>
    <row r="12738" spans="3:4" x14ac:dyDescent="0.35">
      <c r="C12738" s="51"/>
      <c r="D12738" s="51"/>
    </row>
    <row r="12739" spans="3:4" x14ac:dyDescent="0.35">
      <c r="C12739" s="51"/>
      <c r="D12739" s="51"/>
    </row>
    <row r="12740" spans="3:4" x14ac:dyDescent="0.35">
      <c r="C12740" s="51"/>
      <c r="D12740" s="51"/>
    </row>
    <row r="12741" spans="3:4" x14ac:dyDescent="0.35">
      <c r="C12741" s="51"/>
      <c r="D12741" s="51"/>
    </row>
    <row r="12742" spans="3:4" x14ac:dyDescent="0.35">
      <c r="C12742" s="51"/>
      <c r="D12742" s="51"/>
    </row>
    <row r="12743" spans="3:4" x14ac:dyDescent="0.35">
      <c r="C12743" s="51"/>
      <c r="D12743" s="51"/>
    </row>
    <row r="12744" spans="3:4" x14ac:dyDescent="0.35">
      <c r="C12744" s="51"/>
      <c r="D12744" s="51"/>
    </row>
    <row r="12745" spans="3:4" x14ac:dyDescent="0.35">
      <c r="C12745" s="51"/>
      <c r="D12745" s="51"/>
    </row>
    <row r="12746" spans="3:4" x14ac:dyDescent="0.35">
      <c r="C12746" s="51"/>
      <c r="D12746" s="51"/>
    </row>
    <row r="12747" spans="3:4" x14ac:dyDescent="0.35">
      <c r="C12747" s="51"/>
      <c r="D12747" s="51"/>
    </row>
    <row r="12748" spans="3:4" x14ac:dyDescent="0.35">
      <c r="C12748" s="51"/>
      <c r="D12748" s="51"/>
    </row>
    <row r="12749" spans="3:4" x14ac:dyDescent="0.35">
      <c r="C12749" s="51"/>
      <c r="D12749" s="51"/>
    </row>
    <row r="12750" spans="3:4" x14ac:dyDescent="0.35">
      <c r="C12750" s="51"/>
      <c r="D12750" s="51"/>
    </row>
    <row r="12751" spans="3:4" x14ac:dyDescent="0.35">
      <c r="C12751" s="51"/>
      <c r="D12751" s="51"/>
    </row>
    <row r="12752" spans="3:4" x14ac:dyDescent="0.35">
      <c r="C12752" s="51"/>
      <c r="D12752" s="51"/>
    </row>
    <row r="12753" spans="3:4" x14ac:dyDescent="0.35">
      <c r="C12753" s="51"/>
      <c r="D12753" s="51"/>
    </row>
    <row r="12754" spans="3:4" x14ac:dyDescent="0.35">
      <c r="C12754" s="51"/>
      <c r="D12754" s="51"/>
    </row>
    <row r="12755" spans="3:4" x14ac:dyDescent="0.35">
      <c r="C12755" s="51"/>
      <c r="D12755" s="51"/>
    </row>
    <row r="12756" spans="3:4" x14ac:dyDescent="0.35">
      <c r="C12756" s="51"/>
      <c r="D12756" s="51"/>
    </row>
    <row r="12757" spans="3:4" x14ac:dyDescent="0.35">
      <c r="C12757" s="51"/>
      <c r="D12757" s="51"/>
    </row>
    <row r="12758" spans="3:4" x14ac:dyDescent="0.35">
      <c r="C12758" s="51"/>
      <c r="D12758" s="51"/>
    </row>
    <row r="12759" spans="3:4" x14ac:dyDescent="0.35">
      <c r="C12759" s="51"/>
      <c r="D12759" s="51"/>
    </row>
    <row r="12760" spans="3:4" x14ac:dyDescent="0.35">
      <c r="C12760" s="51"/>
      <c r="D12760" s="51"/>
    </row>
    <row r="12761" spans="3:4" x14ac:dyDescent="0.35">
      <c r="C12761" s="51"/>
      <c r="D12761" s="51"/>
    </row>
    <row r="12762" spans="3:4" x14ac:dyDescent="0.35">
      <c r="C12762" s="51"/>
      <c r="D12762" s="51"/>
    </row>
    <row r="12763" spans="3:4" x14ac:dyDescent="0.35">
      <c r="C12763" s="51"/>
      <c r="D12763" s="51"/>
    </row>
    <row r="12764" spans="3:4" x14ac:dyDescent="0.35">
      <c r="C12764" s="51"/>
      <c r="D12764" s="51"/>
    </row>
    <row r="12765" spans="3:4" x14ac:dyDescent="0.35">
      <c r="C12765" s="51"/>
      <c r="D12765" s="51"/>
    </row>
    <row r="12766" spans="3:4" x14ac:dyDescent="0.35">
      <c r="C12766" s="51"/>
      <c r="D12766" s="51"/>
    </row>
    <row r="12767" spans="3:4" x14ac:dyDescent="0.35">
      <c r="C12767" s="51"/>
      <c r="D12767" s="51"/>
    </row>
    <row r="12768" spans="3:4" x14ac:dyDescent="0.35">
      <c r="C12768" s="51"/>
      <c r="D12768" s="51"/>
    </row>
    <row r="12769" spans="3:4" x14ac:dyDescent="0.35">
      <c r="C12769" s="51"/>
      <c r="D12769" s="51"/>
    </row>
    <row r="12770" spans="3:4" x14ac:dyDescent="0.35">
      <c r="C12770" s="51"/>
      <c r="D12770" s="51"/>
    </row>
    <row r="12771" spans="3:4" x14ac:dyDescent="0.35">
      <c r="C12771" s="51"/>
      <c r="D12771" s="51"/>
    </row>
    <row r="12772" spans="3:4" x14ac:dyDescent="0.35">
      <c r="C12772" s="51"/>
      <c r="D12772" s="51"/>
    </row>
    <row r="12773" spans="3:4" x14ac:dyDescent="0.35">
      <c r="C12773" s="51"/>
      <c r="D12773" s="51"/>
    </row>
    <row r="12774" spans="3:4" x14ac:dyDescent="0.35">
      <c r="C12774" s="51"/>
      <c r="D12774" s="51"/>
    </row>
    <row r="12775" spans="3:4" x14ac:dyDescent="0.35">
      <c r="C12775" s="51"/>
      <c r="D12775" s="51"/>
    </row>
    <row r="12776" spans="3:4" x14ac:dyDescent="0.35">
      <c r="C12776" s="51"/>
      <c r="D12776" s="51"/>
    </row>
    <row r="12777" spans="3:4" x14ac:dyDescent="0.35">
      <c r="C12777" s="51"/>
      <c r="D12777" s="51"/>
    </row>
    <row r="12778" spans="3:4" x14ac:dyDescent="0.35">
      <c r="C12778" s="51"/>
      <c r="D12778" s="51"/>
    </row>
    <row r="12779" spans="3:4" x14ac:dyDescent="0.35">
      <c r="C12779" s="51"/>
      <c r="D12779" s="51"/>
    </row>
    <row r="12780" spans="3:4" x14ac:dyDescent="0.35">
      <c r="C12780" s="51"/>
      <c r="D12780" s="51"/>
    </row>
    <row r="12781" spans="3:4" x14ac:dyDescent="0.35">
      <c r="C12781" s="51"/>
      <c r="D12781" s="51"/>
    </row>
    <row r="12782" spans="3:4" x14ac:dyDescent="0.35">
      <c r="C12782" s="51"/>
      <c r="D12782" s="51"/>
    </row>
    <row r="12783" spans="3:4" x14ac:dyDescent="0.35">
      <c r="C12783" s="51"/>
      <c r="D12783" s="51"/>
    </row>
    <row r="12784" spans="3:4" x14ac:dyDescent="0.35">
      <c r="C12784" s="51"/>
      <c r="D12784" s="51"/>
    </row>
    <row r="12785" spans="3:4" x14ac:dyDescent="0.35">
      <c r="C12785" s="51"/>
      <c r="D12785" s="51"/>
    </row>
    <row r="12786" spans="3:4" x14ac:dyDescent="0.35">
      <c r="C12786" s="51"/>
      <c r="D12786" s="51"/>
    </row>
    <row r="12787" spans="3:4" x14ac:dyDescent="0.35">
      <c r="C12787" s="51"/>
      <c r="D12787" s="51"/>
    </row>
    <row r="12788" spans="3:4" x14ac:dyDescent="0.35">
      <c r="C12788" s="51"/>
      <c r="D12788" s="51"/>
    </row>
    <row r="12789" spans="3:4" x14ac:dyDescent="0.35">
      <c r="C12789" s="51"/>
      <c r="D12789" s="51"/>
    </row>
    <row r="12790" spans="3:4" x14ac:dyDescent="0.35">
      <c r="C12790" s="51"/>
      <c r="D12790" s="51"/>
    </row>
    <row r="12791" spans="3:4" x14ac:dyDescent="0.35">
      <c r="C12791" s="51"/>
      <c r="D12791" s="51"/>
    </row>
    <row r="12792" spans="3:4" x14ac:dyDescent="0.35">
      <c r="C12792" s="51"/>
      <c r="D12792" s="51"/>
    </row>
    <row r="12793" spans="3:4" x14ac:dyDescent="0.35">
      <c r="C12793" s="51"/>
      <c r="D12793" s="51"/>
    </row>
    <row r="12794" spans="3:4" x14ac:dyDescent="0.35">
      <c r="C12794" s="51"/>
      <c r="D12794" s="51"/>
    </row>
    <row r="12795" spans="3:4" x14ac:dyDescent="0.35">
      <c r="C12795" s="51"/>
      <c r="D12795" s="51"/>
    </row>
    <row r="12796" spans="3:4" x14ac:dyDescent="0.35">
      <c r="C12796" s="51"/>
      <c r="D12796" s="51"/>
    </row>
    <row r="12797" spans="3:4" x14ac:dyDescent="0.35">
      <c r="C12797" s="51"/>
      <c r="D12797" s="51"/>
    </row>
    <row r="12798" spans="3:4" x14ac:dyDescent="0.35">
      <c r="C12798" s="51"/>
      <c r="D12798" s="51"/>
    </row>
    <row r="12799" spans="3:4" x14ac:dyDescent="0.35">
      <c r="C12799" s="51"/>
      <c r="D12799" s="51"/>
    </row>
    <row r="12800" spans="3:4" x14ac:dyDescent="0.35">
      <c r="C12800" s="51"/>
      <c r="D12800" s="51"/>
    </row>
    <row r="12801" spans="3:4" x14ac:dyDescent="0.35">
      <c r="C12801" s="51"/>
      <c r="D12801" s="51"/>
    </row>
    <row r="12802" spans="3:4" x14ac:dyDescent="0.35">
      <c r="C12802" s="51"/>
      <c r="D12802" s="51"/>
    </row>
    <row r="12803" spans="3:4" x14ac:dyDescent="0.35">
      <c r="C12803" s="51"/>
      <c r="D12803" s="51"/>
    </row>
    <row r="12804" spans="3:4" x14ac:dyDescent="0.35">
      <c r="C12804" s="51"/>
      <c r="D12804" s="51"/>
    </row>
    <row r="12805" spans="3:4" x14ac:dyDescent="0.35">
      <c r="C12805" s="51"/>
      <c r="D12805" s="51"/>
    </row>
    <row r="12806" spans="3:4" x14ac:dyDescent="0.35">
      <c r="C12806" s="51"/>
      <c r="D12806" s="51"/>
    </row>
    <row r="12807" spans="3:4" x14ac:dyDescent="0.35">
      <c r="C12807" s="51"/>
      <c r="D12807" s="51"/>
    </row>
    <row r="12808" spans="3:4" x14ac:dyDescent="0.35">
      <c r="C12808" s="51"/>
      <c r="D12808" s="51"/>
    </row>
    <row r="12809" spans="3:4" x14ac:dyDescent="0.35">
      <c r="C12809" s="51"/>
      <c r="D12809" s="51"/>
    </row>
    <row r="12810" spans="3:4" x14ac:dyDescent="0.35">
      <c r="C12810" s="51"/>
      <c r="D12810" s="51"/>
    </row>
    <row r="12811" spans="3:4" x14ac:dyDescent="0.35">
      <c r="C12811" s="51"/>
      <c r="D12811" s="51"/>
    </row>
    <row r="12812" spans="3:4" x14ac:dyDescent="0.35">
      <c r="C12812" s="51"/>
      <c r="D12812" s="51"/>
    </row>
    <row r="12813" spans="3:4" x14ac:dyDescent="0.35">
      <c r="C12813" s="51"/>
      <c r="D12813" s="51"/>
    </row>
    <row r="12814" spans="3:4" x14ac:dyDescent="0.35">
      <c r="C12814" s="51"/>
      <c r="D12814" s="51"/>
    </row>
    <row r="12815" spans="3:4" x14ac:dyDescent="0.35">
      <c r="C12815" s="51"/>
      <c r="D12815" s="51"/>
    </row>
    <row r="12816" spans="3:4" x14ac:dyDescent="0.35">
      <c r="C12816" s="51"/>
      <c r="D12816" s="51"/>
    </row>
    <row r="12817" spans="3:4" x14ac:dyDescent="0.35">
      <c r="C12817" s="51"/>
      <c r="D12817" s="51"/>
    </row>
    <row r="12818" spans="3:4" x14ac:dyDescent="0.35">
      <c r="C12818" s="51"/>
      <c r="D12818" s="51"/>
    </row>
    <row r="12819" spans="3:4" x14ac:dyDescent="0.35">
      <c r="C12819" s="51"/>
      <c r="D12819" s="51"/>
    </row>
    <row r="12820" spans="3:4" x14ac:dyDescent="0.35">
      <c r="C12820" s="51"/>
      <c r="D12820" s="51"/>
    </row>
    <row r="12821" spans="3:4" x14ac:dyDescent="0.35">
      <c r="C12821" s="51"/>
      <c r="D12821" s="51"/>
    </row>
    <row r="12822" spans="3:4" x14ac:dyDescent="0.35">
      <c r="C12822" s="51"/>
      <c r="D12822" s="51"/>
    </row>
    <row r="12823" spans="3:4" x14ac:dyDescent="0.35">
      <c r="C12823" s="51"/>
      <c r="D12823" s="51"/>
    </row>
    <row r="12824" spans="3:4" x14ac:dyDescent="0.35">
      <c r="C12824" s="51"/>
      <c r="D12824" s="51"/>
    </row>
    <row r="12825" spans="3:4" x14ac:dyDescent="0.35">
      <c r="C12825" s="51"/>
      <c r="D12825" s="51"/>
    </row>
    <row r="12826" spans="3:4" x14ac:dyDescent="0.35">
      <c r="C12826" s="51"/>
      <c r="D12826" s="51"/>
    </row>
    <row r="12827" spans="3:4" x14ac:dyDescent="0.35">
      <c r="C12827" s="51"/>
      <c r="D12827" s="51"/>
    </row>
    <row r="12828" spans="3:4" x14ac:dyDescent="0.35">
      <c r="C12828" s="51"/>
      <c r="D12828" s="51"/>
    </row>
    <row r="12829" spans="3:4" x14ac:dyDescent="0.35">
      <c r="C12829" s="51"/>
      <c r="D12829" s="51"/>
    </row>
    <row r="12830" spans="3:4" x14ac:dyDescent="0.35">
      <c r="C12830" s="51"/>
      <c r="D12830" s="51"/>
    </row>
    <row r="12831" spans="3:4" x14ac:dyDescent="0.35">
      <c r="C12831" s="51"/>
      <c r="D12831" s="51"/>
    </row>
    <row r="12832" spans="3:4" x14ac:dyDescent="0.35">
      <c r="C12832" s="51"/>
      <c r="D12832" s="51"/>
    </row>
    <row r="12833" spans="3:4" x14ac:dyDescent="0.35">
      <c r="C12833" s="51"/>
      <c r="D12833" s="51"/>
    </row>
    <row r="12834" spans="3:4" x14ac:dyDescent="0.35">
      <c r="C12834" s="51"/>
      <c r="D12834" s="51"/>
    </row>
    <row r="12835" spans="3:4" x14ac:dyDescent="0.35">
      <c r="C12835" s="51"/>
      <c r="D12835" s="51"/>
    </row>
    <row r="12836" spans="3:4" x14ac:dyDescent="0.35">
      <c r="C12836" s="51"/>
      <c r="D12836" s="51"/>
    </row>
    <row r="12837" spans="3:4" x14ac:dyDescent="0.35">
      <c r="C12837" s="51"/>
      <c r="D12837" s="51"/>
    </row>
    <row r="12838" spans="3:4" x14ac:dyDescent="0.35">
      <c r="C12838" s="51"/>
      <c r="D12838" s="51"/>
    </row>
    <row r="12839" spans="3:4" x14ac:dyDescent="0.35">
      <c r="C12839" s="51"/>
      <c r="D12839" s="51"/>
    </row>
    <row r="12840" spans="3:4" x14ac:dyDescent="0.35">
      <c r="C12840" s="51"/>
      <c r="D12840" s="51"/>
    </row>
    <row r="12841" spans="3:4" x14ac:dyDescent="0.35">
      <c r="C12841" s="51"/>
      <c r="D12841" s="51"/>
    </row>
    <row r="12842" spans="3:4" x14ac:dyDescent="0.35">
      <c r="C12842" s="51"/>
      <c r="D12842" s="51"/>
    </row>
    <row r="12843" spans="3:4" x14ac:dyDescent="0.35">
      <c r="C12843" s="51"/>
      <c r="D12843" s="51"/>
    </row>
    <row r="12844" spans="3:4" x14ac:dyDescent="0.35">
      <c r="C12844" s="51"/>
      <c r="D12844" s="51"/>
    </row>
    <row r="12845" spans="3:4" x14ac:dyDescent="0.35">
      <c r="C12845" s="51"/>
      <c r="D12845" s="51"/>
    </row>
    <row r="12846" spans="3:4" x14ac:dyDescent="0.35">
      <c r="C12846" s="51"/>
      <c r="D12846" s="51"/>
    </row>
    <row r="12847" spans="3:4" x14ac:dyDescent="0.35">
      <c r="C12847" s="51"/>
      <c r="D12847" s="51"/>
    </row>
    <row r="12848" spans="3:4" x14ac:dyDescent="0.35">
      <c r="C12848" s="51"/>
      <c r="D12848" s="51"/>
    </row>
    <row r="12849" spans="3:4" x14ac:dyDescent="0.35">
      <c r="C12849" s="51"/>
      <c r="D12849" s="51"/>
    </row>
    <row r="12850" spans="3:4" x14ac:dyDescent="0.35">
      <c r="C12850" s="51"/>
      <c r="D12850" s="51"/>
    </row>
    <row r="12851" spans="3:4" x14ac:dyDescent="0.35">
      <c r="C12851" s="51"/>
      <c r="D12851" s="51"/>
    </row>
    <row r="12852" spans="3:4" x14ac:dyDescent="0.35">
      <c r="C12852" s="51"/>
      <c r="D12852" s="51"/>
    </row>
    <row r="12853" spans="3:4" x14ac:dyDescent="0.35">
      <c r="C12853" s="51"/>
      <c r="D12853" s="51"/>
    </row>
    <row r="12854" spans="3:4" x14ac:dyDescent="0.35">
      <c r="C12854" s="51"/>
      <c r="D12854" s="51"/>
    </row>
    <row r="12855" spans="3:4" x14ac:dyDescent="0.35">
      <c r="C12855" s="51"/>
      <c r="D12855" s="51"/>
    </row>
    <row r="12856" spans="3:4" x14ac:dyDescent="0.35">
      <c r="C12856" s="51"/>
      <c r="D12856" s="51"/>
    </row>
    <row r="12857" spans="3:4" x14ac:dyDescent="0.35">
      <c r="C12857" s="51"/>
      <c r="D12857" s="51"/>
    </row>
    <row r="12858" spans="3:4" x14ac:dyDescent="0.35">
      <c r="C12858" s="51"/>
      <c r="D12858" s="51"/>
    </row>
    <row r="12859" spans="3:4" x14ac:dyDescent="0.35">
      <c r="C12859" s="51"/>
      <c r="D12859" s="51"/>
    </row>
    <row r="12860" spans="3:4" x14ac:dyDescent="0.35">
      <c r="C12860" s="51"/>
      <c r="D12860" s="51"/>
    </row>
    <row r="12861" spans="3:4" x14ac:dyDescent="0.35">
      <c r="C12861" s="51"/>
      <c r="D12861" s="51"/>
    </row>
    <row r="12862" spans="3:4" x14ac:dyDescent="0.35">
      <c r="C12862" s="51"/>
      <c r="D12862" s="51"/>
    </row>
    <row r="12863" spans="3:4" x14ac:dyDescent="0.35">
      <c r="C12863" s="51"/>
      <c r="D12863" s="51"/>
    </row>
    <row r="12864" spans="3:4" x14ac:dyDescent="0.35">
      <c r="C12864" s="51"/>
      <c r="D12864" s="51"/>
    </row>
    <row r="12865" spans="3:4" x14ac:dyDescent="0.35">
      <c r="C12865" s="51"/>
      <c r="D12865" s="51"/>
    </row>
    <row r="12866" spans="3:4" x14ac:dyDescent="0.35">
      <c r="C12866" s="51"/>
      <c r="D12866" s="51"/>
    </row>
    <row r="12867" spans="3:4" x14ac:dyDescent="0.35">
      <c r="C12867" s="51"/>
      <c r="D12867" s="51"/>
    </row>
    <row r="12868" spans="3:4" x14ac:dyDescent="0.35">
      <c r="C12868" s="51"/>
      <c r="D12868" s="51"/>
    </row>
    <row r="12869" spans="3:4" x14ac:dyDescent="0.35">
      <c r="C12869" s="51"/>
      <c r="D12869" s="51"/>
    </row>
    <row r="12870" spans="3:4" x14ac:dyDescent="0.35">
      <c r="C12870" s="51"/>
      <c r="D12870" s="51"/>
    </row>
    <row r="12871" spans="3:4" x14ac:dyDescent="0.35">
      <c r="C12871" s="51"/>
      <c r="D12871" s="51"/>
    </row>
    <row r="12872" spans="3:4" x14ac:dyDescent="0.35">
      <c r="C12872" s="51"/>
      <c r="D12872" s="51"/>
    </row>
    <row r="12873" spans="3:4" x14ac:dyDescent="0.35">
      <c r="C12873" s="51"/>
      <c r="D12873" s="51"/>
    </row>
    <row r="12874" spans="3:4" x14ac:dyDescent="0.35">
      <c r="C12874" s="51"/>
      <c r="D12874" s="51"/>
    </row>
    <row r="12875" spans="3:4" x14ac:dyDescent="0.35">
      <c r="C12875" s="51"/>
      <c r="D12875" s="51"/>
    </row>
    <row r="12876" spans="3:4" x14ac:dyDescent="0.35">
      <c r="C12876" s="51"/>
      <c r="D12876" s="51"/>
    </row>
    <row r="12877" spans="3:4" x14ac:dyDescent="0.35">
      <c r="C12877" s="51"/>
      <c r="D12877" s="51"/>
    </row>
    <row r="12878" spans="3:4" x14ac:dyDescent="0.35">
      <c r="C12878" s="51"/>
      <c r="D12878" s="51"/>
    </row>
    <row r="12879" spans="3:4" x14ac:dyDescent="0.35">
      <c r="C12879" s="51"/>
      <c r="D12879" s="51"/>
    </row>
    <row r="12880" spans="3:4" x14ac:dyDescent="0.35">
      <c r="C12880" s="51"/>
      <c r="D12880" s="51"/>
    </row>
    <row r="12881" spans="3:4" x14ac:dyDescent="0.35">
      <c r="C12881" s="51"/>
      <c r="D12881" s="51"/>
    </row>
    <row r="12882" spans="3:4" x14ac:dyDescent="0.35">
      <c r="C12882" s="51"/>
      <c r="D12882" s="51"/>
    </row>
    <row r="12883" spans="3:4" x14ac:dyDescent="0.35">
      <c r="C12883" s="51"/>
      <c r="D12883" s="51"/>
    </row>
    <row r="12884" spans="3:4" x14ac:dyDescent="0.35">
      <c r="C12884" s="51"/>
      <c r="D12884" s="51"/>
    </row>
    <row r="12885" spans="3:4" x14ac:dyDescent="0.35">
      <c r="C12885" s="51"/>
      <c r="D12885" s="51"/>
    </row>
    <row r="12886" spans="3:4" x14ac:dyDescent="0.35">
      <c r="C12886" s="51"/>
      <c r="D12886" s="51"/>
    </row>
    <row r="12887" spans="3:4" x14ac:dyDescent="0.35">
      <c r="C12887" s="51"/>
      <c r="D12887" s="51"/>
    </row>
    <row r="12888" spans="3:4" x14ac:dyDescent="0.35">
      <c r="C12888" s="51"/>
      <c r="D12888" s="51"/>
    </row>
    <row r="12889" spans="3:4" x14ac:dyDescent="0.35">
      <c r="C12889" s="51"/>
      <c r="D12889" s="51"/>
    </row>
    <row r="12890" spans="3:4" x14ac:dyDescent="0.35">
      <c r="C12890" s="51"/>
      <c r="D12890" s="51"/>
    </row>
    <row r="12891" spans="3:4" x14ac:dyDescent="0.35">
      <c r="C12891" s="51"/>
      <c r="D12891" s="51"/>
    </row>
    <row r="12892" spans="3:4" x14ac:dyDescent="0.35">
      <c r="C12892" s="51"/>
      <c r="D12892" s="51"/>
    </row>
    <row r="12893" spans="3:4" x14ac:dyDescent="0.35">
      <c r="C12893" s="51"/>
      <c r="D12893" s="51"/>
    </row>
    <row r="12894" spans="3:4" x14ac:dyDescent="0.35">
      <c r="C12894" s="51"/>
      <c r="D12894" s="51"/>
    </row>
    <row r="12895" spans="3:4" x14ac:dyDescent="0.35">
      <c r="C12895" s="51"/>
      <c r="D12895" s="51"/>
    </row>
    <row r="12896" spans="3:4" x14ac:dyDescent="0.35">
      <c r="C12896" s="51"/>
      <c r="D12896" s="51"/>
    </row>
    <row r="12897" spans="3:4" x14ac:dyDescent="0.35">
      <c r="C12897" s="51"/>
      <c r="D12897" s="51"/>
    </row>
    <row r="12898" spans="3:4" x14ac:dyDescent="0.35">
      <c r="C12898" s="51"/>
      <c r="D12898" s="51"/>
    </row>
    <row r="12899" spans="3:4" x14ac:dyDescent="0.35">
      <c r="C12899" s="51"/>
      <c r="D12899" s="51"/>
    </row>
    <row r="12900" spans="3:4" x14ac:dyDescent="0.35">
      <c r="C12900" s="51"/>
      <c r="D12900" s="51"/>
    </row>
    <row r="12901" spans="3:4" x14ac:dyDescent="0.35">
      <c r="C12901" s="51"/>
      <c r="D12901" s="51"/>
    </row>
    <row r="12902" spans="3:4" x14ac:dyDescent="0.35">
      <c r="C12902" s="51"/>
      <c r="D12902" s="51"/>
    </row>
    <row r="12903" spans="3:4" x14ac:dyDescent="0.35">
      <c r="C12903" s="51"/>
      <c r="D12903" s="51"/>
    </row>
    <row r="12904" spans="3:4" x14ac:dyDescent="0.35">
      <c r="C12904" s="51"/>
      <c r="D12904" s="51"/>
    </row>
    <row r="12905" spans="3:4" x14ac:dyDescent="0.35">
      <c r="C12905" s="51"/>
      <c r="D12905" s="51"/>
    </row>
    <row r="12906" spans="3:4" x14ac:dyDescent="0.35">
      <c r="C12906" s="51"/>
      <c r="D12906" s="51"/>
    </row>
    <row r="12907" spans="3:4" x14ac:dyDescent="0.35">
      <c r="C12907" s="51"/>
      <c r="D12907" s="51"/>
    </row>
    <row r="12908" spans="3:4" x14ac:dyDescent="0.35">
      <c r="C12908" s="51"/>
      <c r="D12908" s="51"/>
    </row>
    <row r="12909" spans="3:4" x14ac:dyDescent="0.35">
      <c r="C12909" s="51"/>
      <c r="D12909" s="51"/>
    </row>
    <row r="12910" spans="3:4" x14ac:dyDescent="0.35">
      <c r="C12910" s="51"/>
      <c r="D12910" s="51"/>
    </row>
    <row r="12911" spans="3:4" x14ac:dyDescent="0.35">
      <c r="C12911" s="51"/>
      <c r="D12911" s="51"/>
    </row>
    <row r="12912" spans="3:4" x14ac:dyDescent="0.35">
      <c r="C12912" s="51"/>
      <c r="D12912" s="51"/>
    </row>
    <row r="12913" spans="3:4" x14ac:dyDescent="0.35">
      <c r="C12913" s="51"/>
      <c r="D12913" s="51"/>
    </row>
    <row r="12914" spans="3:4" x14ac:dyDescent="0.35">
      <c r="C12914" s="51"/>
      <c r="D12914" s="51"/>
    </row>
    <row r="12915" spans="3:4" x14ac:dyDescent="0.35">
      <c r="C12915" s="51"/>
      <c r="D12915" s="51"/>
    </row>
    <row r="12916" spans="3:4" x14ac:dyDescent="0.35">
      <c r="C12916" s="51"/>
      <c r="D12916" s="51"/>
    </row>
    <row r="12917" spans="3:4" x14ac:dyDescent="0.35">
      <c r="C12917" s="51"/>
      <c r="D12917" s="51"/>
    </row>
    <row r="12918" spans="3:4" x14ac:dyDescent="0.35">
      <c r="C12918" s="51"/>
      <c r="D12918" s="51"/>
    </row>
    <row r="12919" spans="3:4" x14ac:dyDescent="0.35">
      <c r="C12919" s="51"/>
      <c r="D12919" s="51"/>
    </row>
    <row r="12920" spans="3:4" x14ac:dyDescent="0.35">
      <c r="C12920" s="51"/>
      <c r="D12920" s="51"/>
    </row>
    <row r="12921" spans="3:4" x14ac:dyDescent="0.35">
      <c r="C12921" s="51"/>
      <c r="D12921" s="51"/>
    </row>
    <row r="12922" spans="3:4" x14ac:dyDescent="0.35">
      <c r="C12922" s="51"/>
      <c r="D12922" s="51"/>
    </row>
    <row r="12923" spans="3:4" x14ac:dyDescent="0.35">
      <c r="C12923" s="51"/>
      <c r="D12923" s="51"/>
    </row>
    <row r="12924" spans="3:4" x14ac:dyDescent="0.35">
      <c r="C12924" s="51"/>
      <c r="D12924" s="51"/>
    </row>
    <row r="12925" spans="3:4" x14ac:dyDescent="0.35">
      <c r="C12925" s="51"/>
      <c r="D12925" s="51"/>
    </row>
    <row r="12926" spans="3:4" x14ac:dyDescent="0.35">
      <c r="C12926" s="51"/>
      <c r="D12926" s="51"/>
    </row>
    <row r="12927" spans="3:4" x14ac:dyDescent="0.35">
      <c r="C12927" s="51"/>
      <c r="D12927" s="51"/>
    </row>
    <row r="12928" spans="3:4" x14ac:dyDescent="0.35">
      <c r="C12928" s="51"/>
      <c r="D12928" s="51"/>
    </row>
    <row r="12929" spans="3:4" x14ac:dyDescent="0.35">
      <c r="C12929" s="51"/>
      <c r="D12929" s="51"/>
    </row>
    <row r="12930" spans="3:4" x14ac:dyDescent="0.35">
      <c r="C12930" s="51"/>
      <c r="D12930" s="51"/>
    </row>
    <row r="12931" spans="3:4" x14ac:dyDescent="0.35">
      <c r="C12931" s="51"/>
      <c r="D12931" s="51"/>
    </row>
    <row r="12932" spans="3:4" x14ac:dyDescent="0.35">
      <c r="C12932" s="51"/>
      <c r="D12932" s="51"/>
    </row>
    <row r="12933" spans="3:4" x14ac:dyDescent="0.35">
      <c r="C12933" s="51"/>
      <c r="D12933" s="51"/>
    </row>
    <row r="12934" spans="3:4" x14ac:dyDescent="0.35">
      <c r="C12934" s="51"/>
      <c r="D12934" s="51"/>
    </row>
    <row r="12935" spans="3:4" x14ac:dyDescent="0.35">
      <c r="C12935" s="51"/>
      <c r="D12935" s="51"/>
    </row>
    <row r="12936" spans="3:4" x14ac:dyDescent="0.35">
      <c r="C12936" s="51"/>
      <c r="D12936" s="51"/>
    </row>
    <row r="12937" spans="3:4" x14ac:dyDescent="0.35">
      <c r="C12937" s="51"/>
      <c r="D12937" s="51"/>
    </row>
    <row r="12938" spans="3:4" x14ac:dyDescent="0.35">
      <c r="C12938" s="51"/>
      <c r="D12938" s="51"/>
    </row>
    <row r="12939" spans="3:4" x14ac:dyDescent="0.35">
      <c r="C12939" s="51"/>
      <c r="D12939" s="51"/>
    </row>
    <row r="12940" spans="3:4" x14ac:dyDescent="0.35">
      <c r="C12940" s="51"/>
      <c r="D12940" s="51"/>
    </row>
    <row r="12941" spans="3:4" x14ac:dyDescent="0.35">
      <c r="C12941" s="51"/>
      <c r="D12941" s="51"/>
    </row>
    <row r="12942" spans="3:4" x14ac:dyDescent="0.35">
      <c r="C12942" s="51"/>
      <c r="D12942" s="51"/>
    </row>
    <row r="12943" spans="3:4" x14ac:dyDescent="0.35">
      <c r="C12943" s="51"/>
      <c r="D12943" s="51"/>
    </row>
    <row r="12944" spans="3:4" x14ac:dyDescent="0.35">
      <c r="C12944" s="51"/>
      <c r="D12944" s="51"/>
    </row>
    <row r="12945" spans="3:4" x14ac:dyDescent="0.35">
      <c r="C12945" s="51"/>
      <c r="D12945" s="51"/>
    </row>
    <row r="12946" spans="3:4" x14ac:dyDescent="0.35">
      <c r="C12946" s="51"/>
      <c r="D12946" s="51"/>
    </row>
    <row r="12947" spans="3:4" x14ac:dyDescent="0.35">
      <c r="C12947" s="51"/>
      <c r="D12947" s="51"/>
    </row>
    <row r="12948" spans="3:4" x14ac:dyDescent="0.35">
      <c r="C12948" s="51"/>
      <c r="D12948" s="51"/>
    </row>
    <row r="12949" spans="3:4" x14ac:dyDescent="0.35">
      <c r="C12949" s="51"/>
      <c r="D12949" s="51"/>
    </row>
    <row r="12950" spans="3:4" x14ac:dyDescent="0.35">
      <c r="C12950" s="51"/>
      <c r="D12950" s="51"/>
    </row>
    <row r="12951" spans="3:4" x14ac:dyDescent="0.35">
      <c r="C12951" s="51"/>
      <c r="D12951" s="51"/>
    </row>
    <row r="12952" spans="3:4" x14ac:dyDescent="0.35">
      <c r="C12952" s="51"/>
      <c r="D12952" s="51"/>
    </row>
    <row r="12953" spans="3:4" x14ac:dyDescent="0.35">
      <c r="C12953" s="51"/>
      <c r="D12953" s="51"/>
    </row>
    <row r="12954" spans="3:4" x14ac:dyDescent="0.35">
      <c r="C12954" s="51"/>
      <c r="D12954" s="51"/>
    </row>
    <row r="12955" spans="3:4" x14ac:dyDescent="0.35">
      <c r="C12955" s="51"/>
      <c r="D12955" s="51"/>
    </row>
    <row r="12956" spans="3:4" x14ac:dyDescent="0.35">
      <c r="C12956" s="51"/>
      <c r="D12956" s="51"/>
    </row>
    <row r="12957" spans="3:4" x14ac:dyDescent="0.35">
      <c r="C12957" s="51"/>
      <c r="D12957" s="51"/>
    </row>
    <row r="12958" spans="3:4" x14ac:dyDescent="0.35">
      <c r="C12958" s="51"/>
      <c r="D12958" s="51"/>
    </row>
    <row r="12959" spans="3:4" x14ac:dyDescent="0.35">
      <c r="C12959" s="51"/>
      <c r="D12959" s="51"/>
    </row>
    <row r="12960" spans="3:4" x14ac:dyDescent="0.35">
      <c r="C12960" s="51"/>
      <c r="D12960" s="51"/>
    </row>
    <row r="12961" spans="3:4" x14ac:dyDescent="0.35">
      <c r="C12961" s="51"/>
      <c r="D12961" s="51"/>
    </row>
    <row r="12962" spans="3:4" x14ac:dyDescent="0.35">
      <c r="C12962" s="51"/>
      <c r="D12962" s="51"/>
    </row>
    <row r="12963" spans="3:4" x14ac:dyDescent="0.35">
      <c r="C12963" s="51"/>
      <c r="D12963" s="51"/>
    </row>
    <row r="12964" spans="3:4" x14ac:dyDescent="0.35">
      <c r="C12964" s="51"/>
      <c r="D12964" s="51"/>
    </row>
    <row r="12965" spans="3:4" x14ac:dyDescent="0.35">
      <c r="C12965" s="51"/>
      <c r="D12965" s="51"/>
    </row>
    <row r="12966" spans="3:4" x14ac:dyDescent="0.35">
      <c r="C12966" s="51"/>
      <c r="D12966" s="51"/>
    </row>
    <row r="12967" spans="3:4" x14ac:dyDescent="0.35">
      <c r="C12967" s="51"/>
      <c r="D12967" s="51"/>
    </row>
    <row r="12968" spans="3:4" x14ac:dyDescent="0.35">
      <c r="C12968" s="51"/>
      <c r="D12968" s="51"/>
    </row>
    <row r="12969" spans="3:4" x14ac:dyDescent="0.35">
      <c r="C12969" s="51"/>
      <c r="D12969" s="51"/>
    </row>
    <row r="12970" spans="3:4" x14ac:dyDescent="0.35">
      <c r="C12970" s="51"/>
      <c r="D12970" s="51"/>
    </row>
    <row r="12971" spans="3:4" x14ac:dyDescent="0.35">
      <c r="C12971" s="51"/>
      <c r="D12971" s="51"/>
    </row>
    <row r="12972" spans="3:4" x14ac:dyDescent="0.35">
      <c r="C12972" s="51"/>
      <c r="D12972" s="51"/>
    </row>
    <row r="12973" spans="3:4" x14ac:dyDescent="0.35">
      <c r="C12973" s="51"/>
      <c r="D12973" s="51"/>
    </row>
    <row r="12974" spans="3:4" x14ac:dyDescent="0.35">
      <c r="C12974" s="51"/>
      <c r="D12974" s="51"/>
    </row>
    <row r="12975" spans="3:4" x14ac:dyDescent="0.35">
      <c r="C12975" s="51"/>
      <c r="D12975" s="51"/>
    </row>
    <row r="12976" spans="3:4" x14ac:dyDescent="0.35">
      <c r="C12976" s="51"/>
      <c r="D12976" s="51"/>
    </row>
    <row r="12977" spans="3:4" x14ac:dyDescent="0.35">
      <c r="C12977" s="51"/>
      <c r="D12977" s="51"/>
    </row>
    <row r="12978" spans="3:4" x14ac:dyDescent="0.35">
      <c r="C12978" s="51"/>
      <c r="D12978" s="51"/>
    </row>
    <row r="12979" spans="3:4" x14ac:dyDescent="0.35">
      <c r="C12979" s="51"/>
      <c r="D12979" s="51"/>
    </row>
    <row r="12980" spans="3:4" x14ac:dyDescent="0.35">
      <c r="C12980" s="51"/>
      <c r="D12980" s="51"/>
    </row>
    <row r="12981" spans="3:4" x14ac:dyDescent="0.35">
      <c r="C12981" s="51"/>
      <c r="D12981" s="51"/>
    </row>
    <row r="12982" spans="3:4" x14ac:dyDescent="0.35">
      <c r="C12982" s="51"/>
      <c r="D12982" s="51"/>
    </row>
    <row r="12983" spans="3:4" x14ac:dyDescent="0.35">
      <c r="C12983" s="51"/>
      <c r="D12983" s="51"/>
    </row>
    <row r="12984" spans="3:4" x14ac:dyDescent="0.35">
      <c r="C12984" s="51"/>
      <c r="D12984" s="51"/>
    </row>
    <row r="12985" spans="3:4" x14ac:dyDescent="0.35">
      <c r="C12985" s="51"/>
      <c r="D12985" s="51"/>
    </row>
    <row r="12986" spans="3:4" x14ac:dyDescent="0.35">
      <c r="C12986" s="51"/>
      <c r="D12986" s="51"/>
    </row>
    <row r="12987" spans="3:4" x14ac:dyDescent="0.35">
      <c r="C12987" s="51"/>
      <c r="D12987" s="51"/>
    </row>
    <row r="12988" spans="3:4" x14ac:dyDescent="0.35">
      <c r="C12988" s="51"/>
      <c r="D12988" s="51"/>
    </row>
    <row r="12989" spans="3:4" x14ac:dyDescent="0.35">
      <c r="C12989" s="51"/>
      <c r="D12989" s="51"/>
    </row>
    <row r="12990" spans="3:4" x14ac:dyDescent="0.35">
      <c r="C12990" s="51"/>
      <c r="D12990" s="51"/>
    </row>
    <row r="12991" spans="3:4" x14ac:dyDescent="0.35">
      <c r="C12991" s="51"/>
      <c r="D12991" s="51"/>
    </row>
    <row r="12992" spans="3:4" x14ac:dyDescent="0.35">
      <c r="C12992" s="51"/>
      <c r="D12992" s="51"/>
    </row>
    <row r="12993" spans="3:4" x14ac:dyDescent="0.35">
      <c r="C12993" s="51"/>
      <c r="D12993" s="51"/>
    </row>
    <row r="12994" spans="3:4" x14ac:dyDescent="0.35">
      <c r="C12994" s="51"/>
      <c r="D12994" s="51"/>
    </row>
    <row r="12995" spans="3:4" x14ac:dyDescent="0.35">
      <c r="C12995" s="51"/>
      <c r="D12995" s="51"/>
    </row>
    <row r="12996" spans="3:4" x14ac:dyDescent="0.35">
      <c r="C12996" s="51"/>
      <c r="D12996" s="51"/>
    </row>
    <row r="12997" spans="3:4" x14ac:dyDescent="0.35">
      <c r="C12997" s="51"/>
      <c r="D12997" s="51"/>
    </row>
    <row r="12998" spans="3:4" x14ac:dyDescent="0.35">
      <c r="C12998" s="51"/>
      <c r="D12998" s="51"/>
    </row>
    <row r="12999" spans="3:4" x14ac:dyDescent="0.35">
      <c r="C12999" s="51"/>
      <c r="D12999" s="51"/>
    </row>
    <row r="13000" spans="3:4" x14ac:dyDescent="0.35">
      <c r="C13000" s="51"/>
      <c r="D13000" s="51"/>
    </row>
    <row r="13001" spans="3:4" x14ac:dyDescent="0.35">
      <c r="C13001" s="51"/>
      <c r="D13001" s="51"/>
    </row>
    <row r="13002" spans="3:4" x14ac:dyDescent="0.35">
      <c r="C13002" s="51"/>
      <c r="D13002" s="51"/>
    </row>
    <row r="13003" spans="3:4" x14ac:dyDescent="0.35">
      <c r="C13003" s="51"/>
      <c r="D13003" s="51"/>
    </row>
    <row r="13004" spans="3:4" x14ac:dyDescent="0.35">
      <c r="C13004" s="51"/>
      <c r="D13004" s="51"/>
    </row>
    <row r="13005" spans="3:4" x14ac:dyDescent="0.35">
      <c r="C13005" s="51"/>
      <c r="D13005" s="51"/>
    </row>
    <row r="13006" spans="3:4" x14ac:dyDescent="0.35">
      <c r="C13006" s="51"/>
      <c r="D13006" s="51"/>
    </row>
    <row r="13007" spans="3:4" x14ac:dyDescent="0.35">
      <c r="C13007" s="51"/>
      <c r="D13007" s="51"/>
    </row>
    <row r="13008" spans="3:4" x14ac:dyDescent="0.35">
      <c r="C13008" s="51"/>
      <c r="D13008" s="51"/>
    </row>
    <row r="13009" spans="3:4" x14ac:dyDescent="0.35">
      <c r="C13009" s="51"/>
      <c r="D13009" s="51"/>
    </row>
    <row r="13010" spans="3:4" x14ac:dyDescent="0.35">
      <c r="C13010" s="51"/>
      <c r="D13010" s="51"/>
    </row>
    <row r="13011" spans="3:4" x14ac:dyDescent="0.35">
      <c r="C13011" s="51"/>
      <c r="D13011" s="51"/>
    </row>
    <row r="13012" spans="3:4" x14ac:dyDescent="0.35">
      <c r="C13012" s="51"/>
      <c r="D13012" s="51"/>
    </row>
    <row r="13013" spans="3:4" x14ac:dyDescent="0.35">
      <c r="C13013" s="51"/>
      <c r="D13013" s="51"/>
    </row>
    <row r="13014" spans="3:4" x14ac:dyDescent="0.35">
      <c r="C13014" s="51"/>
      <c r="D13014" s="51"/>
    </row>
    <row r="13015" spans="3:4" x14ac:dyDescent="0.35">
      <c r="C13015" s="51"/>
      <c r="D13015" s="51"/>
    </row>
    <row r="13016" spans="3:4" x14ac:dyDescent="0.35">
      <c r="C13016" s="51"/>
      <c r="D13016" s="51"/>
    </row>
    <row r="13017" spans="3:4" x14ac:dyDescent="0.35">
      <c r="C13017" s="51"/>
      <c r="D13017" s="51"/>
    </row>
    <row r="13018" spans="3:4" x14ac:dyDescent="0.35">
      <c r="C13018" s="51"/>
      <c r="D13018" s="51"/>
    </row>
    <row r="13019" spans="3:4" x14ac:dyDescent="0.35">
      <c r="C13019" s="51"/>
      <c r="D13019" s="51"/>
    </row>
    <row r="13020" spans="3:4" x14ac:dyDescent="0.35">
      <c r="C13020" s="51"/>
      <c r="D13020" s="51"/>
    </row>
    <row r="13021" spans="3:4" x14ac:dyDescent="0.35">
      <c r="C13021" s="51"/>
      <c r="D13021" s="51"/>
    </row>
    <row r="13022" spans="3:4" x14ac:dyDescent="0.35">
      <c r="C13022" s="51"/>
      <c r="D13022" s="51"/>
    </row>
    <row r="13023" spans="3:4" x14ac:dyDescent="0.35">
      <c r="C13023" s="51"/>
      <c r="D13023" s="51"/>
    </row>
    <row r="13024" spans="3:4" x14ac:dyDescent="0.35">
      <c r="C13024" s="51"/>
      <c r="D13024" s="51"/>
    </row>
    <row r="13025" spans="3:4" x14ac:dyDescent="0.35">
      <c r="C13025" s="51"/>
      <c r="D13025" s="51"/>
    </row>
    <row r="13026" spans="3:4" x14ac:dyDescent="0.35">
      <c r="C13026" s="51"/>
      <c r="D13026" s="51"/>
    </row>
    <row r="13027" spans="3:4" x14ac:dyDescent="0.35">
      <c r="C13027" s="51"/>
      <c r="D13027" s="51"/>
    </row>
    <row r="13028" spans="3:4" x14ac:dyDescent="0.35">
      <c r="C13028" s="51"/>
      <c r="D13028" s="51"/>
    </row>
    <row r="13029" spans="3:4" x14ac:dyDescent="0.35">
      <c r="C13029" s="51"/>
      <c r="D13029" s="51"/>
    </row>
    <row r="13030" spans="3:4" x14ac:dyDescent="0.35">
      <c r="C13030" s="51"/>
      <c r="D13030" s="51"/>
    </row>
    <row r="13031" spans="3:4" x14ac:dyDescent="0.35">
      <c r="C13031" s="51"/>
      <c r="D13031" s="51"/>
    </row>
    <row r="13032" spans="3:4" x14ac:dyDescent="0.35">
      <c r="C13032" s="51"/>
      <c r="D13032" s="51"/>
    </row>
    <row r="13033" spans="3:4" x14ac:dyDescent="0.35">
      <c r="C13033" s="51"/>
      <c r="D13033" s="51"/>
    </row>
    <row r="13034" spans="3:4" x14ac:dyDescent="0.35">
      <c r="C13034" s="51"/>
      <c r="D13034" s="51"/>
    </row>
    <row r="13035" spans="3:4" x14ac:dyDescent="0.35">
      <c r="C13035" s="51"/>
      <c r="D13035" s="51"/>
    </row>
    <row r="13036" spans="3:4" x14ac:dyDescent="0.35">
      <c r="C13036" s="51"/>
      <c r="D13036" s="51"/>
    </row>
    <row r="13037" spans="3:4" x14ac:dyDescent="0.35">
      <c r="C13037" s="51"/>
      <c r="D13037" s="51"/>
    </row>
    <row r="13038" spans="3:4" x14ac:dyDescent="0.35">
      <c r="C13038" s="51"/>
      <c r="D13038" s="51"/>
    </row>
    <row r="13039" spans="3:4" x14ac:dyDescent="0.35">
      <c r="C13039" s="51"/>
      <c r="D13039" s="51"/>
    </row>
    <row r="13040" spans="3:4" x14ac:dyDescent="0.35">
      <c r="C13040" s="51"/>
      <c r="D13040" s="51"/>
    </row>
    <row r="13041" spans="3:4" x14ac:dyDescent="0.35">
      <c r="C13041" s="51"/>
      <c r="D13041" s="51"/>
    </row>
    <row r="13042" spans="3:4" x14ac:dyDescent="0.35">
      <c r="C13042" s="51"/>
      <c r="D13042" s="51"/>
    </row>
    <row r="13043" spans="3:4" x14ac:dyDescent="0.35">
      <c r="C13043" s="51"/>
      <c r="D13043" s="51"/>
    </row>
    <row r="13044" spans="3:4" x14ac:dyDescent="0.35">
      <c r="C13044" s="51"/>
      <c r="D13044" s="51"/>
    </row>
    <row r="13045" spans="3:4" x14ac:dyDescent="0.35">
      <c r="C13045" s="51"/>
      <c r="D13045" s="51"/>
    </row>
    <row r="13046" spans="3:4" x14ac:dyDescent="0.35">
      <c r="C13046" s="51"/>
      <c r="D13046" s="51"/>
    </row>
    <row r="13047" spans="3:4" x14ac:dyDescent="0.35">
      <c r="C13047" s="51"/>
      <c r="D13047" s="51"/>
    </row>
    <row r="13048" spans="3:4" x14ac:dyDescent="0.35">
      <c r="C13048" s="51"/>
      <c r="D13048" s="51"/>
    </row>
    <row r="13049" spans="3:4" x14ac:dyDescent="0.35">
      <c r="C13049" s="51"/>
      <c r="D13049" s="51"/>
    </row>
    <row r="13050" spans="3:4" x14ac:dyDescent="0.35">
      <c r="C13050" s="51"/>
      <c r="D13050" s="51"/>
    </row>
    <row r="13051" spans="3:4" x14ac:dyDescent="0.35">
      <c r="C13051" s="51"/>
      <c r="D13051" s="51"/>
    </row>
    <row r="13052" spans="3:4" x14ac:dyDescent="0.35">
      <c r="C13052" s="51"/>
      <c r="D13052" s="51"/>
    </row>
    <row r="13053" spans="3:4" x14ac:dyDescent="0.35">
      <c r="C13053" s="51"/>
      <c r="D13053" s="51"/>
    </row>
    <row r="13054" spans="3:4" x14ac:dyDescent="0.35">
      <c r="C13054" s="51"/>
      <c r="D13054" s="51"/>
    </row>
    <row r="13055" spans="3:4" x14ac:dyDescent="0.35">
      <c r="C13055" s="51"/>
      <c r="D13055" s="51"/>
    </row>
    <row r="13056" spans="3:4" x14ac:dyDescent="0.35">
      <c r="C13056" s="51"/>
      <c r="D13056" s="51"/>
    </row>
    <row r="13057" spans="3:4" x14ac:dyDescent="0.35">
      <c r="C13057" s="51"/>
      <c r="D13057" s="51"/>
    </row>
    <row r="13058" spans="3:4" x14ac:dyDescent="0.35">
      <c r="C13058" s="51"/>
      <c r="D13058" s="51"/>
    </row>
    <row r="13059" spans="3:4" x14ac:dyDescent="0.35">
      <c r="C13059" s="51"/>
      <c r="D13059" s="51"/>
    </row>
    <row r="13060" spans="3:4" x14ac:dyDescent="0.35">
      <c r="C13060" s="51"/>
      <c r="D13060" s="51"/>
    </row>
    <row r="13061" spans="3:4" x14ac:dyDescent="0.35">
      <c r="C13061" s="51"/>
      <c r="D13061" s="51"/>
    </row>
    <row r="13062" spans="3:4" x14ac:dyDescent="0.35">
      <c r="C13062" s="51"/>
      <c r="D13062" s="51"/>
    </row>
    <row r="13063" spans="3:4" x14ac:dyDescent="0.35">
      <c r="C13063" s="51"/>
      <c r="D13063" s="51"/>
    </row>
    <row r="13064" spans="3:4" x14ac:dyDescent="0.35">
      <c r="C13064" s="51"/>
      <c r="D13064" s="51"/>
    </row>
    <row r="13065" spans="3:4" x14ac:dyDescent="0.35">
      <c r="C13065" s="51"/>
      <c r="D13065" s="51"/>
    </row>
    <row r="13066" spans="3:4" x14ac:dyDescent="0.35">
      <c r="C13066" s="51"/>
      <c r="D13066" s="51"/>
    </row>
    <row r="13067" spans="3:4" x14ac:dyDescent="0.35">
      <c r="C13067" s="51"/>
      <c r="D13067" s="51"/>
    </row>
    <row r="13068" spans="3:4" x14ac:dyDescent="0.35">
      <c r="C13068" s="51"/>
      <c r="D13068" s="51"/>
    </row>
    <row r="13069" spans="3:4" x14ac:dyDescent="0.35">
      <c r="C13069" s="51"/>
      <c r="D13069" s="51"/>
    </row>
    <row r="13070" spans="3:4" x14ac:dyDescent="0.35">
      <c r="C13070" s="51"/>
      <c r="D13070" s="51"/>
    </row>
    <row r="13071" spans="3:4" x14ac:dyDescent="0.35">
      <c r="C13071" s="51"/>
      <c r="D13071" s="51"/>
    </row>
    <row r="13072" spans="3:4" x14ac:dyDescent="0.35">
      <c r="C13072" s="51"/>
      <c r="D13072" s="51"/>
    </row>
    <row r="13073" spans="3:4" x14ac:dyDescent="0.35">
      <c r="C13073" s="51"/>
      <c r="D13073" s="51"/>
    </row>
    <row r="13074" spans="3:4" x14ac:dyDescent="0.35">
      <c r="C13074" s="51"/>
      <c r="D13074" s="51"/>
    </row>
    <row r="13075" spans="3:4" x14ac:dyDescent="0.35">
      <c r="C13075" s="51"/>
      <c r="D13075" s="51"/>
    </row>
    <row r="13076" spans="3:4" x14ac:dyDescent="0.35">
      <c r="C13076" s="51"/>
      <c r="D13076" s="51"/>
    </row>
    <row r="13077" spans="3:4" x14ac:dyDescent="0.35">
      <c r="C13077" s="51"/>
      <c r="D13077" s="51"/>
    </row>
    <row r="13078" spans="3:4" x14ac:dyDescent="0.35">
      <c r="C13078" s="51"/>
      <c r="D13078" s="51"/>
    </row>
    <row r="13079" spans="3:4" x14ac:dyDescent="0.35">
      <c r="C13079" s="51"/>
      <c r="D13079" s="51"/>
    </row>
    <row r="13080" spans="3:4" x14ac:dyDescent="0.35">
      <c r="C13080" s="51"/>
      <c r="D13080" s="51"/>
    </row>
    <row r="13081" spans="3:4" x14ac:dyDescent="0.35">
      <c r="C13081" s="51"/>
      <c r="D13081" s="51"/>
    </row>
    <row r="13082" spans="3:4" x14ac:dyDescent="0.35">
      <c r="C13082" s="51"/>
      <c r="D13082" s="51"/>
    </row>
    <row r="13083" spans="3:4" x14ac:dyDescent="0.35">
      <c r="C13083" s="51"/>
      <c r="D13083" s="51"/>
    </row>
    <row r="13084" spans="3:4" x14ac:dyDescent="0.35">
      <c r="C13084" s="51"/>
      <c r="D13084" s="51"/>
    </row>
    <row r="13085" spans="3:4" x14ac:dyDescent="0.35">
      <c r="C13085" s="51"/>
      <c r="D13085" s="51"/>
    </row>
    <row r="13086" spans="3:4" x14ac:dyDescent="0.35">
      <c r="C13086" s="51"/>
      <c r="D13086" s="51"/>
    </row>
    <row r="13087" spans="3:4" x14ac:dyDescent="0.35">
      <c r="C13087" s="51"/>
      <c r="D13087" s="51"/>
    </row>
    <row r="13088" spans="3:4" x14ac:dyDescent="0.35">
      <c r="C13088" s="51"/>
      <c r="D13088" s="51"/>
    </row>
    <row r="13089" spans="3:4" x14ac:dyDescent="0.35">
      <c r="C13089" s="51"/>
      <c r="D13089" s="51"/>
    </row>
    <row r="13090" spans="3:4" x14ac:dyDescent="0.35">
      <c r="C13090" s="51"/>
      <c r="D13090" s="51"/>
    </row>
    <row r="13091" spans="3:4" x14ac:dyDescent="0.35">
      <c r="C13091" s="51"/>
      <c r="D13091" s="51"/>
    </row>
    <row r="13092" spans="3:4" x14ac:dyDescent="0.35">
      <c r="C13092" s="51"/>
      <c r="D13092" s="51"/>
    </row>
    <row r="13093" spans="3:4" x14ac:dyDescent="0.35">
      <c r="C13093" s="51"/>
      <c r="D13093" s="51"/>
    </row>
    <row r="13094" spans="3:4" x14ac:dyDescent="0.35">
      <c r="C13094" s="51"/>
      <c r="D13094" s="51"/>
    </row>
    <row r="13095" spans="3:4" x14ac:dyDescent="0.35">
      <c r="C13095" s="51"/>
      <c r="D13095" s="51"/>
    </row>
    <row r="13096" spans="3:4" x14ac:dyDescent="0.35">
      <c r="C13096" s="51"/>
      <c r="D13096" s="51"/>
    </row>
    <row r="13097" spans="3:4" x14ac:dyDescent="0.35">
      <c r="C13097" s="51"/>
      <c r="D13097" s="51"/>
    </row>
    <row r="13098" spans="3:4" x14ac:dyDescent="0.35">
      <c r="C13098" s="51"/>
      <c r="D13098" s="51"/>
    </row>
    <row r="13099" spans="3:4" x14ac:dyDescent="0.35">
      <c r="C13099" s="51"/>
      <c r="D13099" s="51"/>
    </row>
    <row r="13100" spans="3:4" x14ac:dyDescent="0.35">
      <c r="C13100" s="51"/>
      <c r="D13100" s="51"/>
    </row>
    <row r="13101" spans="3:4" x14ac:dyDescent="0.35">
      <c r="C13101" s="51"/>
      <c r="D13101" s="51"/>
    </row>
    <row r="13102" spans="3:4" x14ac:dyDescent="0.35">
      <c r="C13102" s="51"/>
      <c r="D13102" s="51"/>
    </row>
    <row r="13103" spans="3:4" x14ac:dyDescent="0.35">
      <c r="C13103" s="51"/>
      <c r="D13103" s="51"/>
    </row>
    <row r="13104" spans="3:4" x14ac:dyDescent="0.35">
      <c r="C13104" s="51"/>
      <c r="D13104" s="51"/>
    </row>
    <row r="13105" spans="3:4" x14ac:dyDescent="0.35">
      <c r="C13105" s="51"/>
      <c r="D13105" s="51"/>
    </row>
    <row r="13106" spans="3:4" x14ac:dyDescent="0.35">
      <c r="C13106" s="51"/>
      <c r="D13106" s="51"/>
    </row>
    <row r="13107" spans="3:4" x14ac:dyDescent="0.35">
      <c r="C13107" s="51"/>
      <c r="D13107" s="51"/>
    </row>
    <row r="13108" spans="3:4" x14ac:dyDescent="0.35">
      <c r="C13108" s="51"/>
      <c r="D13108" s="51"/>
    </row>
    <row r="13109" spans="3:4" x14ac:dyDescent="0.35">
      <c r="C13109" s="51"/>
      <c r="D13109" s="51"/>
    </row>
    <row r="13110" spans="3:4" x14ac:dyDescent="0.35">
      <c r="C13110" s="51"/>
      <c r="D13110" s="51"/>
    </row>
    <row r="13111" spans="3:4" x14ac:dyDescent="0.35">
      <c r="C13111" s="51"/>
      <c r="D13111" s="51"/>
    </row>
    <row r="13112" spans="3:4" x14ac:dyDescent="0.35">
      <c r="C13112" s="51"/>
      <c r="D13112" s="51"/>
    </row>
    <row r="13113" spans="3:4" x14ac:dyDescent="0.35">
      <c r="C13113" s="51"/>
      <c r="D13113" s="51"/>
    </row>
    <row r="13114" spans="3:4" x14ac:dyDescent="0.35">
      <c r="C13114" s="51"/>
      <c r="D13114" s="51"/>
    </row>
    <row r="13115" spans="3:4" x14ac:dyDescent="0.35">
      <c r="C13115" s="51"/>
      <c r="D13115" s="51"/>
    </row>
    <row r="13116" spans="3:4" x14ac:dyDescent="0.35">
      <c r="C13116" s="51"/>
      <c r="D13116" s="51"/>
    </row>
    <row r="13117" spans="3:4" x14ac:dyDescent="0.35">
      <c r="C13117" s="51"/>
      <c r="D13117" s="51"/>
    </row>
    <row r="13118" spans="3:4" x14ac:dyDescent="0.35">
      <c r="C13118" s="51"/>
      <c r="D13118" s="51"/>
    </row>
    <row r="13119" spans="3:4" x14ac:dyDescent="0.35">
      <c r="C13119" s="51"/>
      <c r="D13119" s="51"/>
    </row>
    <row r="13120" spans="3:4" x14ac:dyDescent="0.35">
      <c r="C13120" s="51"/>
      <c r="D13120" s="51"/>
    </row>
    <row r="13121" spans="3:4" x14ac:dyDescent="0.35">
      <c r="C13121" s="51"/>
      <c r="D13121" s="51"/>
    </row>
    <row r="13122" spans="3:4" x14ac:dyDescent="0.35">
      <c r="C13122" s="51"/>
      <c r="D13122" s="51"/>
    </row>
    <row r="13123" spans="3:4" x14ac:dyDescent="0.35">
      <c r="C13123" s="51"/>
      <c r="D13123" s="51"/>
    </row>
    <row r="13124" spans="3:4" x14ac:dyDescent="0.35">
      <c r="C13124" s="51"/>
      <c r="D13124" s="51"/>
    </row>
    <row r="13125" spans="3:4" x14ac:dyDescent="0.35">
      <c r="C13125" s="51"/>
      <c r="D13125" s="51"/>
    </row>
    <row r="13126" spans="3:4" x14ac:dyDescent="0.35">
      <c r="C13126" s="51"/>
      <c r="D13126" s="51"/>
    </row>
    <row r="13127" spans="3:4" x14ac:dyDescent="0.35">
      <c r="C13127" s="51"/>
      <c r="D13127" s="51"/>
    </row>
    <row r="13128" spans="3:4" x14ac:dyDescent="0.35">
      <c r="C13128" s="51"/>
      <c r="D13128" s="51"/>
    </row>
    <row r="13129" spans="3:4" x14ac:dyDescent="0.35">
      <c r="C13129" s="51"/>
      <c r="D13129" s="51"/>
    </row>
    <row r="13130" spans="3:4" x14ac:dyDescent="0.35">
      <c r="C13130" s="51"/>
      <c r="D13130" s="51"/>
    </row>
    <row r="13131" spans="3:4" x14ac:dyDescent="0.35">
      <c r="C13131" s="51"/>
      <c r="D13131" s="51"/>
    </row>
    <row r="13132" spans="3:4" x14ac:dyDescent="0.35">
      <c r="C13132" s="51"/>
      <c r="D13132" s="51"/>
    </row>
    <row r="13133" spans="3:4" x14ac:dyDescent="0.35">
      <c r="C13133" s="51"/>
      <c r="D13133" s="51"/>
    </row>
    <row r="13134" spans="3:4" x14ac:dyDescent="0.35">
      <c r="C13134" s="51"/>
      <c r="D13134" s="51"/>
    </row>
    <row r="13135" spans="3:4" x14ac:dyDescent="0.35">
      <c r="C13135" s="51"/>
      <c r="D13135" s="51"/>
    </row>
    <row r="13136" spans="3:4" x14ac:dyDescent="0.35">
      <c r="C13136" s="51"/>
      <c r="D13136" s="51"/>
    </row>
    <row r="13137" spans="3:4" x14ac:dyDescent="0.35">
      <c r="C13137" s="51"/>
      <c r="D13137" s="51"/>
    </row>
    <row r="13138" spans="3:4" x14ac:dyDescent="0.35">
      <c r="C13138" s="51"/>
      <c r="D13138" s="51"/>
    </row>
    <row r="13139" spans="3:4" x14ac:dyDescent="0.35">
      <c r="C13139" s="51"/>
      <c r="D13139" s="51"/>
    </row>
    <row r="13140" spans="3:4" x14ac:dyDescent="0.35">
      <c r="C13140" s="51"/>
      <c r="D13140" s="51"/>
    </row>
    <row r="13141" spans="3:4" x14ac:dyDescent="0.35">
      <c r="C13141" s="51"/>
      <c r="D13141" s="51"/>
    </row>
    <row r="13142" spans="3:4" x14ac:dyDescent="0.35">
      <c r="C13142" s="51"/>
      <c r="D13142" s="51"/>
    </row>
    <row r="13143" spans="3:4" x14ac:dyDescent="0.35">
      <c r="C13143" s="51"/>
      <c r="D13143" s="51"/>
    </row>
    <row r="13144" spans="3:4" x14ac:dyDescent="0.35">
      <c r="C13144" s="51"/>
      <c r="D13144" s="51"/>
    </row>
    <row r="13145" spans="3:4" x14ac:dyDescent="0.35">
      <c r="C13145" s="51"/>
      <c r="D13145" s="51"/>
    </row>
    <row r="13146" spans="3:4" x14ac:dyDescent="0.35">
      <c r="C13146" s="51"/>
      <c r="D13146" s="51"/>
    </row>
    <row r="13147" spans="3:4" x14ac:dyDescent="0.35">
      <c r="C13147" s="51"/>
      <c r="D13147" s="51"/>
    </row>
    <row r="13148" spans="3:4" x14ac:dyDescent="0.35">
      <c r="C13148" s="51"/>
      <c r="D13148" s="51"/>
    </row>
    <row r="13149" spans="3:4" x14ac:dyDescent="0.35">
      <c r="C13149" s="51"/>
      <c r="D13149" s="51"/>
    </row>
    <row r="13150" spans="3:4" x14ac:dyDescent="0.35">
      <c r="C13150" s="51"/>
      <c r="D13150" s="51"/>
    </row>
    <row r="13151" spans="3:4" x14ac:dyDescent="0.35">
      <c r="C13151" s="51"/>
      <c r="D13151" s="51"/>
    </row>
    <row r="13152" spans="3:4" x14ac:dyDescent="0.35">
      <c r="C13152" s="51"/>
      <c r="D13152" s="51"/>
    </row>
    <row r="13153" spans="3:4" x14ac:dyDescent="0.35">
      <c r="C13153" s="51"/>
      <c r="D13153" s="51"/>
    </row>
    <row r="13154" spans="3:4" x14ac:dyDescent="0.35">
      <c r="C13154" s="51"/>
      <c r="D13154" s="51"/>
    </row>
    <row r="13155" spans="3:4" x14ac:dyDescent="0.35">
      <c r="C13155" s="51"/>
      <c r="D13155" s="51"/>
    </row>
    <row r="13156" spans="3:4" x14ac:dyDescent="0.35">
      <c r="C13156" s="51"/>
      <c r="D13156" s="51"/>
    </row>
    <row r="13157" spans="3:4" x14ac:dyDescent="0.35">
      <c r="C13157" s="51"/>
      <c r="D13157" s="51"/>
    </row>
    <row r="13158" spans="3:4" x14ac:dyDescent="0.35">
      <c r="C13158" s="51"/>
      <c r="D13158" s="51"/>
    </row>
    <row r="13159" spans="3:4" x14ac:dyDescent="0.35">
      <c r="C13159" s="51"/>
      <c r="D13159" s="51"/>
    </row>
    <row r="13160" spans="3:4" x14ac:dyDescent="0.35">
      <c r="C13160" s="51"/>
      <c r="D13160" s="51"/>
    </row>
    <row r="13161" spans="3:4" x14ac:dyDescent="0.35">
      <c r="C13161" s="51"/>
      <c r="D13161" s="51"/>
    </row>
    <row r="13162" spans="3:4" x14ac:dyDescent="0.35">
      <c r="C13162" s="51"/>
      <c r="D13162" s="51"/>
    </row>
    <row r="13163" spans="3:4" x14ac:dyDescent="0.35">
      <c r="C13163" s="51"/>
      <c r="D13163" s="51"/>
    </row>
    <row r="13164" spans="3:4" x14ac:dyDescent="0.35">
      <c r="C13164" s="51"/>
      <c r="D13164" s="51"/>
    </row>
    <row r="13165" spans="3:4" x14ac:dyDescent="0.35">
      <c r="C13165" s="51"/>
      <c r="D13165" s="51"/>
    </row>
    <row r="13166" spans="3:4" x14ac:dyDescent="0.35">
      <c r="C13166" s="51"/>
      <c r="D13166" s="51"/>
    </row>
    <row r="13167" spans="3:4" x14ac:dyDescent="0.35">
      <c r="C13167" s="51"/>
      <c r="D13167" s="51"/>
    </row>
    <row r="13168" spans="3:4" x14ac:dyDescent="0.35">
      <c r="C13168" s="51"/>
      <c r="D13168" s="51"/>
    </row>
    <row r="13169" spans="3:4" x14ac:dyDescent="0.35">
      <c r="C13169" s="51"/>
      <c r="D13169" s="51"/>
    </row>
    <row r="13170" spans="3:4" x14ac:dyDescent="0.35">
      <c r="C13170" s="51"/>
      <c r="D13170" s="51"/>
    </row>
    <row r="13171" spans="3:4" x14ac:dyDescent="0.35">
      <c r="C13171" s="51"/>
      <c r="D13171" s="51"/>
    </row>
    <row r="13172" spans="3:4" x14ac:dyDescent="0.35">
      <c r="C13172" s="51"/>
      <c r="D13172" s="51"/>
    </row>
    <row r="13173" spans="3:4" x14ac:dyDescent="0.35">
      <c r="C13173" s="51"/>
      <c r="D13173" s="51"/>
    </row>
    <row r="13174" spans="3:4" x14ac:dyDescent="0.35">
      <c r="C13174" s="51"/>
      <c r="D13174" s="51"/>
    </row>
    <row r="13175" spans="3:4" x14ac:dyDescent="0.35">
      <c r="C13175" s="51"/>
      <c r="D13175" s="51"/>
    </row>
    <row r="13176" spans="3:4" x14ac:dyDescent="0.35">
      <c r="C13176" s="51"/>
      <c r="D13176" s="51"/>
    </row>
    <row r="13177" spans="3:4" x14ac:dyDescent="0.35">
      <c r="C13177" s="51"/>
      <c r="D13177" s="51"/>
    </row>
    <row r="13178" spans="3:4" x14ac:dyDescent="0.35">
      <c r="C13178" s="51"/>
      <c r="D13178" s="51"/>
    </row>
    <row r="13179" spans="3:4" x14ac:dyDescent="0.35">
      <c r="C13179" s="51"/>
      <c r="D13179" s="51"/>
    </row>
    <row r="13180" spans="3:4" x14ac:dyDescent="0.35">
      <c r="C13180" s="51"/>
      <c r="D13180" s="51"/>
    </row>
    <row r="13181" spans="3:4" x14ac:dyDescent="0.35">
      <c r="C13181" s="51"/>
      <c r="D13181" s="51"/>
    </row>
    <row r="13182" spans="3:4" x14ac:dyDescent="0.35">
      <c r="C13182" s="51"/>
      <c r="D13182" s="51"/>
    </row>
    <row r="13183" spans="3:4" x14ac:dyDescent="0.35">
      <c r="C13183" s="51"/>
      <c r="D13183" s="51"/>
    </row>
    <row r="13184" spans="3:4" x14ac:dyDescent="0.35">
      <c r="C13184" s="51"/>
      <c r="D13184" s="51"/>
    </row>
    <row r="13185" spans="3:4" x14ac:dyDescent="0.35">
      <c r="C13185" s="51"/>
      <c r="D13185" s="51"/>
    </row>
    <row r="13186" spans="3:4" x14ac:dyDescent="0.35">
      <c r="C13186" s="51"/>
      <c r="D13186" s="51"/>
    </row>
    <row r="13187" spans="3:4" x14ac:dyDescent="0.35">
      <c r="C13187" s="51"/>
      <c r="D13187" s="51"/>
    </row>
    <row r="13188" spans="3:4" x14ac:dyDescent="0.35">
      <c r="C13188" s="51"/>
      <c r="D13188" s="51"/>
    </row>
    <row r="13189" spans="3:4" x14ac:dyDescent="0.35">
      <c r="C13189" s="51"/>
      <c r="D13189" s="51"/>
    </row>
    <row r="13190" spans="3:4" x14ac:dyDescent="0.35">
      <c r="C13190" s="51"/>
      <c r="D13190" s="51"/>
    </row>
    <row r="13191" spans="3:4" x14ac:dyDescent="0.35">
      <c r="C13191" s="51"/>
      <c r="D13191" s="51"/>
    </row>
    <row r="13192" spans="3:4" x14ac:dyDescent="0.35">
      <c r="C13192" s="51"/>
      <c r="D13192" s="51"/>
    </row>
    <row r="13193" spans="3:4" x14ac:dyDescent="0.35">
      <c r="C13193" s="51"/>
      <c r="D13193" s="51"/>
    </row>
    <row r="13194" spans="3:4" x14ac:dyDescent="0.35">
      <c r="C13194" s="51"/>
      <c r="D13194" s="51"/>
    </row>
    <row r="13195" spans="3:4" x14ac:dyDescent="0.35">
      <c r="C13195" s="51"/>
      <c r="D13195" s="51"/>
    </row>
    <row r="13196" spans="3:4" x14ac:dyDescent="0.35">
      <c r="C13196" s="51"/>
      <c r="D13196" s="51"/>
    </row>
    <row r="13197" spans="3:4" x14ac:dyDescent="0.35">
      <c r="C13197" s="51"/>
      <c r="D13197" s="51"/>
    </row>
    <row r="13198" spans="3:4" x14ac:dyDescent="0.35">
      <c r="C13198" s="51"/>
      <c r="D13198" s="51"/>
    </row>
    <row r="13199" spans="3:4" x14ac:dyDescent="0.35">
      <c r="C13199" s="51"/>
      <c r="D13199" s="51"/>
    </row>
    <row r="13200" spans="3:4" x14ac:dyDescent="0.35">
      <c r="C13200" s="51"/>
      <c r="D13200" s="51"/>
    </row>
    <row r="13201" spans="3:4" x14ac:dyDescent="0.35">
      <c r="C13201" s="51"/>
      <c r="D13201" s="51"/>
    </row>
    <row r="13202" spans="3:4" x14ac:dyDescent="0.35">
      <c r="C13202" s="51"/>
      <c r="D13202" s="51"/>
    </row>
    <row r="13203" spans="3:4" x14ac:dyDescent="0.35">
      <c r="C13203" s="51"/>
      <c r="D13203" s="51"/>
    </row>
    <row r="13204" spans="3:4" x14ac:dyDescent="0.35">
      <c r="C13204" s="51"/>
      <c r="D13204" s="51"/>
    </row>
    <row r="13205" spans="3:4" x14ac:dyDescent="0.35">
      <c r="C13205" s="51"/>
      <c r="D13205" s="51"/>
    </row>
    <row r="13206" spans="3:4" x14ac:dyDescent="0.35">
      <c r="C13206" s="51"/>
      <c r="D13206" s="51"/>
    </row>
    <row r="13207" spans="3:4" x14ac:dyDescent="0.35">
      <c r="C13207" s="51"/>
      <c r="D13207" s="51"/>
    </row>
    <row r="13208" spans="3:4" x14ac:dyDescent="0.35">
      <c r="C13208" s="51"/>
      <c r="D13208" s="51"/>
    </row>
    <row r="13209" spans="3:4" x14ac:dyDescent="0.35">
      <c r="C13209" s="51"/>
      <c r="D13209" s="51"/>
    </row>
    <row r="13210" spans="3:4" x14ac:dyDescent="0.35">
      <c r="C13210" s="51"/>
      <c r="D13210" s="51"/>
    </row>
    <row r="13211" spans="3:4" x14ac:dyDescent="0.35">
      <c r="C13211" s="51"/>
      <c r="D13211" s="51"/>
    </row>
    <row r="13212" spans="3:4" x14ac:dyDescent="0.35">
      <c r="C13212" s="51"/>
      <c r="D13212" s="51"/>
    </row>
    <row r="13213" spans="3:4" x14ac:dyDescent="0.35">
      <c r="C13213" s="51"/>
      <c r="D13213" s="51"/>
    </row>
    <row r="13214" spans="3:4" x14ac:dyDescent="0.35">
      <c r="C13214" s="51"/>
      <c r="D13214" s="51"/>
    </row>
    <row r="13215" spans="3:4" x14ac:dyDescent="0.35">
      <c r="C13215" s="51"/>
      <c r="D13215" s="51"/>
    </row>
    <row r="13216" spans="3:4" x14ac:dyDescent="0.35">
      <c r="C13216" s="51"/>
      <c r="D13216" s="51"/>
    </row>
    <row r="13217" spans="3:4" x14ac:dyDescent="0.35">
      <c r="C13217" s="51"/>
      <c r="D13217" s="51"/>
    </row>
    <row r="13218" spans="3:4" x14ac:dyDescent="0.35">
      <c r="C13218" s="51"/>
      <c r="D13218" s="51"/>
    </row>
    <row r="13219" spans="3:4" x14ac:dyDescent="0.35">
      <c r="C13219" s="51"/>
      <c r="D13219" s="51"/>
    </row>
    <row r="13220" spans="3:4" x14ac:dyDescent="0.35">
      <c r="C13220" s="51"/>
      <c r="D13220" s="51"/>
    </row>
    <row r="13221" spans="3:4" x14ac:dyDescent="0.35">
      <c r="C13221" s="51"/>
      <c r="D13221" s="51"/>
    </row>
    <row r="13222" spans="3:4" x14ac:dyDescent="0.35">
      <c r="C13222" s="51"/>
      <c r="D13222" s="51"/>
    </row>
    <row r="13223" spans="3:4" x14ac:dyDescent="0.35">
      <c r="C13223" s="51"/>
      <c r="D13223" s="51"/>
    </row>
    <row r="13224" spans="3:4" x14ac:dyDescent="0.35">
      <c r="C13224" s="51"/>
      <c r="D13224" s="51"/>
    </row>
    <row r="13225" spans="3:4" x14ac:dyDescent="0.35">
      <c r="C13225" s="51"/>
      <c r="D13225" s="51"/>
    </row>
    <row r="13226" spans="3:4" x14ac:dyDescent="0.35">
      <c r="C13226" s="51"/>
      <c r="D13226" s="51"/>
    </row>
    <row r="13227" spans="3:4" x14ac:dyDescent="0.35">
      <c r="C13227" s="51"/>
      <c r="D13227" s="51"/>
    </row>
    <row r="13228" spans="3:4" x14ac:dyDescent="0.35">
      <c r="C13228" s="51"/>
      <c r="D13228" s="51"/>
    </row>
    <row r="13229" spans="3:4" x14ac:dyDescent="0.35">
      <c r="C13229" s="51"/>
      <c r="D13229" s="51"/>
    </row>
    <row r="13230" spans="3:4" x14ac:dyDescent="0.35">
      <c r="C13230" s="51"/>
      <c r="D13230" s="51"/>
    </row>
    <row r="13231" spans="3:4" x14ac:dyDescent="0.35">
      <c r="C13231" s="51"/>
      <c r="D13231" s="51"/>
    </row>
    <row r="13232" spans="3:4" x14ac:dyDescent="0.35">
      <c r="C13232" s="51"/>
      <c r="D13232" s="51"/>
    </row>
    <row r="13233" spans="3:4" x14ac:dyDescent="0.35">
      <c r="C13233" s="51"/>
      <c r="D13233" s="51"/>
    </row>
    <row r="13234" spans="3:4" x14ac:dyDescent="0.35">
      <c r="C13234" s="51"/>
      <c r="D13234" s="51"/>
    </row>
    <row r="13235" spans="3:4" x14ac:dyDescent="0.35">
      <c r="C13235" s="51"/>
      <c r="D13235" s="51"/>
    </row>
    <row r="13236" spans="3:4" x14ac:dyDescent="0.35">
      <c r="C13236" s="51"/>
      <c r="D13236" s="51"/>
    </row>
    <row r="13237" spans="3:4" x14ac:dyDescent="0.35">
      <c r="C13237" s="51"/>
      <c r="D13237" s="51"/>
    </row>
    <row r="13238" spans="3:4" x14ac:dyDescent="0.35">
      <c r="C13238" s="51"/>
      <c r="D13238" s="51"/>
    </row>
    <row r="13239" spans="3:4" x14ac:dyDescent="0.35">
      <c r="C13239" s="51"/>
      <c r="D13239" s="51"/>
    </row>
    <row r="13240" spans="3:4" x14ac:dyDescent="0.35">
      <c r="C13240" s="51"/>
      <c r="D13240" s="51"/>
    </row>
    <row r="13241" spans="3:4" x14ac:dyDescent="0.35">
      <c r="C13241" s="51"/>
      <c r="D13241" s="51"/>
    </row>
    <row r="13242" spans="3:4" x14ac:dyDescent="0.35">
      <c r="C13242" s="51"/>
      <c r="D13242" s="51"/>
    </row>
    <row r="13243" spans="3:4" x14ac:dyDescent="0.35">
      <c r="C13243" s="51"/>
      <c r="D13243" s="51"/>
    </row>
    <row r="13244" spans="3:4" x14ac:dyDescent="0.35">
      <c r="C13244" s="51"/>
      <c r="D13244" s="51"/>
    </row>
    <row r="13245" spans="3:4" x14ac:dyDescent="0.35">
      <c r="C13245" s="51"/>
      <c r="D13245" s="51"/>
    </row>
    <row r="13246" spans="3:4" x14ac:dyDescent="0.35">
      <c r="C13246" s="51"/>
      <c r="D13246" s="51"/>
    </row>
    <row r="13247" spans="3:4" x14ac:dyDescent="0.35">
      <c r="C13247" s="51"/>
      <c r="D13247" s="51"/>
    </row>
    <row r="13248" spans="3:4" x14ac:dyDescent="0.35">
      <c r="C13248" s="51"/>
      <c r="D13248" s="51"/>
    </row>
    <row r="13249" spans="3:4" x14ac:dyDescent="0.35">
      <c r="C13249" s="51"/>
      <c r="D13249" s="51"/>
    </row>
    <row r="13250" spans="3:4" x14ac:dyDescent="0.35">
      <c r="C13250" s="51"/>
      <c r="D13250" s="51"/>
    </row>
    <row r="13251" spans="3:4" x14ac:dyDescent="0.35">
      <c r="C13251" s="51"/>
      <c r="D13251" s="51"/>
    </row>
    <row r="13252" spans="3:4" x14ac:dyDescent="0.35">
      <c r="C13252" s="51"/>
      <c r="D13252" s="51"/>
    </row>
    <row r="13253" spans="3:4" x14ac:dyDescent="0.35">
      <c r="C13253" s="51"/>
      <c r="D13253" s="51"/>
    </row>
    <row r="13254" spans="3:4" x14ac:dyDescent="0.35">
      <c r="C13254" s="51"/>
      <c r="D13254" s="51"/>
    </row>
    <row r="13255" spans="3:4" x14ac:dyDescent="0.35">
      <c r="C13255" s="51"/>
      <c r="D13255" s="51"/>
    </row>
    <row r="13256" spans="3:4" x14ac:dyDescent="0.35">
      <c r="C13256" s="51"/>
      <c r="D13256" s="51"/>
    </row>
    <row r="13257" spans="3:4" x14ac:dyDescent="0.35">
      <c r="C13257" s="51"/>
      <c r="D13257" s="51"/>
    </row>
    <row r="13258" spans="3:4" x14ac:dyDescent="0.35">
      <c r="C13258" s="51"/>
      <c r="D13258" s="51"/>
    </row>
    <row r="13259" spans="3:4" x14ac:dyDescent="0.35">
      <c r="C13259" s="51"/>
      <c r="D13259" s="51"/>
    </row>
    <row r="13260" spans="3:4" x14ac:dyDescent="0.35">
      <c r="C13260" s="51"/>
      <c r="D13260" s="51"/>
    </row>
    <row r="13261" spans="3:4" x14ac:dyDescent="0.35">
      <c r="C13261" s="51"/>
      <c r="D13261" s="51"/>
    </row>
    <row r="13262" spans="3:4" x14ac:dyDescent="0.35">
      <c r="C13262" s="51"/>
      <c r="D13262" s="51"/>
    </row>
    <row r="13263" spans="3:4" x14ac:dyDescent="0.35">
      <c r="C13263" s="51"/>
      <c r="D13263" s="51"/>
    </row>
    <row r="13264" spans="3:4" x14ac:dyDescent="0.35">
      <c r="C13264" s="51"/>
      <c r="D13264" s="51"/>
    </row>
    <row r="13265" spans="3:4" x14ac:dyDescent="0.35">
      <c r="C13265" s="51"/>
      <c r="D13265" s="51"/>
    </row>
    <row r="13266" spans="3:4" x14ac:dyDescent="0.35">
      <c r="C13266" s="51"/>
      <c r="D13266" s="51"/>
    </row>
    <row r="13267" spans="3:4" x14ac:dyDescent="0.35">
      <c r="C13267" s="51"/>
      <c r="D13267" s="51"/>
    </row>
    <row r="13268" spans="3:4" x14ac:dyDescent="0.35">
      <c r="C13268" s="51"/>
      <c r="D13268" s="51"/>
    </row>
    <row r="13269" spans="3:4" x14ac:dyDescent="0.35">
      <c r="C13269" s="51"/>
      <c r="D13269" s="51"/>
    </row>
    <row r="13270" spans="3:4" x14ac:dyDescent="0.35">
      <c r="C13270" s="51"/>
      <c r="D13270" s="51"/>
    </row>
    <row r="13271" spans="3:4" x14ac:dyDescent="0.35">
      <c r="C13271" s="51"/>
      <c r="D13271" s="51"/>
    </row>
    <row r="13272" spans="3:4" x14ac:dyDescent="0.35">
      <c r="C13272" s="51"/>
      <c r="D13272" s="51"/>
    </row>
    <row r="13273" spans="3:4" x14ac:dyDescent="0.35">
      <c r="C13273" s="51"/>
      <c r="D13273" s="51"/>
    </row>
    <row r="13274" spans="3:4" x14ac:dyDescent="0.35">
      <c r="C13274" s="51"/>
      <c r="D13274" s="51"/>
    </row>
    <row r="13275" spans="3:4" x14ac:dyDescent="0.35">
      <c r="C13275" s="51"/>
      <c r="D13275" s="51"/>
    </row>
    <row r="13276" spans="3:4" x14ac:dyDescent="0.35">
      <c r="C13276" s="51"/>
      <c r="D13276" s="51"/>
    </row>
    <row r="13277" spans="3:4" x14ac:dyDescent="0.35">
      <c r="C13277" s="51"/>
      <c r="D13277" s="51"/>
    </row>
    <row r="13278" spans="3:4" x14ac:dyDescent="0.35">
      <c r="C13278" s="51"/>
      <c r="D13278" s="51"/>
    </row>
    <row r="13279" spans="3:4" x14ac:dyDescent="0.35">
      <c r="C13279" s="51"/>
      <c r="D13279" s="51"/>
    </row>
    <row r="13280" spans="3:4" x14ac:dyDescent="0.35">
      <c r="C13280" s="51"/>
      <c r="D13280" s="51"/>
    </row>
    <row r="13281" spans="3:4" x14ac:dyDescent="0.35">
      <c r="C13281" s="51"/>
      <c r="D13281" s="51"/>
    </row>
    <row r="13282" spans="3:4" x14ac:dyDescent="0.35">
      <c r="C13282" s="51"/>
      <c r="D13282" s="51"/>
    </row>
    <row r="13283" spans="3:4" x14ac:dyDescent="0.35">
      <c r="C13283" s="51"/>
      <c r="D13283" s="51"/>
    </row>
    <row r="13284" spans="3:4" x14ac:dyDescent="0.35">
      <c r="C13284" s="51"/>
      <c r="D13284" s="51"/>
    </row>
    <row r="13285" spans="3:4" x14ac:dyDescent="0.35">
      <c r="C13285" s="51"/>
      <c r="D13285" s="51"/>
    </row>
    <row r="13286" spans="3:4" x14ac:dyDescent="0.35">
      <c r="C13286" s="51"/>
      <c r="D13286" s="51"/>
    </row>
    <row r="13287" spans="3:4" x14ac:dyDescent="0.35">
      <c r="C13287" s="51"/>
      <c r="D13287" s="51"/>
    </row>
    <row r="13288" spans="3:4" x14ac:dyDescent="0.35">
      <c r="C13288" s="51"/>
      <c r="D13288" s="51"/>
    </row>
    <row r="13289" spans="3:4" x14ac:dyDescent="0.35">
      <c r="C13289" s="51"/>
      <c r="D13289" s="51"/>
    </row>
    <row r="13290" spans="3:4" x14ac:dyDescent="0.35">
      <c r="C13290" s="51"/>
      <c r="D13290" s="51"/>
    </row>
    <row r="13291" spans="3:4" x14ac:dyDescent="0.35">
      <c r="C13291" s="51"/>
      <c r="D13291" s="51"/>
    </row>
    <row r="13292" spans="3:4" x14ac:dyDescent="0.35">
      <c r="C13292" s="51"/>
      <c r="D13292" s="51"/>
    </row>
    <row r="13293" spans="3:4" x14ac:dyDescent="0.35">
      <c r="C13293" s="51"/>
      <c r="D13293" s="51"/>
    </row>
    <row r="13294" spans="3:4" x14ac:dyDescent="0.35">
      <c r="C13294" s="51"/>
      <c r="D13294" s="51"/>
    </row>
    <row r="13295" spans="3:4" x14ac:dyDescent="0.35">
      <c r="C13295" s="51"/>
      <c r="D13295" s="51"/>
    </row>
    <row r="13296" spans="3:4" x14ac:dyDescent="0.35">
      <c r="C13296" s="51"/>
      <c r="D13296" s="51"/>
    </row>
    <row r="13297" spans="3:4" x14ac:dyDescent="0.35">
      <c r="C13297" s="51"/>
      <c r="D13297" s="51"/>
    </row>
    <row r="13298" spans="3:4" x14ac:dyDescent="0.35">
      <c r="C13298" s="51"/>
      <c r="D13298" s="51"/>
    </row>
    <row r="13299" spans="3:4" x14ac:dyDescent="0.35">
      <c r="C13299" s="51"/>
      <c r="D13299" s="51"/>
    </row>
    <row r="13300" spans="3:4" x14ac:dyDescent="0.35">
      <c r="C13300" s="51"/>
      <c r="D13300" s="51"/>
    </row>
    <row r="13301" spans="3:4" x14ac:dyDescent="0.35">
      <c r="C13301" s="51"/>
      <c r="D13301" s="51"/>
    </row>
    <row r="13302" spans="3:4" x14ac:dyDescent="0.35">
      <c r="C13302" s="51"/>
      <c r="D13302" s="51"/>
    </row>
    <row r="13303" spans="3:4" x14ac:dyDescent="0.35">
      <c r="C13303" s="51"/>
      <c r="D13303" s="51"/>
    </row>
    <row r="13304" spans="3:4" x14ac:dyDescent="0.35">
      <c r="C13304" s="51"/>
      <c r="D13304" s="51"/>
    </row>
    <row r="13305" spans="3:4" x14ac:dyDescent="0.35">
      <c r="C13305" s="51"/>
      <c r="D13305" s="51"/>
    </row>
    <row r="13306" spans="3:4" x14ac:dyDescent="0.35">
      <c r="C13306" s="51"/>
      <c r="D13306" s="51"/>
    </row>
    <row r="13307" spans="3:4" x14ac:dyDescent="0.35">
      <c r="C13307" s="51"/>
      <c r="D13307" s="51"/>
    </row>
    <row r="13308" spans="3:4" x14ac:dyDescent="0.35">
      <c r="C13308" s="51"/>
      <c r="D13308" s="51"/>
    </row>
    <row r="13309" spans="3:4" x14ac:dyDescent="0.35">
      <c r="C13309" s="51"/>
      <c r="D13309" s="51"/>
    </row>
    <row r="13310" spans="3:4" x14ac:dyDescent="0.35">
      <c r="C13310" s="51"/>
      <c r="D13310" s="51"/>
    </row>
    <row r="13311" spans="3:4" x14ac:dyDescent="0.35">
      <c r="C13311" s="51"/>
      <c r="D13311" s="51"/>
    </row>
    <row r="13312" spans="3:4" x14ac:dyDescent="0.35">
      <c r="C13312" s="51"/>
      <c r="D13312" s="51"/>
    </row>
    <row r="13313" spans="3:4" x14ac:dyDescent="0.35">
      <c r="C13313" s="51"/>
      <c r="D13313" s="51"/>
    </row>
    <row r="13314" spans="3:4" x14ac:dyDescent="0.35">
      <c r="C13314" s="51"/>
      <c r="D13314" s="51"/>
    </row>
    <row r="13315" spans="3:4" x14ac:dyDescent="0.35">
      <c r="C13315" s="51"/>
      <c r="D13315" s="51"/>
    </row>
    <row r="13316" spans="3:4" x14ac:dyDescent="0.35">
      <c r="C13316" s="51"/>
      <c r="D13316" s="51"/>
    </row>
    <row r="13317" spans="3:4" x14ac:dyDescent="0.35">
      <c r="C13317" s="51"/>
      <c r="D13317" s="51"/>
    </row>
    <row r="13318" spans="3:4" x14ac:dyDescent="0.35">
      <c r="C13318" s="51"/>
      <c r="D13318" s="51"/>
    </row>
    <row r="13319" spans="3:4" x14ac:dyDescent="0.35">
      <c r="C13319" s="51"/>
      <c r="D13319" s="51"/>
    </row>
    <row r="13320" spans="3:4" x14ac:dyDescent="0.35">
      <c r="C13320" s="51"/>
      <c r="D13320" s="51"/>
    </row>
    <row r="13321" spans="3:4" x14ac:dyDescent="0.35">
      <c r="C13321" s="51"/>
      <c r="D13321" s="51"/>
    </row>
    <row r="13322" spans="3:4" x14ac:dyDescent="0.35">
      <c r="C13322" s="51"/>
      <c r="D13322" s="51"/>
    </row>
    <row r="13323" spans="3:4" x14ac:dyDescent="0.35">
      <c r="C13323" s="51"/>
      <c r="D13323" s="51"/>
    </row>
    <row r="13324" spans="3:4" x14ac:dyDescent="0.35">
      <c r="C13324" s="51"/>
      <c r="D13324" s="51"/>
    </row>
    <row r="13325" spans="3:4" x14ac:dyDescent="0.35">
      <c r="C13325" s="51"/>
      <c r="D13325" s="51"/>
    </row>
    <row r="13326" spans="3:4" x14ac:dyDescent="0.35">
      <c r="C13326" s="51"/>
      <c r="D13326" s="51"/>
    </row>
    <row r="13327" spans="3:4" x14ac:dyDescent="0.35">
      <c r="C13327" s="51"/>
      <c r="D13327" s="51"/>
    </row>
    <row r="13328" spans="3:4" x14ac:dyDescent="0.35">
      <c r="C13328" s="51"/>
      <c r="D13328" s="51"/>
    </row>
    <row r="13329" spans="3:4" x14ac:dyDescent="0.35">
      <c r="C13329" s="51"/>
      <c r="D13329" s="51"/>
    </row>
    <row r="13330" spans="3:4" x14ac:dyDescent="0.35">
      <c r="C13330" s="51"/>
      <c r="D13330" s="51"/>
    </row>
    <row r="13331" spans="3:4" x14ac:dyDescent="0.35">
      <c r="C13331" s="51"/>
      <c r="D13331" s="51"/>
    </row>
    <row r="13332" spans="3:4" x14ac:dyDescent="0.35">
      <c r="C13332" s="51"/>
      <c r="D13332" s="51"/>
    </row>
    <row r="13333" spans="3:4" x14ac:dyDescent="0.35">
      <c r="C13333" s="51"/>
      <c r="D13333" s="51"/>
    </row>
    <row r="13334" spans="3:4" x14ac:dyDescent="0.35">
      <c r="C13334" s="51"/>
      <c r="D13334" s="51"/>
    </row>
    <row r="13335" spans="3:4" x14ac:dyDescent="0.35">
      <c r="C13335" s="51"/>
      <c r="D13335" s="51"/>
    </row>
    <row r="13336" spans="3:4" x14ac:dyDescent="0.35">
      <c r="C13336" s="51"/>
      <c r="D13336" s="51"/>
    </row>
    <row r="13337" spans="3:4" x14ac:dyDescent="0.35">
      <c r="C13337" s="51"/>
      <c r="D13337" s="51"/>
    </row>
    <row r="13338" spans="3:4" x14ac:dyDescent="0.35">
      <c r="C13338" s="51"/>
      <c r="D13338" s="51"/>
    </row>
    <row r="13339" spans="3:4" x14ac:dyDescent="0.35">
      <c r="C13339" s="51"/>
      <c r="D13339" s="51"/>
    </row>
    <row r="13340" spans="3:4" x14ac:dyDescent="0.35">
      <c r="C13340" s="51"/>
      <c r="D13340" s="51"/>
    </row>
    <row r="13341" spans="3:4" x14ac:dyDescent="0.35">
      <c r="C13341" s="51"/>
      <c r="D13341" s="51"/>
    </row>
    <row r="13342" spans="3:4" x14ac:dyDescent="0.35">
      <c r="C13342" s="51"/>
      <c r="D13342" s="51"/>
    </row>
    <row r="13343" spans="3:4" x14ac:dyDescent="0.35">
      <c r="C13343" s="51"/>
      <c r="D13343" s="51"/>
    </row>
    <row r="13344" spans="3:4" x14ac:dyDescent="0.35">
      <c r="C13344" s="51"/>
      <c r="D13344" s="51"/>
    </row>
    <row r="13345" spans="3:4" x14ac:dyDescent="0.35">
      <c r="C13345" s="51"/>
      <c r="D13345" s="51"/>
    </row>
    <row r="13346" spans="3:4" x14ac:dyDescent="0.35">
      <c r="C13346" s="51"/>
      <c r="D13346" s="51"/>
    </row>
    <row r="13347" spans="3:4" x14ac:dyDescent="0.35">
      <c r="C13347" s="51"/>
      <c r="D13347" s="51"/>
    </row>
    <row r="13348" spans="3:4" x14ac:dyDescent="0.35">
      <c r="C13348" s="51"/>
      <c r="D13348" s="51"/>
    </row>
    <row r="13349" spans="3:4" x14ac:dyDescent="0.35">
      <c r="C13349" s="51"/>
      <c r="D13349" s="51"/>
    </row>
    <row r="13350" spans="3:4" x14ac:dyDescent="0.35">
      <c r="C13350" s="51"/>
      <c r="D13350" s="51"/>
    </row>
    <row r="13351" spans="3:4" x14ac:dyDescent="0.35">
      <c r="C13351" s="51"/>
      <c r="D13351" s="51"/>
    </row>
    <row r="13352" spans="3:4" x14ac:dyDescent="0.35">
      <c r="C13352" s="51"/>
      <c r="D13352" s="51"/>
    </row>
    <row r="13353" spans="3:4" x14ac:dyDescent="0.35">
      <c r="C13353" s="51"/>
      <c r="D13353" s="51"/>
    </row>
    <row r="13354" spans="3:4" x14ac:dyDescent="0.35">
      <c r="C13354" s="51"/>
      <c r="D13354" s="51"/>
    </row>
    <row r="13355" spans="3:4" x14ac:dyDescent="0.35">
      <c r="C13355" s="51"/>
      <c r="D13355" s="51"/>
    </row>
    <row r="13356" spans="3:4" x14ac:dyDescent="0.35">
      <c r="C13356" s="51"/>
      <c r="D13356" s="51"/>
    </row>
    <row r="13357" spans="3:4" x14ac:dyDescent="0.35">
      <c r="C13357" s="51"/>
      <c r="D13357" s="51"/>
    </row>
    <row r="13358" spans="3:4" x14ac:dyDescent="0.35">
      <c r="C13358" s="51"/>
      <c r="D13358" s="51"/>
    </row>
    <row r="13359" spans="3:4" x14ac:dyDescent="0.35">
      <c r="C13359" s="51"/>
      <c r="D13359" s="51"/>
    </row>
    <row r="13360" spans="3:4" x14ac:dyDescent="0.35">
      <c r="C13360" s="51"/>
      <c r="D13360" s="51"/>
    </row>
    <row r="13361" spans="3:4" x14ac:dyDescent="0.35">
      <c r="C13361" s="51"/>
      <c r="D13361" s="51"/>
    </row>
    <row r="13362" spans="3:4" x14ac:dyDescent="0.35">
      <c r="C13362" s="51"/>
      <c r="D13362" s="51"/>
    </row>
    <row r="13363" spans="3:4" x14ac:dyDescent="0.35">
      <c r="C13363" s="51"/>
      <c r="D13363" s="51"/>
    </row>
    <row r="13364" spans="3:4" x14ac:dyDescent="0.35">
      <c r="C13364" s="51"/>
      <c r="D13364" s="51"/>
    </row>
    <row r="13365" spans="3:4" x14ac:dyDescent="0.35">
      <c r="C13365" s="51"/>
      <c r="D13365" s="51"/>
    </row>
    <row r="13366" spans="3:4" x14ac:dyDescent="0.35">
      <c r="C13366" s="51"/>
      <c r="D13366" s="51"/>
    </row>
    <row r="13367" spans="3:4" x14ac:dyDescent="0.35">
      <c r="C13367" s="51"/>
      <c r="D13367" s="51"/>
    </row>
    <row r="13368" spans="3:4" x14ac:dyDescent="0.35">
      <c r="C13368" s="51"/>
      <c r="D13368" s="51"/>
    </row>
    <row r="13369" spans="3:4" x14ac:dyDescent="0.35">
      <c r="C13369" s="51"/>
      <c r="D13369" s="51"/>
    </row>
    <row r="13370" spans="3:4" x14ac:dyDescent="0.35">
      <c r="C13370" s="51"/>
      <c r="D13370" s="51"/>
    </row>
    <row r="13371" spans="3:4" x14ac:dyDescent="0.35">
      <c r="C13371" s="51"/>
      <c r="D13371" s="51"/>
    </row>
    <row r="13372" spans="3:4" x14ac:dyDescent="0.35">
      <c r="C13372" s="51"/>
      <c r="D13372" s="51"/>
    </row>
    <row r="13373" spans="3:4" x14ac:dyDescent="0.35">
      <c r="C13373" s="51"/>
      <c r="D13373" s="51"/>
    </row>
    <row r="13374" spans="3:4" x14ac:dyDescent="0.35">
      <c r="C13374" s="51"/>
      <c r="D13374" s="51"/>
    </row>
    <row r="13375" spans="3:4" x14ac:dyDescent="0.35">
      <c r="C13375" s="51"/>
      <c r="D13375" s="51"/>
    </row>
    <row r="13376" spans="3:4" x14ac:dyDescent="0.35">
      <c r="C13376" s="51"/>
      <c r="D13376" s="51"/>
    </row>
    <row r="13377" spans="3:4" x14ac:dyDescent="0.35">
      <c r="C13377" s="51"/>
      <c r="D13377" s="51"/>
    </row>
    <row r="13378" spans="3:4" x14ac:dyDescent="0.35">
      <c r="C13378" s="51"/>
      <c r="D13378" s="51"/>
    </row>
    <row r="13379" spans="3:4" x14ac:dyDescent="0.35">
      <c r="C13379" s="51"/>
      <c r="D13379" s="51"/>
    </row>
    <row r="13380" spans="3:4" x14ac:dyDescent="0.35">
      <c r="C13380" s="51"/>
      <c r="D13380" s="51"/>
    </row>
    <row r="13381" spans="3:4" x14ac:dyDescent="0.35">
      <c r="C13381" s="51"/>
      <c r="D13381" s="51"/>
    </row>
    <row r="13382" spans="3:4" x14ac:dyDescent="0.35">
      <c r="C13382" s="51"/>
      <c r="D13382" s="51"/>
    </row>
    <row r="13383" spans="3:4" x14ac:dyDescent="0.35">
      <c r="C13383" s="51"/>
      <c r="D13383" s="51"/>
    </row>
    <row r="13384" spans="3:4" x14ac:dyDescent="0.35">
      <c r="C13384" s="51"/>
      <c r="D13384" s="51"/>
    </row>
    <row r="13385" spans="3:4" x14ac:dyDescent="0.35">
      <c r="C13385" s="51"/>
      <c r="D13385" s="51"/>
    </row>
    <row r="13386" spans="3:4" x14ac:dyDescent="0.35">
      <c r="C13386" s="51"/>
      <c r="D13386" s="51"/>
    </row>
    <row r="13387" spans="3:4" x14ac:dyDescent="0.35">
      <c r="C13387" s="51"/>
      <c r="D13387" s="51"/>
    </row>
    <row r="13388" spans="3:4" x14ac:dyDescent="0.35">
      <c r="C13388" s="51"/>
      <c r="D13388" s="51"/>
    </row>
    <row r="13389" spans="3:4" x14ac:dyDescent="0.35">
      <c r="C13389" s="51"/>
      <c r="D13389" s="51"/>
    </row>
    <row r="13390" spans="3:4" x14ac:dyDescent="0.35">
      <c r="C13390" s="51"/>
      <c r="D13390" s="51"/>
    </row>
    <row r="13391" spans="3:4" x14ac:dyDescent="0.35">
      <c r="C13391" s="51"/>
      <c r="D13391" s="51"/>
    </row>
    <row r="13392" spans="3:4" x14ac:dyDescent="0.35">
      <c r="C13392" s="51"/>
      <c r="D13392" s="51"/>
    </row>
    <row r="13393" spans="3:4" x14ac:dyDescent="0.35">
      <c r="C13393" s="51"/>
      <c r="D13393" s="51"/>
    </row>
    <row r="13394" spans="3:4" x14ac:dyDescent="0.35">
      <c r="C13394" s="51"/>
      <c r="D13394" s="51"/>
    </row>
    <row r="13395" spans="3:4" x14ac:dyDescent="0.35">
      <c r="C13395" s="51"/>
      <c r="D13395" s="51"/>
    </row>
    <row r="13396" spans="3:4" x14ac:dyDescent="0.35">
      <c r="C13396" s="51"/>
      <c r="D13396" s="51"/>
    </row>
    <row r="13397" spans="3:4" x14ac:dyDescent="0.35">
      <c r="C13397" s="51"/>
      <c r="D13397" s="51"/>
    </row>
    <row r="13398" spans="3:4" x14ac:dyDescent="0.35">
      <c r="C13398" s="51"/>
      <c r="D13398" s="51"/>
    </row>
    <row r="13399" spans="3:4" x14ac:dyDescent="0.35">
      <c r="C13399" s="51"/>
      <c r="D13399" s="51"/>
    </row>
    <row r="13400" spans="3:4" x14ac:dyDescent="0.35">
      <c r="C13400" s="51"/>
      <c r="D13400" s="51"/>
    </row>
    <row r="13401" spans="3:4" x14ac:dyDescent="0.35">
      <c r="C13401" s="51"/>
      <c r="D13401" s="51"/>
    </row>
    <row r="13402" spans="3:4" x14ac:dyDescent="0.35">
      <c r="C13402" s="51"/>
      <c r="D13402" s="51"/>
    </row>
    <row r="13403" spans="3:4" x14ac:dyDescent="0.35">
      <c r="C13403" s="51"/>
      <c r="D13403" s="51"/>
    </row>
    <row r="13404" spans="3:4" x14ac:dyDescent="0.35">
      <c r="C13404" s="51"/>
      <c r="D13404" s="51"/>
    </row>
    <row r="13405" spans="3:4" x14ac:dyDescent="0.35">
      <c r="C13405" s="51"/>
      <c r="D13405" s="51"/>
    </row>
    <row r="13406" spans="3:4" x14ac:dyDescent="0.35">
      <c r="C13406" s="51"/>
      <c r="D13406" s="51"/>
    </row>
    <row r="13407" spans="3:4" x14ac:dyDescent="0.35">
      <c r="C13407" s="51"/>
      <c r="D13407" s="51"/>
    </row>
    <row r="13408" spans="3:4" x14ac:dyDescent="0.35">
      <c r="C13408" s="51"/>
      <c r="D13408" s="51"/>
    </row>
    <row r="13409" spans="3:4" x14ac:dyDescent="0.35">
      <c r="C13409" s="51"/>
      <c r="D13409" s="51"/>
    </row>
    <row r="13410" spans="3:4" x14ac:dyDescent="0.35">
      <c r="C13410" s="51"/>
      <c r="D13410" s="51"/>
    </row>
    <row r="13411" spans="3:4" x14ac:dyDescent="0.35">
      <c r="C13411" s="51"/>
      <c r="D13411" s="51"/>
    </row>
    <row r="13412" spans="3:4" x14ac:dyDescent="0.35">
      <c r="C13412" s="51"/>
      <c r="D13412" s="51"/>
    </row>
    <row r="13413" spans="3:4" x14ac:dyDescent="0.35">
      <c r="C13413" s="51"/>
      <c r="D13413" s="51"/>
    </row>
    <row r="13414" spans="3:4" x14ac:dyDescent="0.35">
      <c r="C13414" s="51"/>
      <c r="D13414" s="51"/>
    </row>
    <row r="13415" spans="3:4" x14ac:dyDescent="0.35">
      <c r="C13415" s="51"/>
      <c r="D13415" s="51"/>
    </row>
    <row r="13416" spans="3:4" x14ac:dyDescent="0.35">
      <c r="C13416" s="51"/>
      <c r="D13416" s="51"/>
    </row>
    <row r="13417" spans="3:4" x14ac:dyDescent="0.35">
      <c r="C13417" s="51"/>
      <c r="D13417" s="51"/>
    </row>
    <row r="13418" spans="3:4" x14ac:dyDescent="0.35">
      <c r="C13418" s="51"/>
      <c r="D13418" s="51"/>
    </row>
    <row r="13419" spans="3:4" x14ac:dyDescent="0.35">
      <c r="C13419" s="51"/>
      <c r="D13419" s="51"/>
    </row>
    <row r="13420" spans="3:4" x14ac:dyDescent="0.35">
      <c r="C13420" s="51"/>
      <c r="D13420" s="51"/>
    </row>
    <row r="13421" spans="3:4" x14ac:dyDescent="0.35">
      <c r="C13421" s="51"/>
      <c r="D13421" s="51"/>
    </row>
    <row r="13422" spans="3:4" x14ac:dyDescent="0.35">
      <c r="C13422" s="51"/>
      <c r="D13422" s="51"/>
    </row>
    <row r="13423" spans="3:4" x14ac:dyDescent="0.35">
      <c r="C13423" s="51"/>
      <c r="D13423" s="51"/>
    </row>
    <row r="13424" spans="3:4" x14ac:dyDescent="0.35">
      <c r="C13424" s="51"/>
      <c r="D13424" s="51"/>
    </row>
    <row r="13425" spans="3:4" x14ac:dyDescent="0.35">
      <c r="C13425" s="51"/>
      <c r="D13425" s="51"/>
    </row>
    <row r="13426" spans="3:4" x14ac:dyDescent="0.35">
      <c r="C13426" s="51"/>
      <c r="D13426" s="51"/>
    </row>
    <row r="13427" spans="3:4" x14ac:dyDescent="0.35">
      <c r="C13427" s="51"/>
      <c r="D13427" s="51"/>
    </row>
    <row r="13428" spans="3:4" x14ac:dyDescent="0.35">
      <c r="C13428" s="51"/>
      <c r="D13428" s="51"/>
    </row>
    <row r="13429" spans="3:4" x14ac:dyDescent="0.35">
      <c r="C13429" s="51"/>
      <c r="D13429" s="51"/>
    </row>
    <row r="13430" spans="3:4" x14ac:dyDescent="0.35">
      <c r="C13430" s="51"/>
      <c r="D13430" s="51"/>
    </row>
    <row r="13431" spans="3:4" x14ac:dyDescent="0.35">
      <c r="C13431" s="51"/>
      <c r="D13431" s="51"/>
    </row>
    <row r="13432" spans="3:4" x14ac:dyDescent="0.35">
      <c r="C13432" s="51"/>
      <c r="D13432" s="51"/>
    </row>
    <row r="13433" spans="3:4" x14ac:dyDescent="0.35">
      <c r="C13433" s="51"/>
      <c r="D13433" s="51"/>
    </row>
    <row r="13434" spans="3:4" x14ac:dyDescent="0.35">
      <c r="C13434" s="51"/>
      <c r="D13434" s="51"/>
    </row>
    <row r="13435" spans="3:4" x14ac:dyDescent="0.35">
      <c r="C13435" s="51"/>
      <c r="D13435" s="51"/>
    </row>
    <row r="13436" spans="3:4" x14ac:dyDescent="0.35">
      <c r="C13436" s="51"/>
      <c r="D13436" s="51"/>
    </row>
    <row r="13437" spans="3:4" x14ac:dyDescent="0.35">
      <c r="C13437" s="51"/>
      <c r="D13437" s="51"/>
    </row>
    <row r="13438" spans="3:4" x14ac:dyDescent="0.35">
      <c r="C13438" s="51"/>
      <c r="D13438" s="51"/>
    </row>
    <row r="13439" spans="3:4" x14ac:dyDescent="0.35">
      <c r="C13439" s="51"/>
      <c r="D13439" s="51"/>
    </row>
    <row r="13440" spans="3:4" x14ac:dyDescent="0.35">
      <c r="C13440" s="51"/>
      <c r="D13440" s="51"/>
    </row>
    <row r="13441" spans="3:4" x14ac:dyDescent="0.35">
      <c r="C13441" s="51"/>
      <c r="D13441" s="51"/>
    </row>
    <row r="13442" spans="3:4" x14ac:dyDescent="0.35">
      <c r="C13442" s="51"/>
      <c r="D13442" s="51"/>
    </row>
    <row r="13443" spans="3:4" x14ac:dyDescent="0.35">
      <c r="C13443" s="51"/>
      <c r="D13443" s="51"/>
    </row>
    <row r="13444" spans="3:4" x14ac:dyDescent="0.35">
      <c r="C13444" s="51"/>
      <c r="D13444" s="51"/>
    </row>
    <row r="13445" spans="3:4" x14ac:dyDescent="0.35">
      <c r="C13445" s="51"/>
      <c r="D13445" s="51"/>
    </row>
    <row r="13446" spans="3:4" x14ac:dyDescent="0.35">
      <c r="C13446" s="51"/>
      <c r="D13446" s="51"/>
    </row>
    <row r="13447" spans="3:4" x14ac:dyDescent="0.35">
      <c r="C13447" s="51"/>
      <c r="D13447" s="51"/>
    </row>
    <row r="13448" spans="3:4" x14ac:dyDescent="0.35">
      <c r="C13448" s="51"/>
      <c r="D13448" s="51"/>
    </row>
    <row r="13449" spans="3:4" x14ac:dyDescent="0.35">
      <c r="C13449" s="51"/>
      <c r="D13449" s="51"/>
    </row>
    <row r="13450" spans="3:4" x14ac:dyDescent="0.35">
      <c r="C13450" s="51"/>
      <c r="D13450" s="51"/>
    </row>
    <row r="13451" spans="3:4" x14ac:dyDescent="0.35">
      <c r="C13451" s="51"/>
      <c r="D13451" s="51"/>
    </row>
    <row r="13452" spans="3:4" x14ac:dyDescent="0.35">
      <c r="C13452" s="51"/>
      <c r="D13452" s="51"/>
    </row>
    <row r="13453" spans="3:4" x14ac:dyDescent="0.35">
      <c r="C13453" s="51"/>
      <c r="D13453" s="51"/>
    </row>
    <row r="13454" spans="3:4" x14ac:dyDescent="0.35">
      <c r="C13454" s="51"/>
      <c r="D13454" s="51"/>
    </row>
    <row r="13455" spans="3:4" x14ac:dyDescent="0.35">
      <c r="C13455" s="51"/>
      <c r="D13455" s="51"/>
    </row>
    <row r="13456" spans="3:4" x14ac:dyDescent="0.35">
      <c r="C13456" s="51"/>
      <c r="D13456" s="51"/>
    </row>
    <row r="13457" spans="3:4" x14ac:dyDescent="0.35">
      <c r="C13457" s="51"/>
      <c r="D13457" s="51"/>
    </row>
    <row r="13458" spans="3:4" x14ac:dyDescent="0.35">
      <c r="C13458" s="51"/>
      <c r="D13458" s="51"/>
    </row>
    <row r="13459" spans="3:4" x14ac:dyDescent="0.35">
      <c r="C13459" s="51"/>
      <c r="D13459" s="51"/>
    </row>
    <row r="13460" spans="3:4" x14ac:dyDescent="0.35">
      <c r="C13460" s="51"/>
      <c r="D13460" s="51"/>
    </row>
    <row r="13461" spans="3:4" x14ac:dyDescent="0.35">
      <c r="C13461" s="51"/>
      <c r="D13461" s="51"/>
    </row>
    <row r="13462" spans="3:4" x14ac:dyDescent="0.35">
      <c r="C13462" s="51"/>
      <c r="D13462" s="51"/>
    </row>
    <row r="13463" spans="3:4" x14ac:dyDescent="0.35">
      <c r="C13463" s="51"/>
      <c r="D13463" s="51"/>
    </row>
    <row r="13464" spans="3:4" x14ac:dyDescent="0.35">
      <c r="C13464" s="51"/>
      <c r="D13464" s="51"/>
    </row>
    <row r="13465" spans="3:4" x14ac:dyDescent="0.35">
      <c r="C13465" s="51"/>
      <c r="D13465" s="51"/>
    </row>
    <row r="13466" spans="3:4" x14ac:dyDescent="0.35">
      <c r="C13466" s="51"/>
      <c r="D13466" s="51"/>
    </row>
    <row r="13467" spans="3:4" x14ac:dyDescent="0.35">
      <c r="C13467" s="51"/>
      <c r="D13467" s="51"/>
    </row>
    <row r="13468" spans="3:4" x14ac:dyDescent="0.35">
      <c r="C13468" s="51"/>
      <c r="D13468" s="51"/>
    </row>
    <row r="13469" spans="3:4" x14ac:dyDescent="0.35">
      <c r="C13469" s="51"/>
      <c r="D13469" s="51"/>
    </row>
    <row r="13470" spans="3:4" x14ac:dyDescent="0.35">
      <c r="C13470" s="51"/>
      <c r="D13470" s="51"/>
    </row>
    <row r="13471" spans="3:4" x14ac:dyDescent="0.35">
      <c r="C13471" s="51"/>
      <c r="D13471" s="51"/>
    </row>
    <row r="13472" spans="3:4" x14ac:dyDescent="0.35">
      <c r="C13472" s="51"/>
      <c r="D13472" s="51"/>
    </row>
    <row r="13473" spans="3:4" x14ac:dyDescent="0.35">
      <c r="C13473" s="51"/>
      <c r="D13473" s="51"/>
    </row>
    <row r="13474" spans="3:4" x14ac:dyDescent="0.35">
      <c r="C13474" s="51"/>
      <c r="D13474" s="51"/>
    </row>
    <row r="13475" spans="3:4" x14ac:dyDescent="0.35">
      <c r="C13475" s="51"/>
      <c r="D13475" s="51"/>
    </row>
    <row r="13476" spans="3:4" x14ac:dyDescent="0.35">
      <c r="C13476" s="51"/>
      <c r="D13476" s="51"/>
    </row>
    <row r="13477" spans="3:4" x14ac:dyDescent="0.35">
      <c r="C13477" s="51"/>
      <c r="D13477" s="51"/>
    </row>
    <row r="13478" spans="3:4" x14ac:dyDescent="0.35">
      <c r="C13478" s="51"/>
      <c r="D13478" s="51"/>
    </row>
    <row r="13479" spans="3:4" x14ac:dyDescent="0.35">
      <c r="C13479" s="51"/>
      <c r="D13479" s="51"/>
    </row>
    <row r="13480" spans="3:4" x14ac:dyDescent="0.35">
      <c r="C13480" s="51"/>
      <c r="D13480" s="51"/>
    </row>
    <row r="13481" spans="3:4" x14ac:dyDescent="0.35">
      <c r="C13481" s="51"/>
      <c r="D13481" s="51"/>
    </row>
    <row r="13482" spans="3:4" x14ac:dyDescent="0.35">
      <c r="C13482" s="51"/>
      <c r="D13482" s="51"/>
    </row>
    <row r="13483" spans="3:4" x14ac:dyDescent="0.35">
      <c r="C13483" s="51"/>
      <c r="D13483" s="51"/>
    </row>
    <row r="13484" spans="3:4" x14ac:dyDescent="0.35">
      <c r="C13484" s="51"/>
      <c r="D13484" s="51"/>
    </row>
    <row r="13485" spans="3:4" x14ac:dyDescent="0.35">
      <c r="C13485" s="51"/>
      <c r="D13485" s="51"/>
    </row>
    <row r="13486" spans="3:4" x14ac:dyDescent="0.35">
      <c r="C13486" s="51"/>
      <c r="D13486" s="51"/>
    </row>
    <row r="13487" spans="3:4" x14ac:dyDescent="0.35">
      <c r="C13487" s="51"/>
      <c r="D13487" s="51"/>
    </row>
    <row r="13488" spans="3:4" x14ac:dyDescent="0.35">
      <c r="C13488" s="51"/>
      <c r="D13488" s="51"/>
    </row>
    <row r="13489" spans="3:4" x14ac:dyDescent="0.35">
      <c r="C13489" s="51"/>
      <c r="D13489" s="51"/>
    </row>
    <row r="13490" spans="3:4" x14ac:dyDescent="0.35">
      <c r="C13490" s="51"/>
      <c r="D13490" s="51"/>
    </row>
    <row r="13491" spans="3:4" x14ac:dyDescent="0.35">
      <c r="C13491" s="51"/>
      <c r="D13491" s="51"/>
    </row>
    <row r="13492" spans="3:4" x14ac:dyDescent="0.35">
      <c r="C13492" s="51"/>
      <c r="D13492" s="51"/>
    </row>
    <row r="13493" spans="3:4" x14ac:dyDescent="0.35">
      <c r="C13493" s="51"/>
      <c r="D13493" s="51"/>
    </row>
    <row r="13494" spans="3:4" x14ac:dyDescent="0.35">
      <c r="C13494" s="51"/>
      <c r="D13494" s="51"/>
    </row>
    <row r="13495" spans="3:4" x14ac:dyDescent="0.35">
      <c r="C13495" s="51"/>
      <c r="D13495" s="51"/>
    </row>
    <row r="13496" spans="3:4" x14ac:dyDescent="0.35">
      <c r="C13496" s="51"/>
      <c r="D13496" s="51"/>
    </row>
    <row r="13497" spans="3:4" x14ac:dyDescent="0.35">
      <c r="C13497" s="51"/>
      <c r="D13497" s="51"/>
    </row>
    <row r="13498" spans="3:4" x14ac:dyDescent="0.35">
      <c r="C13498" s="51"/>
      <c r="D13498" s="51"/>
    </row>
    <row r="13499" spans="3:4" x14ac:dyDescent="0.35">
      <c r="C13499" s="51"/>
      <c r="D13499" s="51"/>
    </row>
    <row r="13500" spans="3:4" x14ac:dyDescent="0.35">
      <c r="C13500" s="51"/>
      <c r="D13500" s="51"/>
    </row>
    <row r="13501" spans="3:4" x14ac:dyDescent="0.35">
      <c r="C13501" s="51"/>
      <c r="D13501" s="51"/>
    </row>
    <row r="13502" spans="3:4" x14ac:dyDescent="0.35">
      <c r="C13502" s="51"/>
      <c r="D13502" s="51"/>
    </row>
    <row r="13503" spans="3:4" x14ac:dyDescent="0.35">
      <c r="C13503" s="51"/>
      <c r="D13503" s="51"/>
    </row>
    <row r="13504" spans="3:4" x14ac:dyDescent="0.35">
      <c r="C13504" s="51"/>
      <c r="D13504" s="51"/>
    </row>
    <row r="13505" spans="3:4" x14ac:dyDescent="0.35">
      <c r="C13505" s="51"/>
      <c r="D13505" s="51"/>
    </row>
    <row r="13506" spans="3:4" x14ac:dyDescent="0.35">
      <c r="C13506" s="51"/>
      <c r="D13506" s="51"/>
    </row>
    <row r="13507" spans="3:4" x14ac:dyDescent="0.35">
      <c r="C13507" s="51"/>
      <c r="D13507" s="51"/>
    </row>
    <row r="13508" spans="3:4" x14ac:dyDescent="0.35">
      <c r="C13508" s="51"/>
      <c r="D13508" s="51"/>
    </row>
    <row r="13509" spans="3:4" x14ac:dyDescent="0.35">
      <c r="C13509" s="51"/>
      <c r="D13509" s="51"/>
    </row>
    <row r="13510" spans="3:4" x14ac:dyDescent="0.35">
      <c r="C13510" s="51"/>
      <c r="D13510" s="51"/>
    </row>
    <row r="13511" spans="3:4" x14ac:dyDescent="0.35">
      <c r="C13511" s="51"/>
      <c r="D13511" s="51"/>
    </row>
    <row r="13512" spans="3:4" x14ac:dyDescent="0.35">
      <c r="C13512" s="51"/>
      <c r="D13512" s="51"/>
    </row>
    <row r="13513" spans="3:4" x14ac:dyDescent="0.35">
      <c r="C13513" s="51"/>
      <c r="D13513" s="51"/>
    </row>
    <row r="13514" spans="3:4" x14ac:dyDescent="0.35">
      <c r="C13514" s="51"/>
      <c r="D13514" s="51"/>
    </row>
    <row r="13515" spans="3:4" x14ac:dyDescent="0.35">
      <c r="C13515" s="51"/>
      <c r="D13515" s="51"/>
    </row>
    <row r="13516" spans="3:4" x14ac:dyDescent="0.35">
      <c r="C13516" s="51"/>
      <c r="D13516" s="51"/>
    </row>
    <row r="13517" spans="3:4" x14ac:dyDescent="0.35">
      <c r="C13517" s="51"/>
      <c r="D13517" s="51"/>
    </row>
    <row r="13518" spans="3:4" x14ac:dyDescent="0.35">
      <c r="C13518" s="51"/>
      <c r="D13518" s="51"/>
    </row>
    <row r="13519" spans="3:4" x14ac:dyDescent="0.35">
      <c r="C13519" s="51"/>
      <c r="D13519" s="51"/>
    </row>
    <row r="13520" spans="3:4" x14ac:dyDescent="0.35">
      <c r="C13520" s="51"/>
      <c r="D13520" s="51"/>
    </row>
    <row r="13521" spans="3:4" x14ac:dyDescent="0.35">
      <c r="C13521" s="51"/>
      <c r="D13521" s="51"/>
    </row>
    <row r="13522" spans="3:4" x14ac:dyDescent="0.35">
      <c r="C13522" s="51"/>
      <c r="D13522" s="51"/>
    </row>
    <row r="13523" spans="3:4" x14ac:dyDescent="0.35">
      <c r="C13523" s="51"/>
      <c r="D13523" s="51"/>
    </row>
    <row r="13524" spans="3:4" x14ac:dyDescent="0.35">
      <c r="C13524" s="51"/>
      <c r="D13524" s="51"/>
    </row>
    <row r="13525" spans="3:4" x14ac:dyDescent="0.35">
      <c r="C13525" s="51"/>
      <c r="D13525" s="51"/>
    </row>
    <row r="13526" spans="3:4" x14ac:dyDescent="0.35">
      <c r="C13526" s="51"/>
      <c r="D13526" s="51"/>
    </row>
    <row r="13527" spans="3:4" x14ac:dyDescent="0.35">
      <c r="C13527" s="51"/>
      <c r="D13527" s="51"/>
    </row>
    <row r="13528" spans="3:4" x14ac:dyDescent="0.35">
      <c r="C13528" s="51"/>
      <c r="D13528" s="51"/>
    </row>
    <row r="13529" spans="3:4" x14ac:dyDescent="0.35">
      <c r="C13529" s="51"/>
      <c r="D13529" s="51"/>
    </row>
    <row r="13530" spans="3:4" x14ac:dyDescent="0.35">
      <c r="C13530" s="51"/>
      <c r="D13530" s="51"/>
    </row>
    <row r="13531" spans="3:4" x14ac:dyDescent="0.35">
      <c r="C13531" s="51"/>
      <c r="D13531" s="51"/>
    </row>
    <row r="13532" spans="3:4" x14ac:dyDescent="0.35">
      <c r="C13532" s="51"/>
      <c r="D13532" s="51"/>
    </row>
    <row r="13533" spans="3:4" x14ac:dyDescent="0.35">
      <c r="C13533" s="51"/>
      <c r="D13533" s="51"/>
    </row>
    <row r="13534" spans="3:4" x14ac:dyDescent="0.35">
      <c r="C13534" s="51"/>
      <c r="D13534" s="51"/>
    </row>
    <row r="13535" spans="3:4" x14ac:dyDescent="0.35">
      <c r="C13535" s="51"/>
      <c r="D13535" s="51"/>
    </row>
    <row r="13536" spans="3:4" x14ac:dyDescent="0.35">
      <c r="C13536" s="51"/>
      <c r="D13536" s="51"/>
    </row>
    <row r="13537" spans="3:4" x14ac:dyDescent="0.35">
      <c r="C13537" s="51"/>
      <c r="D13537" s="51"/>
    </row>
    <row r="13538" spans="3:4" x14ac:dyDescent="0.35">
      <c r="C13538" s="51"/>
      <c r="D13538" s="51"/>
    </row>
    <row r="13539" spans="3:4" x14ac:dyDescent="0.35">
      <c r="C13539" s="51"/>
      <c r="D13539" s="51"/>
    </row>
    <row r="13540" spans="3:4" x14ac:dyDescent="0.35">
      <c r="C13540" s="51"/>
      <c r="D13540" s="51"/>
    </row>
    <row r="13541" spans="3:4" x14ac:dyDescent="0.35">
      <c r="C13541" s="51"/>
      <c r="D13541" s="51"/>
    </row>
    <row r="13542" spans="3:4" x14ac:dyDescent="0.35">
      <c r="C13542" s="51"/>
      <c r="D13542" s="51"/>
    </row>
    <row r="13543" spans="3:4" x14ac:dyDescent="0.35">
      <c r="C13543" s="51"/>
      <c r="D13543" s="51"/>
    </row>
    <row r="13544" spans="3:4" x14ac:dyDescent="0.35">
      <c r="C13544" s="51"/>
      <c r="D13544" s="51"/>
    </row>
    <row r="13545" spans="3:4" x14ac:dyDescent="0.35">
      <c r="C13545" s="51"/>
      <c r="D13545" s="51"/>
    </row>
    <row r="13546" spans="3:4" x14ac:dyDescent="0.35">
      <c r="C13546" s="51"/>
      <c r="D13546" s="51"/>
    </row>
    <row r="13547" spans="3:4" x14ac:dyDescent="0.35">
      <c r="C13547" s="51"/>
      <c r="D13547" s="51"/>
    </row>
    <row r="13548" spans="3:4" x14ac:dyDescent="0.35">
      <c r="C13548" s="51"/>
      <c r="D13548" s="51"/>
    </row>
    <row r="13549" spans="3:4" x14ac:dyDescent="0.35">
      <c r="C13549" s="51"/>
      <c r="D13549" s="51"/>
    </row>
    <row r="13550" spans="3:4" x14ac:dyDescent="0.35">
      <c r="C13550" s="51"/>
      <c r="D13550" s="51"/>
    </row>
    <row r="13551" spans="3:4" x14ac:dyDescent="0.35">
      <c r="C13551" s="51"/>
      <c r="D13551" s="51"/>
    </row>
    <row r="13552" spans="3:4" x14ac:dyDescent="0.35">
      <c r="C13552" s="51"/>
      <c r="D13552" s="51"/>
    </row>
    <row r="13553" spans="3:4" x14ac:dyDescent="0.35">
      <c r="C13553" s="51"/>
      <c r="D13553" s="51"/>
    </row>
    <row r="13554" spans="3:4" x14ac:dyDescent="0.35">
      <c r="C13554" s="51"/>
      <c r="D13554" s="51"/>
    </row>
    <row r="13555" spans="3:4" x14ac:dyDescent="0.35">
      <c r="C13555" s="51"/>
      <c r="D13555" s="51"/>
    </row>
    <row r="13556" spans="3:4" x14ac:dyDescent="0.35">
      <c r="C13556" s="51"/>
      <c r="D13556" s="51"/>
    </row>
    <row r="13557" spans="3:4" x14ac:dyDescent="0.35">
      <c r="C13557" s="51"/>
      <c r="D13557" s="51"/>
    </row>
    <row r="13558" spans="3:4" x14ac:dyDescent="0.35">
      <c r="C13558" s="51"/>
      <c r="D13558" s="51"/>
    </row>
    <row r="13559" spans="3:4" x14ac:dyDescent="0.35">
      <c r="C13559" s="51"/>
      <c r="D13559" s="51"/>
    </row>
    <row r="13560" spans="3:4" x14ac:dyDescent="0.35">
      <c r="C13560" s="51"/>
      <c r="D13560" s="51"/>
    </row>
    <row r="13561" spans="3:4" x14ac:dyDescent="0.35">
      <c r="C13561" s="51"/>
      <c r="D13561" s="51"/>
    </row>
    <row r="13562" spans="3:4" x14ac:dyDescent="0.35">
      <c r="C13562" s="51"/>
      <c r="D13562" s="51"/>
    </row>
    <row r="13563" spans="3:4" x14ac:dyDescent="0.35">
      <c r="C13563" s="51"/>
      <c r="D13563" s="51"/>
    </row>
    <row r="13564" spans="3:4" x14ac:dyDescent="0.35">
      <c r="C13564" s="51"/>
      <c r="D13564" s="51"/>
    </row>
    <row r="13565" spans="3:4" x14ac:dyDescent="0.35">
      <c r="C13565" s="51"/>
      <c r="D13565" s="51"/>
    </row>
    <row r="13566" spans="3:4" x14ac:dyDescent="0.35">
      <c r="C13566" s="51"/>
      <c r="D13566" s="51"/>
    </row>
    <row r="13567" spans="3:4" x14ac:dyDescent="0.35">
      <c r="C13567" s="51"/>
      <c r="D13567" s="51"/>
    </row>
    <row r="13568" spans="3:4" x14ac:dyDescent="0.35">
      <c r="C13568" s="51"/>
      <c r="D13568" s="51"/>
    </row>
    <row r="13569" spans="3:4" x14ac:dyDescent="0.35">
      <c r="C13569" s="51"/>
      <c r="D13569" s="51"/>
    </row>
    <row r="13570" spans="3:4" x14ac:dyDescent="0.35">
      <c r="C13570" s="51"/>
      <c r="D13570" s="51"/>
    </row>
    <row r="13571" spans="3:4" x14ac:dyDescent="0.35">
      <c r="C13571" s="51"/>
      <c r="D13571" s="51"/>
    </row>
    <row r="13572" spans="3:4" x14ac:dyDescent="0.35">
      <c r="C13572" s="51"/>
      <c r="D13572" s="51"/>
    </row>
    <row r="13573" spans="3:4" x14ac:dyDescent="0.35">
      <c r="C13573" s="51"/>
      <c r="D13573" s="51"/>
    </row>
    <row r="13574" spans="3:4" x14ac:dyDescent="0.35">
      <c r="C13574" s="51"/>
      <c r="D13574" s="51"/>
    </row>
    <row r="13575" spans="3:4" x14ac:dyDescent="0.35">
      <c r="C13575" s="51"/>
      <c r="D13575" s="51"/>
    </row>
    <row r="13576" spans="3:4" x14ac:dyDescent="0.35">
      <c r="C13576" s="51"/>
      <c r="D13576" s="51"/>
    </row>
    <row r="13577" spans="3:4" x14ac:dyDescent="0.35">
      <c r="C13577" s="51"/>
      <c r="D13577" s="51"/>
    </row>
    <row r="13578" spans="3:4" x14ac:dyDescent="0.35">
      <c r="C13578" s="51"/>
      <c r="D13578" s="51"/>
    </row>
    <row r="13579" spans="3:4" x14ac:dyDescent="0.35">
      <c r="C13579" s="51"/>
      <c r="D13579" s="51"/>
    </row>
    <row r="13580" spans="3:4" x14ac:dyDescent="0.35">
      <c r="C13580" s="51"/>
      <c r="D13580" s="51"/>
    </row>
    <row r="13581" spans="3:4" x14ac:dyDescent="0.35">
      <c r="C13581" s="51"/>
      <c r="D13581" s="51"/>
    </row>
    <row r="13582" spans="3:4" x14ac:dyDescent="0.35">
      <c r="C13582" s="51"/>
      <c r="D13582" s="51"/>
    </row>
    <row r="13583" spans="3:4" x14ac:dyDescent="0.35">
      <c r="C13583" s="51"/>
      <c r="D13583" s="51"/>
    </row>
    <row r="13584" spans="3:4" x14ac:dyDescent="0.35">
      <c r="C13584" s="51"/>
      <c r="D13584" s="51"/>
    </row>
    <row r="13585" spans="3:4" x14ac:dyDescent="0.35">
      <c r="C13585" s="51"/>
      <c r="D13585" s="51"/>
    </row>
    <row r="13586" spans="3:4" x14ac:dyDescent="0.35">
      <c r="C13586" s="51"/>
      <c r="D13586" s="51"/>
    </row>
    <row r="13587" spans="3:4" x14ac:dyDescent="0.35">
      <c r="C13587" s="51"/>
      <c r="D13587" s="51"/>
    </row>
    <row r="13588" spans="3:4" x14ac:dyDescent="0.35">
      <c r="C13588" s="51"/>
      <c r="D13588" s="51"/>
    </row>
    <row r="13589" spans="3:4" x14ac:dyDescent="0.35">
      <c r="C13589" s="51"/>
      <c r="D13589" s="51"/>
    </row>
    <row r="13590" spans="3:4" x14ac:dyDescent="0.35">
      <c r="C13590" s="51"/>
      <c r="D13590" s="51"/>
    </row>
    <row r="13591" spans="3:4" x14ac:dyDescent="0.35">
      <c r="C13591" s="51"/>
      <c r="D13591" s="51"/>
    </row>
    <row r="13592" spans="3:4" x14ac:dyDescent="0.35">
      <c r="C13592" s="51"/>
      <c r="D13592" s="51"/>
    </row>
    <row r="13593" spans="3:4" x14ac:dyDescent="0.35">
      <c r="C13593" s="51"/>
      <c r="D13593" s="51"/>
    </row>
    <row r="13594" spans="3:4" x14ac:dyDescent="0.35">
      <c r="C13594" s="51"/>
      <c r="D13594" s="51"/>
    </row>
    <row r="13595" spans="3:4" x14ac:dyDescent="0.35">
      <c r="C13595" s="51"/>
      <c r="D13595" s="51"/>
    </row>
    <row r="13596" spans="3:4" x14ac:dyDescent="0.35">
      <c r="C13596" s="51"/>
      <c r="D13596" s="51"/>
    </row>
    <row r="13597" spans="3:4" x14ac:dyDescent="0.35">
      <c r="C13597" s="51"/>
      <c r="D13597" s="51"/>
    </row>
    <row r="13598" spans="3:4" x14ac:dyDescent="0.35">
      <c r="C13598" s="51"/>
      <c r="D13598" s="51"/>
    </row>
    <row r="13599" spans="3:4" x14ac:dyDescent="0.35">
      <c r="C13599" s="51"/>
      <c r="D13599" s="51"/>
    </row>
    <row r="13600" spans="3:4" x14ac:dyDescent="0.35">
      <c r="C13600" s="51"/>
      <c r="D13600" s="51"/>
    </row>
    <row r="13601" spans="3:4" x14ac:dyDescent="0.35">
      <c r="C13601" s="51"/>
      <c r="D13601" s="51"/>
    </row>
    <row r="13602" spans="3:4" x14ac:dyDescent="0.35">
      <c r="C13602" s="51"/>
      <c r="D13602" s="51"/>
    </row>
    <row r="13603" spans="3:4" x14ac:dyDescent="0.35">
      <c r="C13603" s="51"/>
      <c r="D13603" s="51"/>
    </row>
    <row r="13604" spans="3:4" x14ac:dyDescent="0.35">
      <c r="C13604" s="51"/>
      <c r="D13604" s="51"/>
    </row>
    <row r="13605" spans="3:4" x14ac:dyDescent="0.35">
      <c r="C13605" s="51"/>
      <c r="D13605" s="51"/>
    </row>
    <row r="13606" spans="3:4" x14ac:dyDescent="0.35">
      <c r="C13606" s="51"/>
      <c r="D13606" s="51"/>
    </row>
    <row r="13607" spans="3:4" x14ac:dyDescent="0.35">
      <c r="C13607" s="51"/>
      <c r="D13607" s="51"/>
    </row>
    <row r="13608" spans="3:4" x14ac:dyDescent="0.35">
      <c r="C13608" s="51"/>
      <c r="D13608" s="51"/>
    </row>
    <row r="13609" spans="3:4" x14ac:dyDescent="0.35">
      <c r="C13609" s="51"/>
      <c r="D13609" s="51"/>
    </row>
    <row r="13610" spans="3:4" x14ac:dyDescent="0.35">
      <c r="C13610" s="51"/>
      <c r="D13610" s="51"/>
    </row>
    <row r="13611" spans="3:4" x14ac:dyDescent="0.35">
      <c r="C13611" s="51"/>
      <c r="D13611" s="51"/>
    </row>
    <row r="13612" spans="3:4" x14ac:dyDescent="0.35">
      <c r="C13612" s="51"/>
      <c r="D13612" s="51"/>
    </row>
    <row r="13613" spans="3:4" x14ac:dyDescent="0.35">
      <c r="C13613" s="51"/>
      <c r="D13613" s="51"/>
    </row>
    <row r="13614" spans="3:4" x14ac:dyDescent="0.35">
      <c r="C13614" s="51"/>
      <c r="D13614" s="51"/>
    </row>
    <row r="13615" spans="3:4" x14ac:dyDescent="0.35">
      <c r="C13615" s="51"/>
      <c r="D13615" s="51"/>
    </row>
    <row r="13616" spans="3:4" x14ac:dyDescent="0.35">
      <c r="C13616" s="51"/>
      <c r="D13616" s="51"/>
    </row>
    <row r="13617" spans="3:4" x14ac:dyDescent="0.35">
      <c r="C13617" s="51"/>
      <c r="D13617" s="51"/>
    </row>
    <row r="13618" spans="3:4" x14ac:dyDescent="0.35">
      <c r="C13618" s="51"/>
      <c r="D13618" s="51"/>
    </row>
    <row r="13619" spans="3:4" x14ac:dyDescent="0.35">
      <c r="C13619" s="51"/>
      <c r="D13619" s="51"/>
    </row>
    <row r="13620" spans="3:4" x14ac:dyDescent="0.35">
      <c r="C13620" s="51"/>
      <c r="D13620" s="51"/>
    </row>
    <row r="13621" spans="3:4" x14ac:dyDescent="0.35">
      <c r="C13621" s="51"/>
      <c r="D13621" s="51"/>
    </row>
    <row r="13622" spans="3:4" x14ac:dyDescent="0.35">
      <c r="C13622" s="51"/>
      <c r="D13622" s="51"/>
    </row>
    <row r="13623" spans="3:4" x14ac:dyDescent="0.35">
      <c r="C13623" s="51"/>
      <c r="D13623" s="51"/>
    </row>
    <row r="13624" spans="3:4" x14ac:dyDescent="0.35">
      <c r="C13624" s="51"/>
      <c r="D13624" s="51"/>
    </row>
    <row r="13625" spans="3:4" x14ac:dyDescent="0.35">
      <c r="C13625" s="51"/>
      <c r="D13625" s="51"/>
    </row>
    <row r="13626" spans="3:4" x14ac:dyDescent="0.35">
      <c r="C13626" s="51"/>
      <c r="D13626" s="51"/>
    </row>
    <row r="13627" spans="3:4" x14ac:dyDescent="0.35">
      <c r="C13627" s="51"/>
      <c r="D13627" s="51"/>
    </row>
    <row r="13628" spans="3:4" x14ac:dyDescent="0.35">
      <c r="C13628" s="51"/>
      <c r="D13628" s="51"/>
    </row>
    <row r="13629" spans="3:4" x14ac:dyDescent="0.35">
      <c r="C13629" s="51"/>
      <c r="D13629" s="51"/>
    </row>
    <row r="13630" spans="3:4" x14ac:dyDescent="0.35">
      <c r="C13630" s="51"/>
      <c r="D13630" s="51"/>
    </row>
    <row r="13631" spans="3:4" x14ac:dyDescent="0.35">
      <c r="C13631" s="51"/>
      <c r="D13631" s="51"/>
    </row>
    <row r="13632" spans="3:4" x14ac:dyDescent="0.35">
      <c r="C13632" s="51"/>
      <c r="D13632" s="51"/>
    </row>
    <row r="13633" spans="3:4" x14ac:dyDescent="0.35">
      <c r="C13633" s="51"/>
      <c r="D13633" s="51"/>
    </row>
    <row r="13634" spans="3:4" x14ac:dyDescent="0.35">
      <c r="C13634" s="51"/>
      <c r="D13634" s="51"/>
    </row>
    <row r="13635" spans="3:4" x14ac:dyDescent="0.35">
      <c r="C13635" s="51"/>
      <c r="D13635" s="51"/>
    </row>
    <row r="13636" spans="3:4" x14ac:dyDescent="0.35">
      <c r="C13636" s="51"/>
      <c r="D13636" s="51"/>
    </row>
    <row r="13637" spans="3:4" x14ac:dyDescent="0.35">
      <c r="C13637" s="51"/>
      <c r="D13637" s="51"/>
    </row>
    <row r="13638" spans="3:4" x14ac:dyDescent="0.35">
      <c r="C13638" s="51"/>
      <c r="D13638" s="51"/>
    </row>
    <row r="13639" spans="3:4" x14ac:dyDescent="0.35">
      <c r="C13639" s="51"/>
      <c r="D13639" s="51"/>
    </row>
    <row r="13640" spans="3:4" x14ac:dyDescent="0.35">
      <c r="C13640" s="51"/>
      <c r="D13640" s="51"/>
    </row>
    <row r="13641" spans="3:4" x14ac:dyDescent="0.35">
      <c r="C13641" s="51"/>
      <c r="D13641" s="51"/>
    </row>
    <row r="13642" spans="3:4" x14ac:dyDescent="0.35">
      <c r="C13642" s="51"/>
      <c r="D13642" s="51"/>
    </row>
    <row r="13643" spans="3:4" x14ac:dyDescent="0.35">
      <c r="C13643" s="51"/>
      <c r="D13643" s="51"/>
    </row>
    <row r="13644" spans="3:4" x14ac:dyDescent="0.35">
      <c r="C13644" s="51"/>
      <c r="D13644" s="51"/>
    </row>
    <row r="13645" spans="3:4" x14ac:dyDescent="0.35">
      <c r="C13645" s="51"/>
      <c r="D13645" s="51"/>
    </row>
    <row r="13646" spans="3:4" x14ac:dyDescent="0.35">
      <c r="C13646" s="51"/>
      <c r="D13646" s="51"/>
    </row>
    <row r="13647" spans="3:4" x14ac:dyDescent="0.35">
      <c r="C13647" s="51"/>
      <c r="D13647" s="51"/>
    </row>
    <row r="13648" spans="3:4" x14ac:dyDescent="0.35">
      <c r="C13648" s="51"/>
      <c r="D13648" s="51"/>
    </row>
    <row r="13649" spans="3:4" x14ac:dyDescent="0.35">
      <c r="C13649" s="51"/>
      <c r="D13649" s="51"/>
    </row>
    <row r="13650" spans="3:4" x14ac:dyDescent="0.35">
      <c r="C13650" s="51"/>
      <c r="D13650" s="51"/>
    </row>
    <row r="13651" spans="3:4" x14ac:dyDescent="0.35">
      <c r="C13651" s="51"/>
      <c r="D13651" s="51"/>
    </row>
    <row r="13652" spans="3:4" x14ac:dyDescent="0.35">
      <c r="C13652" s="51"/>
      <c r="D13652" s="51"/>
    </row>
    <row r="13653" spans="3:4" x14ac:dyDescent="0.35">
      <c r="C13653" s="51"/>
      <c r="D13653" s="51"/>
    </row>
    <row r="13654" spans="3:4" x14ac:dyDescent="0.35">
      <c r="C13654" s="51"/>
      <c r="D13654" s="51"/>
    </row>
    <row r="13655" spans="3:4" x14ac:dyDescent="0.35">
      <c r="C13655" s="51"/>
      <c r="D13655" s="51"/>
    </row>
    <row r="13656" spans="3:4" x14ac:dyDescent="0.35">
      <c r="C13656" s="51"/>
      <c r="D13656" s="51"/>
    </row>
    <row r="13657" spans="3:4" x14ac:dyDescent="0.35">
      <c r="C13657" s="51"/>
      <c r="D13657" s="51"/>
    </row>
    <row r="13658" spans="3:4" x14ac:dyDescent="0.35">
      <c r="C13658" s="51"/>
      <c r="D13658" s="51"/>
    </row>
    <row r="13659" spans="3:4" x14ac:dyDescent="0.35">
      <c r="C13659" s="51"/>
      <c r="D13659" s="51"/>
    </row>
    <row r="13660" spans="3:4" x14ac:dyDescent="0.35">
      <c r="C13660" s="51"/>
      <c r="D13660" s="51"/>
    </row>
    <row r="13661" spans="3:4" x14ac:dyDescent="0.35">
      <c r="C13661" s="51"/>
      <c r="D13661" s="51"/>
    </row>
    <row r="13662" spans="3:4" x14ac:dyDescent="0.35">
      <c r="C13662" s="51"/>
      <c r="D13662" s="51"/>
    </row>
    <row r="13663" spans="3:4" x14ac:dyDescent="0.35">
      <c r="C13663" s="51"/>
      <c r="D13663" s="51"/>
    </row>
    <row r="13664" spans="3:4" x14ac:dyDescent="0.35">
      <c r="C13664" s="51"/>
      <c r="D13664" s="51"/>
    </row>
    <row r="13665" spans="3:4" x14ac:dyDescent="0.35">
      <c r="C13665" s="51"/>
      <c r="D13665" s="51"/>
    </row>
    <row r="13666" spans="3:4" x14ac:dyDescent="0.35">
      <c r="C13666" s="51"/>
      <c r="D13666" s="51"/>
    </row>
    <row r="13667" spans="3:4" x14ac:dyDescent="0.35">
      <c r="C13667" s="51"/>
      <c r="D13667" s="51"/>
    </row>
    <row r="13668" spans="3:4" x14ac:dyDescent="0.35">
      <c r="C13668" s="51"/>
      <c r="D13668" s="51"/>
    </row>
    <row r="13669" spans="3:4" x14ac:dyDescent="0.35">
      <c r="C13669" s="51"/>
      <c r="D13669" s="51"/>
    </row>
    <row r="13670" spans="3:4" x14ac:dyDescent="0.35">
      <c r="C13670" s="51"/>
      <c r="D13670" s="51"/>
    </row>
    <row r="13671" spans="3:4" x14ac:dyDescent="0.35">
      <c r="C13671" s="51"/>
      <c r="D13671" s="51"/>
    </row>
    <row r="13672" spans="3:4" x14ac:dyDescent="0.35">
      <c r="C13672" s="51"/>
      <c r="D13672" s="51"/>
    </row>
    <row r="13673" spans="3:4" x14ac:dyDescent="0.35">
      <c r="C13673" s="51"/>
      <c r="D13673" s="51"/>
    </row>
    <row r="13674" spans="3:4" x14ac:dyDescent="0.35">
      <c r="C13674" s="51"/>
      <c r="D13674" s="51"/>
    </row>
    <row r="13675" spans="3:4" x14ac:dyDescent="0.35">
      <c r="C13675" s="51"/>
      <c r="D13675" s="51"/>
    </row>
    <row r="13676" spans="3:4" x14ac:dyDescent="0.35">
      <c r="C13676" s="51"/>
      <c r="D13676" s="51"/>
    </row>
    <row r="13677" spans="3:4" x14ac:dyDescent="0.35">
      <c r="C13677" s="51"/>
      <c r="D13677" s="51"/>
    </row>
    <row r="13678" spans="3:4" x14ac:dyDescent="0.35">
      <c r="C13678" s="51"/>
      <c r="D13678" s="51"/>
    </row>
    <row r="13679" spans="3:4" x14ac:dyDescent="0.35">
      <c r="C13679" s="51"/>
      <c r="D13679" s="51"/>
    </row>
    <row r="13680" spans="3:4" x14ac:dyDescent="0.35">
      <c r="C13680" s="51"/>
      <c r="D13680" s="51"/>
    </row>
    <row r="13681" spans="3:4" x14ac:dyDescent="0.35">
      <c r="C13681" s="51"/>
      <c r="D13681" s="51"/>
    </row>
    <row r="13682" spans="3:4" x14ac:dyDescent="0.35">
      <c r="C13682" s="51"/>
      <c r="D13682" s="51"/>
    </row>
    <row r="13683" spans="3:4" x14ac:dyDescent="0.35">
      <c r="C13683" s="51"/>
      <c r="D13683" s="51"/>
    </row>
    <row r="13684" spans="3:4" x14ac:dyDescent="0.35">
      <c r="C13684" s="51"/>
      <c r="D13684" s="51"/>
    </row>
    <row r="13685" spans="3:4" x14ac:dyDescent="0.35">
      <c r="C13685" s="51"/>
      <c r="D13685" s="51"/>
    </row>
    <row r="13686" spans="3:4" x14ac:dyDescent="0.35">
      <c r="C13686" s="51"/>
      <c r="D13686" s="51"/>
    </row>
    <row r="13687" spans="3:4" x14ac:dyDescent="0.35">
      <c r="C13687" s="51"/>
      <c r="D13687" s="51"/>
    </row>
    <row r="13688" spans="3:4" x14ac:dyDescent="0.35">
      <c r="C13688" s="51"/>
      <c r="D13688" s="51"/>
    </row>
    <row r="13689" spans="3:4" x14ac:dyDescent="0.35">
      <c r="C13689" s="51"/>
      <c r="D13689" s="51"/>
    </row>
    <row r="13690" spans="3:4" x14ac:dyDescent="0.35">
      <c r="C13690" s="51"/>
      <c r="D13690" s="51"/>
    </row>
    <row r="13691" spans="3:4" x14ac:dyDescent="0.35">
      <c r="C13691" s="51"/>
      <c r="D13691" s="51"/>
    </row>
    <row r="13692" spans="3:4" x14ac:dyDescent="0.35">
      <c r="C13692" s="51"/>
      <c r="D13692" s="51"/>
    </row>
    <row r="13693" spans="3:4" x14ac:dyDescent="0.35">
      <c r="C13693" s="51"/>
      <c r="D13693" s="51"/>
    </row>
    <row r="13694" spans="3:4" x14ac:dyDescent="0.35">
      <c r="C13694" s="51"/>
      <c r="D13694" s="51"/>
    </row>
    <row r="13695" spans="3:4" x14ac:dyDescent="0.35">
      <c r="C13695" s="51"/>
      <c r="D13695" s="51"/>
    </row>
    <row r="13696" spans="3:4" x14ac:dyDescent="0.35">
      <c r="C13696" s="51"/>
      <c r="D13696" s="51"/>
    </row>
    <row r="13697" spans="3:4" x14ac:dyDescent="0.35">
      <c r="C13697" s="51"/>
      <c r="D13697" s="51"/>
    </row>
    <row r="13698" spans="3:4" x14ac:dyDescent="0.35">
      <c r="C13698" s="51"/>
      <c r="D13698" s="51"/>
    </row>
    <row r="13699" spans="3:4" x14ac:dyDescent="0.35">
      <c r="C13699" s="51"/>
      <c r="D13699" s="51"/>
    </row>
    <row r="13700" spans="3:4" x14ac:dyDescent="0.35">
      <c r="C13700" s="51"/>
      <c r="D13700" s="51"/>
    </row>
    <row r="13701" spans="3:4" x14ac:dyDescent="0.35">
      <c r="C13701" s="51"/>
      <c r="D13701" s="51"/>
    </row>
    <row r="13702" spans="3:4" x14ac:dyDescent="0.35">
      <c r="C13702" s="51"/>
      <c r="D13702" s="51"/>
    </row>
    <row r="13703" spans="3:4" x14ac:dyDescent="0.35">
      <c r="C13703" s="51"/>
      <c r="D13703" s="51"/>
    </row>
    <row r="13704" spans="3:4" x14ac:dyDescent="0.35">
      <c r="C13704" s="51"/>
      <c r="D13704" s="51"/>
    </row>
    <row r="13705" spans="3:4" x14ac:dyDescent="0.35">
      <c r="C13705" s="51"/>
      <c r="D13705" s="51"/>
    </row>
    <row r="13706" spans="3:4" x14ac:dyDescent="0.35">
      <c r="C13706" s="51"/>
      <c r="D13706" s="51"/>
    </row>
    <row r="13707" spans="3:4" x14ac:dyDescent="0.35">
      <c r="C13707" s="51"/>
      <c r="D13707" s="51"/>
    </row>
    <row r="13708" spans="3:4" x14ac:dyDescent="0.35">
      <c r="C13708" s="51"/>
      <c r="D13708" s="51"/>
    </row>
    <row r="13709" spans="3:4" x14ac:dyDescent="0.35">
      <c r="C13709" s="51"/>
      <c r="D13709" s="51"/>
    </row>
    <row r="13710" spans="3:4" x14ac:dyDescent="0.35">
      <c r="C13710" s="51"/>
      <c r="D13710" s="51"/>
    </row>
    <row r="13711" spans="3:4" x14ac:dyDescent="0.35">
      <c r="C13711" s="51"/>
      <c r="D13711" s="51"/>
    </row>
    <row r="13712" spans="3:4" x14ac:dyDescent="0.35">
      <c r="C13712" s="51"/>
      <c r="D13712" s="51"/>
    </row>
    <row r="13713" spans="3:4" x14ac:dyDescent="0.35">
      <c r="C13713" s="51"/>
      <c r="D13713" s="51"/>
    </row>
    <row r="13714" spans="3:4" x14ac:dyDescent="0.35">
      <c r="C13714" s="51"/>
      <c r="D13714" s="51"/>
    </row>
    <row r="13715" spans="3:4" x14ac:dyDescent="0.35">
      <c r="C13715" s="51"/>
      <c r="D13715" s="51"/>
    </row>
    <row r="13716" spans="3:4" x14ac:dyDescent="0.35">
      <c r="C13716" s="51"/>
      <c r="D13716" s="51"/>
    </row>
    <row r="13717" spans="3:4" x14ac:dyDescent="0.35">
      <c r="C13717" s="51"/>
      <c r="D13717" s="51"/>
    </row>
    <row r="13718" spans="3:4" x14ac:dyDescent="0.35">
      <c r="C13718" s="51"/>
      <c r="D13718" s="51"/>
    </row>
    <row r="13719" spans="3:4" x14ac:dyDescent="0.35">
      <c r="C13719" s="51"/>
      <c r="D13719" s="51"/>
    </row>
    <row r="13720" spans="3:4" x14ac:dyDescent="0.35">
      <c r="C13720" s="51"/>
      <c r="D13720" s="51"/>
    </row>
    <row r="13721" spans="3:4" x14ac:dyDescent="0.35">
      <c r="C13721" s="51"/>
      <c r="D13721" s="51"/>
    </row>
    <row r="13722" spans="3:4" x14ac:dyDescent="0.35">
      <c r="C13722" s="51"/>
      <c r="D13722" s="51"/>
    </row>
    <row r="13723" spans="3:4" x14ac:dyDescent="0.35">
      <c r="C13723" s="51"/>
      <c r="D13723" s="51"/>
    </row>
    <row r="13724" spans="3:4" x14ac:dyDescent="0.35">
      <c r="C13724" s="51"/>
      <c r="D13724" s="51"/>
    </row>
    <row r="13725" spans="3:4" x14ac:dyDescent="0.35">
      <c r="C13725" s="51"/>
      <c r="D13725" s="51"/>
    </row>
    <row r="13726" spans="3:4" x14ac:dyDescent="0.35">
      <c r="C13726" s="51"/>
      <c r="D13726" s="51"/>
    </row>
    <row r="13727" spans="3:4" x14ac:dyDescent="0.35">
      <c r="C13727" s="51"/>
      <c r="D13727" s="51"/>
    </row>
    <row r="13728" spans="3:4" x14ac:dyDescent="0.35">
      <c r="C13728" s="51"/>
      <c r="D13728" s="51"/>
    </row>
    <row r="13729" spans="3:4" x14ac:dyDescent="0.35">
      <c r="C13729" s="51"/>
      <c r="D13729" s="51"/>
    </row>
    <row r="13730" spans="3:4" x14ac:dyDescent="0.35">
      <c r="C13730" s="51"/>
      <c r="D13730" s="51"/>
    </row>
    <row r="13731" spans="3:4" x14ac:dyDescent="0.35">
      <c r="C13731" s="51"/>
      <c r="D13731" s="51"/>
    </row>
    <row r="13732" spans="3:4" x14ac:dyDescent="0.35">
      <c r="C13732" s="51"/>
      <c r="D13732" s="51"/>
    </row>
    <row r="13733" spans="3:4" x14ac:dyDescent="0.35">
      <c r="C13733" s="51"/>
      <c r="D13733" s="51"/>
    </row>
    <row r="13734" spans="3:4" x14ac:dyDescent="0.35">
      <c r="C13734" s="51"/>
      <c r="D13734" s="51"/>
    </row>
    <row r="13735" spans="3:4" x14ac:dyDescent="0.35">
      <c r="C13735" s="51"/>
      <c r="D13735" s="51"/>
    </row>
    <row r="13736" spans="3:4" x14ac:dyDescent="0.35">
      <c r="C13736" s="51"/>
      <c r="D13736" s="51"/>
    </row>
    <row r="13737" spans="3:4" x14ac:dyDescent="0.35">
      <c r="C13737" s="51"/>
      <c r="D13737" s="51"/>
    </row>
    <row r="13738" spans="3:4" x14ac:dyDescent="0.35">
      <c r="C13738" s="51"/>
      <c r="D13738" s="51"/>
    </row>
    <row r="13739" spans="3:4" x14ac:dyDescent="0.35">
      <c r="C13739" s="51"/>
      <c r="D13739" s="51"/>
    </row>
    <row r="13740" spans="3:4" x14ac:dyDescent="0.35">
      <c r="C13740" s="51"/>
      <c r="D13740" s="51"/>
    </row>
    <row r="13741" spans="3:4" x14ac:dyDescent="0.35">
      <c r="C13741" s="51"/>
      <c r="D13741" s="51"/>
    </row>
    <row r="13742" spans="3:4" x14ac:dyDescent="0.35">
      <c r="C13742" s="51"/>
      <c r="D13742" s="51"/>
    </row>
    <row r="13743" spans="3:4" x14ac:dyDescent="0.35">
      <c r="C13743" s="51"/>
      <c r="D13743" s="51"/>
    </row>
    <row r="13744" spans="3:4" x14ac:dyDescent="0.35">
      <c r="C13744" s="51"/>
      <c r="D13744" s="51"/>
    </row>
    <row r="13745" spans="3:4" x14ac:dyDescent="0.35">
      <c r="C13745" s="51"/>
      <c r="D13745" s="51"/>
    </row>
    <row r="13746" spans="3:4" x14ac:dyDescent="0.35">
      <c r="C13746" s="51"/>
      <c r="D13746" s="51"/>
    </row>
    <row r="13747" spans="3:4" x14ac:dyDescent="0.35">
      <c r="C13747" s="51"/>
      <c r="D13747" s="51"/>
    </row>
    <row r="13748" spans="3:4" x14ac:dyDescent="0.35">
      <c r="C13748" s="51"/>
      <c r="D13748" s="51"/>
    </row>
    <row r="13749" spans="3:4" x14ac:dyDescent="0.35">
      <c r="C13749" s="51"/>
      <c r="D13749" s="51"/>
    </row>
    <row r="13750" spans="3:4" x14ac:dyDescent="0.35">
      <c r="C13750" s="51"/>
      <c r="D13750" s="51"/>
    </row>
    <row r="13751" spans="3:4" x14ac:dyDescent="0.35">
      <c r="C13751" s="51"/>
      <c r="D13751" s="51"/>
    </row>
    <row r="13752" spans="3:4" x14ac:dyDescent="0.35">
      <c r="C13752" s="51"/>
      <c r="D13752" s="51"/>
    </row>
    <row r="13753" spans="3:4" x14ac:dyDescent="0.35">
      <c r="C13753" s="51"/>
      <c r="D13753" s="51"/>
    </row>
    <row r="13754" spans="3:4" x14ac:dyDescent="0.35">
      <c r="C13754" s="51"/>
      <c r="D13754" s="51"/>
    </row>
    <row r="13755" spans="3:4" x14ac:dyDescent="0.35">
      <c r="C13755" s="51"/>
      <c r="D13755" s="51"/>
    </row>
    <row r="13756" spans="3:4" x14ac:dyDescent="0.35">
      <c r="C13756" s="51"/>
      <c r="D13756" s="51"/>
    </row>
    <row r="13757" spans="3:4" x14ac:dyDescent="0.35">
      <c r="C13757" s="51"/>
      <c r="D13757" s="51"/>
    </row>
    <row r="13758" spans="3:4" x14ac:dyDescent="0.35">
      <c r="C13758" s="51"/>
      <c r="D13758" s="51"/>
    </row>
    <row r="13759" spans="3:4" x14ac:dyDescent="0.35">
      <c r="C13759" s="51"/>
      <c r="D13759" s="51"/>
    </row>
    <row r="13760" spans="3:4" x14ac:dyDescent="0.35">
      <c r="C13760" s="51"/>
      <c r="D13760" s="51"/>
    </row>
    <row r="13761" spans="3:4" x14ac:dyDescent="0.35">
      <c r="C13761" s="51"/>
      <c r="D13761" s="51"/>
    </row>
    <row r="13762" spans="3:4" x14ac:dyDescent="0.35">
      <c r="C13762" s="51"/>
      <c r="D13762" s="51"/>
    </row>
    <row r="13763" spans="3:4" x14ac:dyDescent="0.35">
      <c r="C13763" s="51"/>
      <c r="D13763" s="51"/>
    </row>
    <row r="13764" spans="3:4" x14ac:dyDescent="0.35">
      <c r="C13764" s="51"/>
      <c r="D13764" s="51"/>
    </row>
    <row r="13765" spans="3:4" x14ac:dyDescent="0.35">
      <c r="C13765" s="51"/>
      <c r="D13765" s="51"/>
    </row>
    <row r="13766" spans="3:4" x14ac:dyDescent="0.35">
      <c r="C13766" s="51"/>
      <c r="D13766" s="51"/>
    </row>
    <row r="13767" spans="3:4" x14ac:dyDescent="0.35">
      <c r="C13767" s="51"/>
      <c r="D13767" s="51"/>
    </row>
    <row r="13768" spans="3:4" x14ac:dyDescent="0.35">
      <c r="C13768" s="51"/>
      <c r="D13768" s="51"/>
    </row>
    <row r="13769" spans="3:4" x14ac:dyDescent="0.35">
      <c r="C13769" s="51"/>
      <c r="D13769" s="51"/>
    </row>
    <row r="13770" spans="3:4" x14ac:dyDescent="0.35">
      <c r="C13770" s="51"/>
      <c r="D13770" s="51"/>
    </row>
    <row r="13771" spans="3:4" x14ac:dyDescent="0.35">
      <c r="C13771" s="51"/>
      <c r="D13771" s="51"/>
    </row>
    <row r="13772" spans="3:4" x14ac:dyDescent="0.35">
      <c r="C13772" s="51"/>
      <c r="D13772" s="51"/>
    </row>
    <row r="13773" spans="3:4" x14ac:dyDescent="0.35">
      <c r="C13773" s="51"/>
      <c r="D13773" s="51"/>
    </row>
    <row r="13774" spans="3:4" x14ac:dyDescent="0.35">
      <c r="C13774" s="51"/>
      <c r="D13774" s="51"/>
    </row>
    <row r="13775" spans="3:4" x14ac:dyDescent="0.35">
      <c r="C13775" s="51"/>
      <c r="D13775" s="51"/>
    </row>
    <row r="13776" spans="3:4" x14ac:dyDescent="0.35">
      <c r="C13776" s="51"/>
      <c r="D13776" s="51"/>
    </row>
    <row r="13777" spans="3:4" x14ac:dyDescent="0.35">
      <c r="C13777" s="51"/>
      <c r="D13777" s="51"/>
    </row>
    <row r="13778" spans="3:4" x14ac:dyDescent="0.35">
      <c r="C13778" s="51"/>
      <c r="D13778" s="51"/>
    </row>
    <row r="13779" spans="3:4" x14ac:dyDescent="0.35">
      <c r="C13779" s="51"/>
      <c r="D13779" s="51"/>
    </row>
    <row r="13780" spans="3:4" x14ac:dyDescent="0.35">
      <c r="C13780" s="51"/>
      <c r="D13780" s="51"/>
    </row>
    <row r="13781" spans="3:4" x14ac:dyDescent="0.35">
      <c r="C13781" s="51"/>
      <c r="D13781" s="51"/>
    </row>
    <row r="13782" spans="3:4" x14ac:dyDescent="0.35">
      <c r="C13782" s="51"/>
      <c r="D13782" s="51"/>
    </row>
    <row r="13783" spans="3:4" x14ac:dyDescent="0.35">
      <c r="C13783" s="51"/>
      <c r="D13783" s="51"/>
    </row>
    <row r="13784" spans="3:4" x14ac:dyDescent="0.35">
      <c r="C13784" s="51"/>
      <c r="D13784" s="51"/>
    </row>
    <row r="13785" spans="3:4" x14ac:dyDescent="0.35">
      <c r="C13785" s="51"/>
      <c r="D13785" s="51"/>
    </row>
    <row r="13786" spans="3:4" x14ac:dyDescent="0.35">
      <c r="C13786" s="51"/>
      <c r="D13786" s="51"/>
    </row>
    <row r="13787" spans="3:4" x14ac:dyDescent="0.35">
      <c r="C13787" s="51"/>
      <c r="D13787" s="51"/>
    </row>
    <row r="13788" spans="3:4" x14ac:dyDescent="0.35">
      <c r="C13788" s="51"/>
      <c r="D13788" s="51"/>
    </row>
    <row r="13789" spans="3:4" x14ac:dyDescent="0.35">
      <c r="C13789" s="51"/>
      <c r="D13789" s="51"/>
    </row>
    <row r="13790" spans="3:4" x14ac:dyDescent="0.35">
      <c r="C13790" s="51"/>
      <c r="D13790" s="51"/>
    </row>
    <row r="13791" spans="3:4" x14ac:dyDescent="0.35">
      <c r="C13791" s="51"/>
      <c r="D13791" s="51"/>
    </row>
    <row r="13792" spans="3:4" x14ac:dyDescent="0.35">
      <c r="C13792" s="51"/>
      <c r="D13792" s="51"/>
    </row>
    <row r="13793" spans="3:4" x14ac:dyDescent="0.35">
      <c r="C13793" s="51"/>
      <c r="D13793" s="51"/>
    </row>
    <row r="13794" spans="3:4" x14ac:dyDescent="0.35">
      <c r="C13794" s="51"/>
      <c r="D13794" s="51"/>
    </row>
    <row r="13795" spans="3:4" x14ac:dyDescent="0.35">
      <c r="C13795" s="51"/>
      <c r="D13795" s="51"/>
    </row>
    <row r="13796" spans="3:4" x14ac:dyDescent="0.35">
      <c r="C13796" s="51"/>
      <c r="D13796" s="51"/>
    </row>
    <row r="13797" spans="3:4" x14ac:dyDescent="0.35">
      <c r="C13797" s="51"/>
      <c r="D13797" s="51"/>
    </row>
    <row r="13798" spans="3:4" x14ac:dyDescent="0.35">
      <c r="C13798" s="51"/>
      <c r="D13798" s="51"/>
    </row>
    <row r="13799" spans="3:4" x14ac:dyDescent="0.35">
      <c r="C13799" s="51"/>
      <c r="D13799" s="51"/>
    </row>
    <row r="13800" spans="3:4" x14ac:dyDescent="0.35">
      <c r="C13800" s="51"/>
      <c r="D13800" s="51"/>
    </row>
    <row r="13801" spans="3:4" x14ac:dyDescent="0.35">
      <c r="C13801" s="51"/>
      <c r="D13801" s="51"/>
    </row>
    <row r="13802" spans="3:4" x14ac:dyDescent="0.35">
      <c r="C13802" s="51"/>
      <c r="D13802" s="51"/>
    </row>
    <row r="13803" spans="3:4" x14ac:dyDescent="0.35">
      <c r="C13803" s="51"/>
      <c r="D13803" s="51"/>
    </row>
    <row r="13804" spans="3:4" x14ac:dyDescent="0.35">
      <c r="C13804" s="51"/>
      <c r="D13804" s="51"/>
    </row>
    <row r="13805" spans="3:4" x14ac:dyDescent="0.35">
      <c r="C13805" s="51"/>
      <c r="D13805" s="51"/>
    </row>
    <row r="13806" spans="3:4" x14ac:dyDescent="0.35">
      <c r="C13806" s="51"/>
      <c r="D13806" s="51"/>
    </row>
    <row r="13807" spans="3:4" x14ac:dyDescent="0.35">
      <c r="C13807" s="51"/>
      <c r="D13807" s="51"/>
    </row>
    <row r="13808" spans="3:4" x14ac:dyDescent="0.35">
      <c r="C13808" s="51"/>
      <c r="D13808" s="51"/>
    </row>
    <row r="13809" spans="3:4" x14ac:dyDescent="0.35">
      <c r="C13809" s="51"/>
      <c r="D13809" s="51"/>
    </row>
    <row r="13810" spans="3:4" x14ac:dyDescent="0.35">
      <c r="C13810" s="51"/>
      <c r="D13810" s="51"/>
    </row>
    <row r="13811" spans="3:4" x14ac:dyDescent="0.35">
      <c r="C13811" s="51"/>
      <c r="D13811" s="51"/>
    </row>
    <row r="13812" spans="3:4" x14ac:dyDescent="0.35">
      <c r="C13812" s="51"/>
      <c r="D13812" s="51"/>
    </row>
    <row r="13813" spans="3:4" x14ac:dyDescent="0.35">
      <c r="C13813" s="51"/>
      <c r="D13813" s="51"/>
    </row>
    <row r="13814" spans="3:4" x14ac:dyDescent="0.35">
      <c r="C13814" s="51"/>
      <c r="D13814" s="51"/>
    </row>
    <row r="13815" spans="3:4" x14ac:dyDescent="0.35">
      <c r="C13815" s="51"/>
      <c r="D13815" s="51"/>
    </row>
    <row r="13816" spans="3:4" x14ac:dyDescent="0.35">
      <c r="C13816" s="51"/>
      <c r="D13816" s="51"/>
    </row>
    <row r="13817" spans="3:4" x14ac:dyDescent="0.35">
      <c r="C13817" s="51"/>
      <c r="D13817" s="51"/>
    </row>
    <row r="13818" spans="3:4" x14ac:dyDescent="0.35">
      <c r="C13818" s="51"/>
      <c r="D13818" s="51"/>
    </row>
    <row r="13819" spans="3:4" x14ac:dyDescent="0.35">
      <c r="C13819" s="51"/>
      <c r="D13819" s="51"/>
    </row>
    <row r="13820" spans="3:4" x14ac:dyDescent="0.35">
      <c r="C13820" s="51"/>
      <c r="D13820" s="51"/>
    </row>
    <row r="13821" spans="3:4" x14ac:dyDescent="0.35">
      <c r="C13821" s="51"/>
      <c r="D13821" s="51"/>
    </row>
    <row r="13822" spans="3:4" x14ac:dyDescent="0.35">
      <c r="C13822" s="51"/>
      <c r="D13822" s="51"/>
    </row>
    <row r="13823" spans="3:4" x14ac:dyDescent="0.35">
      <c r="C13823" s="51"/>
      <c r="D13823" s="51"/>
    </row>
    <row r="13824" spans="3:4" x14ac:dyDescent="0.35">
      <c r="C13824" s="51"/>
      <c r="D13824" s="51"/>
    </row>
    <row r="13825" spans="3:4" x14ac:dyDescent="0.35">
      <c r="C13825" s="51"/>
      <c r="D13825" s="51"/>
    </row>
    <row r="13826" spans="3:4" x14ac:dyDescent="0.35">
      <c r="C13826" s="51"/>
      <c r="D13826" s="51"/>
    </row>
    <row r="13827" spans="3:4" x14ac:dyDescent="0.35">
      <c r="C13827" s="51"/>
      <c r="D13827" s="51"/>
    </row>
    <row r="13828" spans="3:4" x14ac:dyDescent="0.35">
      <c r="C13828" s="51"/>
      <c r="D13828" s="51"/>
    </row>
    <row r="13829" spans="3:4" x14ac:dyDescent="0.35">
      <c r="C13829" s="51"/>
      <c r="D13829" s="51"/>
    </row>
    <row r="13830" spans="3:4" x14ac:dyDescent="0.35">
      <c r="C13830" s="51"/>
      <c r="D13830" s="51"/>
    </row>
    <row r="13831" spans="3:4" x14ac:dyDescent="0.35">
      <c r="C13831" s="51"/>
      <c r="D13831" s="51"/>
    </row>
    <row r="13832" spans="3:4" x14ac:dyDescent="0.35">
      <c r="C13832" s="51"/>
      <c r="D13832" s="51"/>
    </row>
    <row r="13833" spans="3:4" x14ac:dyDescent="0.35">
      <c r="C13833" s="51"/>
      <c r="D13833" s="51"/>
    </row>
    <row r="13834" spans="3:4" x14ac:dyDescent="0.35">
      <c r="C13834" s="51"/>
      <c r="D13834" s="51"/>
    </row>
    <row r="13835" spans="3:4" x14ac:dyDescent="0.35">
      <c r="C13835" s="51"/>
      <c r="D13835" s="51"/>
    </row>
    <row r="13836" spans="3:4" x14ac:dyDescent="0.35">
      <c r="C13836" s="51"/>
      <c r="D13836" s="51"/>
    </row>
    <row r="13837" spans="3:4" x14ac:dyDescent="0.35">
      <c r="C13837" s="51"/>
      <c r="D13837" s="51"/>
    </row>
    <row r="13838" spans="3:4" x14ac:dyDescent="0.35">
      <c r="C13838" s="51"/>
      <c r="D13838" s="51"/>
    </row>
    <row r="13839" spans="3:4" x14ac:dyDescent="0.35">
      <c r="C13839" s="51"/>
      <c r="D13839" s="51"/>
    </row>
    <row r="13840" spans="3:4" x14ac:dyDescent="0.35">
      <c r="C13840" s="51"/>
      <c r="D13840" s="51"/>
    </row>
    <row r="13841" spans="3:4" x14ac:dyDescent="0.35">
      <c r="C13841" s="51"/>
      <c r="D13841" s="51"/>
    </row>
    <row r="13842" spans="3:4" x14ac:dyDescent="0.35">
      <c r="C13842" s="51"/>
      <c r="D13842" s="51"/>
    </row>
    <row r="13843" spans="3:4" x14ac:dyDescent="0.35">
      <c r="C13843" s="51"/>
      <c r="D13843" s="51"/>
    </row>
    <row r="13844" spans="3:4" x14ac:dyDescent="0.35">
      <c r="C13844" s="51"/>
      <c r="D13844" s="51"/>
    </row>
    <row r="13845" spans="3:4" x14ac:dyDescent="0.35">
      <c r="C13845" s="51"/>
      <c r="D13845" s="51"/>
    </row>
    <row r="13846" spans="3:4" x14ac:dyDescent="0.35">
      <c r="C13846" s="51"/>
      <c r="D13846" s="51"/>
    </row>
    <row r="13847" spans="3:4" x14ac:dyDescent="0.35">
      <c r="C13847" s="51"/>
      <c r="D13847" s="51"/>
    </row>
    <row r="13848" spans="3:4" x14ac:dyDescent="0.35">
      <c r="C13848" s="51"/>
      <c r="D13848" s="51"/>
    </row>
    <row r="13849" spans="3:4" x14ac:dyDescent="0.35">
      <c r="C13849" s="51"/>
      <c r="D13849" s="51"/>
    </row>
    <row r="13850" spans="3:4" x14ac:dyDescent="0.35">
      <c r="C13850" s="51"/>
      <c r="D13850" s="51"/>
    </row>
    <row r="13851" spans="3:4" x14ac:dyDescent="0.35">
      <c r="C13851" s="51"/>
      <c r="D13851" s="51"/>
    </row>
    <row r="13852" spans="3:4" x14ac:dyDescent="0.35">
      <c r="C13852" s="51"/>
      <c r="D13852" s="51"/>
    </row>
    <row r="13853" spans="3:4" x14ac:dyDescent="0.35">
      <c r="C13853" s="51"/>
      <c r="D13853" s="51"/>
    </row>
    <row r="13854" spans="3:4" x14ac:dyDescent="0.35">
      <c r="C13854" s="51"/>
      <c r="D13854" s="51"/>
    </row>
    <row r="13855" spans="3:4" x14ac:dyDescent="0.35">
      <c r="C13855" s="51"/>
      <c r="D13855" s="51"/>
    </row>
    <row r="13856" spans="3:4" x14ac:dyDescent="0.35">
      <c r="C13856" s="51"/>
      <c r="D13856" s="51"/>
    </row>
    <row r="13857" spans="3:4" x14ac:dyDescent="0.35">
      <c r="C13857" s="51"/>
      <c r="D13857" s="51"/>
    </row>
    <row r="13858" spans="3:4" x14ac:dyDescent="0.35">
      <c r="C13858" s="51"/>
      <c r="D13858" s="51"/>
    </row>
    <row r="13859" spans="3:4" x14ac:dyDescent="0.35">
      <c r="C13859" s="51"/>
      <c r="D13859" s="51"/>
    </row>
    <row r="13860" spans="3:4" x14ac:dyDescent="0.35">
      <c r="C13860" s="51"/>
      <c r="D13860" s="51"/>
    </row>
    <row r="13861" spans="3:4" x14ac:dyDescent="0.35">
      <c r="C13861" s="51"/>
      <c r="D13861" s="51"/>
    </row>
    <row r="13862" spans="3:4" x14ac:dyDescent="0.35">
      <c r="C13862" s="51"/>
      <c r="D13862" s="51"/>
    </row>
    <row r="13863" spans="3:4" x14ac:dyDescent="0.35">
      <c r="C13863" s="51"/>
      <c r="D13863" s="51"/>
    </row>
    <row r="13864" spans="3:4" x14ac:dyDescent="0.35">
      <c r="C13864" s="51"/>
      <c r="D13864" s="51"/>
    </row>
    <row r="13865" spans="3:4" x14ac:dyDescent="0.35">
      <c r="C13865" s="51"/>
      <c r="D13865" s="51"/>
    </row>
    <row r="13866" spans="3:4" x14ac:dyDescent="0.35">
      <c r="C13866" s="51"/>
      <c r="D13866" s="51"/>
    </row>
    <row r="13867" spans="3:4" x14ac:dyDescent="0.35">
      <c r="C13867" s="51"/>
      <c r="D13867" s="51"/>
    </row>
    <row r="13868" spans="3:4" x14ac:dyDescent="0.35">
      <c r="C13868" s="51"/>
      <c r="D13868" s="51"/>
    </row>
    <row r="13869" spans="3:4" x14ac:dyDescent="0.35">
      <c r="C13869" s="51"/>
      <c r="D13869" s="51"/>
    </row>
    <row r="13870" spans="3:4" x14ac:dyDescent="0.35">
      <c r="C13870" s="51"/>
      <c r="D13870" s="51"/>
    </row>
    <row r="13871" spans="3:4" x14ac:dyDescent="0.35">
      <c r="C13871" s="51"/>
      <c r="D13871" s="51"/>
    </row>
    <row r="13872" spans="3:4" x14ac:dyDescent="0.35">
      <c r="C13872" s="51"/>
      <c r="D13872" s="51"/>
    </row>
    <row r="13873" spans="3:4" x14ac:dyDescent="0.35">
      <c r="C13873" s="51"/>
      <c r="D13873" s="51"/>
    </row>
    <row r="13874" spans="3:4" x14ac:dyDescent="0.35">
      <c r="C13874" s="51"/>
      <c r="D13874" s="51"/>
    </row>
    <row r="13875" spans="3:4" x14ac:dyDescent="0.35">
      <c r="C13875" s="51"/>
      <c r="D13875" s="51"/>
    </row>
    <row r="13876" spans="3:4" x14ac:dyDescent="0.35">
      <c r="C13876" s="51"/>
      <c r="D13876" s="51"/>
    </row>
    <row r="13877" spans="3:4" x14ac:dyDescent="0.35">
      <c r="C13877" s="51"/>
      <c r="D13877" s="51"/>
    </row>
    <row r="13878" spans="3:4" x14ac:dyDescent="0.35">
      <c r="C13878" s="51"/>
      <c r="D13878" s="51"/>
    </row>
    <row r="13879" spans="3:4" x14ac:dyDescent="0.35">
      <c r="C13879" s="51"/>
      <c r="D13879" s="51"/>
    </row>
    <row r="13880" spans="3:4" x14ac:dyDescent="0.35">
      <c r="C13880" s="51"/>
      <c r="D13880" s="51"/>
    </row>
    <row r="13881" spans="3:4" x14ac:dyDescent="0.35">
      <c r="C13881" s="51"/>
      <c r="D13881" s="51"/>
    </row>
    <row r="13882" spans="3:4" x14ac:dyDescent="0.35">
      <c r="C13882" s="51"/>
      <c r="D13882" s="51"/>
    </row>
    <row r="13883" spans="3:4" x14ac:dyDescent="0.35">
      <c r="C13883" s="51"/>
      <c r="D13883" s="51"/>
    </row>
    <row r="13884" spans="3:4" x14ac:dyDescent="0.35">
      <c r="C13884" s="51"/>
      <c r="D13884" s="51"/>
    </row>
    <row r="13885" spans="3:4" x14ac:dyDescent="0.35">
      <c r="C13885" s="51"/>
      <c r="D13885" s="51"/>
    </row>
    <row r="13886" spans="3:4" x14ac:dyDescent="0.35">
      <c r="C13886" s="51"/>
      <c r="D13886" s="51"/>
    </row>
    <row r="13887" spans="3:4" x14ac:dyDescent="0.35">
      <c r="C13887" s="51"/>
      <c r="D13887" s="51"/>
    </row>
    <row r="13888" spans="3:4" x14ac:dyDescent="0.35">
      <c r="C13888" s="51"/>
      <c r="D13888" s="51"/>
    </row>
    <row r="13889" spans="3:4" x14ac:dyDescent="0.35">
      <c r="C13889" s="51"/>
      <c r="D13889" s="51"/>
    </row>
    <row r="13890" spans="3:4" x14ac:dyDescent="0.35">
      <c r="C13890" s="51"/>
      <c r="D13890" s="51"/>
    </row>
    <row r="13891" spans="3:4" x14ac:dyDescent="0.35">
      <c r="C13891" s="51"/>
      <c r="D13891" s="51"/>
    </row>
    <row r="13892" spans="3:4" x14ac:dyDescent="0.35">
      <c r="C13892" s="51"/>
      <c r="D13892" s="51"/>
    </row>
    <row r="13893" spans="3:4" x14ac:dyDescent="0.35">
      <c r="C13893" s="51"/>
      <c r="D13893" s="51"/>
    </row>
    <row r="13894" spans="3:4" x14ac:dyDescent="0.35">
      <c r="C13894" s="51"/>
      <c r="D13894" s="51"/>
    </row>
    <row r="13895" spans="3:4" x14ac:dyDescent="0.35">
      <c r="C13895" s="51"/>
      <c r="D13895" s="51"/>
    </row>
    <row r="13896" spans="3:4" x14ac:dyDescent="0.35">
      <c r="C13896" s="51"/>
      <c r="D13896" s="51"/>
    </row>
    <row r="13897" spans="3:4" x14ac:dyDescent="0.35">
      <c r="C13897" s="51"/>
      <c r="D13897" s="51"/>
    </row>
    <row r="13898" spans="3:4" x14ac:dyDescent="0.35">
      <c r="C13898" s="51"/>
      <c r="D13898" s="51"/>
    </row>
    <row r="13899" spans="3:4" x14ac:dyDescent="0.35">
      <c r="C13899" s="51"/>
      <c r="D13899" s="51"/>
    </row>
    <row r="13900" spans="3:4" x14ac:dyDescent="0.35">
      <c r="C13900" s="51"/>
      <c r="D13900" s="51"/>
    </row>
    <row r="13901" spans="3:4" x14ac:dyDescent="0.35">
      <c r="C13901" s="51"/>
      <c r="D13901" s="51"/>
    </row>
    <row r="13902" spans="3:4" x14ac:dyDescent="0.35">
      <c r="C13902" s="51"/>
      <c r="D13902" s="51"/>
    </row>
    <row r="13903" spans="3:4" x14ac:dyDescent="0.35">
      <c r="C13903" s="51"/>
      <c r="D13903" s="51"/>
    </row>
    <row r="13904" spans="3:4" x14ac:dyDescent="0.35">
      <c r="C13904" s="51"/>
      <c r="D13904" s="51"/>
    </row>
    <row r="13905" spans="3:4" x14ac:dyDescent="0.35">
      <c r="C13905" s="51"/>
      <c r="D13905" s="51"/>
    </row>
    <row r="13906" spans="3:4" x14ac:dyDescent="0.35">
      <c r="C13906" s="51"/>
      <c r="D13906" s="51"/>
    </row>
    <row r="13907" spans="3:4" x14ac:dyDescent="0.35">
      <c r="C13907" s="51"/>
      <c r="D13907" s="51"/>
    </row>
    <row r="13908" spans="3:4" x14ac:dyDescent="0.35">
      <c r="C13908" s="51"/>
      <c r="D13908" s="51"/>
    </row>
    <row r="13909" spans="3:4" x14ac:dyDescent="0.35">
      <c r="C13909" s="51"/>
      <c r="D13909" s="51"/>
    </row>
    <row r="13910" spans="3:4" x14ac:dyDescent="0.35">
      <c r="C13910" s="51"/>
      <c r="D13910" s="51"/>
    </row>
    <row r="13911" spans="3:4" x14ac:dyDescent="0.35">
      <c r="C13911" s="51"/>
      <c r="D13911" s="51"/>
    </row>
    <row r="13912" spans="3:4" x14ac:dyDescent="0.35">
      <c r="C13912" s="51"/>
      <c r="D13912" s="51"/>
    </row>
    <row r="13913" spans="3:4" x14ac:dyDescent="0.35">
      <c r="C13913" s="51"/>
      <c r="D13913" s="51"/>
    </row>
    <row r="13914" spans="3:4" x14ac:dyDescent="0.35">
      <c r="C13914" s="51"/>
      <c r="D13914" s="51"/>
    </row>
    <row r="13915" spans="3:4" x14ac:dyDescent="0.35">
      <c r="C13915" s="51"/>
      <c r="D13915" s="51"/>
    </row>
    <row r="13916" spans="3:4" x14ac:dyDescent="0.35">
      <c r="C13916" s="51"/>
      <c r="D13916" s="51"/>
    </row>
    <row r="13917" spans="3:4" x14ac:dyDescent="0.35">
      <c r="C13917" s="51"/>
      <c r="D13917" s="51"/>
    </row>
    <row r="13918" spans="3:4" x14ac:dyDescent="0.35">
      <c r="C13918" s="51"/>
      <c r="D13918" s="51"/>
    </row>
    <row r="13919" spans="3:4" x14ac:dyDescent="0.35">
      <c r="C13919" s="51"/>
      <c r="D13919" s="51"/>
    </row>
    <row r="13920" spans="3:4" x14ac:dyDescent="0.35">
      <c r="C13920" s="51"/>
      <c r="D13920" s="51"/>
    </row>
    <row r="13921" spans="3:4" x14ac:dyDescent="0.35">
      <c r="C13921" s="51"/>
      <c r="D13921" s="51"/>
    </row>
    <row r="13922" spans="3:4" x14ac:dyDescent="0.35">
      <c r="C13922" s="51"/>
      <c r="D13922" s="51"/>
    </row>
    <row r="13923" spans="3:4" x14ac:dyDescent="0.35">
      <c r="C13923" s="51"/>
      <c r="D13923" s="51"/>
    </row>
    <row r="13924" spans="3:4" x14ac:dyDescent="0.35">
      <c r="C13924" s="51"/>
      <c r="D13924" s="51"/>
    </row>
    <row r="13925" spans="3:4" x14ac:dyDescent="0.35">
      <c r="C13925" s="51"/>
      <c r="D13925" s="51"/>
    </row>
    <row r="13926" spans="3:4" x14ac:dyDescent="0.35">
      <c r="C13926" s="51"/>
      <c r="D13926" s="51"/>
    </row>
    <row r="13927" spans="3:4" x14ac:dyDescent="0.35">
      <c r="C13927" s="51"/>
      <c r="D13927" s="51"/>
    </row>
    <row r="13928" spans="3:4" x14ac:dyDescent="0.35">
      <c r="C13928" s="51"/>
      <c r="D13928" s="51"/>
    </row>
    <row r="13929" spans="3:4" x14ac:dyDescent="0.35">
      <c r="C13929" s="51"/>
      <c r="D13929" s="51"/>
    </row>
    <row r="13930" spans="3:4" x14ac:dyDescent="0.35">
      <c r="C13930" s="51"/>
      <c r="D13930" s="51"/>
    </row>
    <row r="13931" spans="3:4" x14ac:dyDescent="0.35">
      <c r="C13931" s="51"/>
      <c r="D13931" s="51"/>
    </row>
    <row r="13932" spans="3:4" x14ac:dyDescent="0.35">
      <c r="C13932" s="51"/>
      <c r="D13932" s="51"/>
    </row>
    <row r="13933" spans="3:4" x14ac:dyDescent="0.35">
      <c r="C13933" s="51"/>
      <c r="D13933" s="51"/>
    </row>
    <row r="13934" spans="3:4" x14ac:dyDescent="0.35">
      <c r="C13934" s="51"/>
      <c r="D13934" s="51"/>
    </row>
    <row r="13935" spans="3:4" x14ac:dyDescent="0.35">
      <c r="C13935" s="51"/>
      <c r="D13935" s="51"/>
    </row>
    <row r="13936" spans="3:4" x14ac:dyDescent="0.35">
      <c r="C13936" s="51"/>
      <c r="D13936" s="51"/>
    </row>
    <row r="13937" spans="3:4" x14ac:dyDescent="0.35">
      <c r="C13937" s="51"/>
      <c r="D13937" s="51"/>
    </row>
    <row r="13938" spans="3:4" x14ac:dyDescent="0.35">
      <c r="C13938" s="51"/>
      <c r="D13938" s="51"/>
    </row>
    <row r="13939" spans="3:4" x14ac:dyDescent="0.35">
      <c r="C13939" s="51"/>
      <c r="D13939" s="51"/>
    </row>
    <row r="13940" spans="3:4" x14ac:dyDescent="0.35">
      <c r="C13940" s="51"/>
      <c r="D13940" s="51"/>
    </row>
    <row r="13941" spans="3:4" x14ac:dyDescent="0.35">
      <c r="C13941" s="51"/>
      <c r="D13941" s="51"/>
    </row>
    <row r="13942" spans="3:4" x14ac:dyDescent="0.35">
      <c r="C13942" s="51"/>
      <c r="D13942" s="51"/>
    </row>
    <row r="13943" spans="3:4" x14ac:dyDescent="0.35">
      <c r="C13943" s="51"/>
      <c r="D13943" s="51"/>
    </row>
    <row r="13944" spans="3:4" x14ac:dyDescent="0.35">
      <c r="C13944" s="51"/>
      <c r="D13944" s="51"/>
    </row>
    <row r="13945" spans="3:4" x14ac:dyDescent="0.35">
      <c r="C13945" s="51"/>
      <c r="D13945" s="51"/>
    </row>
    <row r="13946" spans="3:4" x14ac:dyDescent="0.35">
      <c r="C13946" s="51"/>
      <c r="D13946" s="51"/>
    </row>
    <row r="13947" spans="3:4" x14ac:dyDescent="0.35">
      <c r="C13947" s="51"/>
      <c r="D13947" s="51"/>
    </row>
    <row r="13948" spans="3:4" x14ac:dyDescent="0.35">
      <c r="C13948" s="51"/>
      <c r="D13948" s="51"/>
    </row>
    <row r="13949" spans="3:4" x14ac:dyDescent="0.35">
      <c r="C13949" s="51"/>
      <c r="D13949" s="51"/>
    </row>
    <row r="13950" spans="3:4" x14ac:dyDescent="0.35">
      <c r="C13950" s="51"/>
      <c r="D13950" s="51"/>
    </row>
    <row r="13951" spans="3:4" x14ac:dyDescent="0.35">
      <c r="C13951" s="51"/>
      <c r="D13951" s="51"/>
    </row>
    <row r="13952" spans="3:4" x14ac:dyDescent="0.35">
      <c r="C13952" s="51"/>
      <c r="D13952" s="51"/>
    </row>
    <row r="13953" spans="3:4" x14ac:dyDescent="0.35">
      <c r="C13953" s="51"/>
      <c r="D13953" s="51"/>
    </row>
    <row r="13954" spans="3:4" x14ac:dyDescent="0.35">
      <c r="C13954" s="51"/>
      <c r="D13954" s="51"/>
    </row>
    <row r="13955" spans="3:4" x14ac:dyDescent="0.35">
      <c r="C13955" s="51"/>
      <c r="D13955" s="51"/>
    </row>
    <row r="13956" spans="3:4" x14ac:dyDescent="0.35">
      <c r="C13956" s="51"/>
      <c r="D13956" s="51"/>
    </row>
    <row r="13957" spans="3:4" x14ac:dyDescent="0.35">
      <c r="C13957" s="51"/>
      <c r="D13957" s="51"/>
    </row>
    <row r="13958" spans="3:4" x14ac:dyDescent="0.35">
      <c r="C13958" s="51"/>
      <c r="D13958" s="51"/>
    </row>
    <row r="13959" spans="3:4" x14ac:dyDescent="0.35">
      <c r="C13959" s="51"/>
      <c r="D13959" s="51"/>
    </row>
    <row r="13960" spans="3:4" x14ac:dyDescent="0.35">
      <c r="C13960" s="51"/>
      <c r="D13960" s="51"/>
    </row>
    <row r="13961" spans="3:4" x14ac:dyDescent="0.35">
      <c r="C13961" s="51"/>
      <c r="D13961" s="51"/>
    </row>
    <row r="13962" spans="3:4" x14ac:dyDescent="0.35">
      <c r="C13962" s="51"/>
      <c r="D13962" s="51"/>
    </row>
    <row r="13963" spans="3:4" x14ac:dyDescent="0.35">
      <c r="C13963" s="51"/>
      <c r="D13963" s="51"/>
    </row>
    <row r="13964" spans="3:4" x14ac:dyDescent="0.35">
      <c r="C13964" s="51"/>
      <c r="D13964" s="51"/>
    </row>
    <row r="13965" spans="3:4" x14ac:dyDescent="0.35">
      <c r="C13965" s="51"/>
      <c r="D13965" s="51"/>
    </row>
    <row r="13966" spans="3:4" x14ac:dyDescent="0.35">
      <c r="C13966" s="51"/>
      <c r="D13966" s="51"/>
    </row>
    <row r="13967" spans="3:4" x14ac:dyDescent="0.35">
      <c r="C13967" s="51"/>
      <c r="D13967" s="51"/>
    </row>
    <row r="13968" spans="3:4" x14ac:dyDescent="0.35">
      <c r="C13968" s="51"/>
      <c r="D13968" s="51"/>
    </row>
    <row r="13969" spans="3:4" x14ac:dyDescent="0.35">
      <c r="C13969" s="51"/>
      <c r="D13969" s="51"/>
    </row>
    <row r="13970" spans="3:4" x14ac:dyDescent="0.35">
      <c r="C13970" s="51"/>
      <c r="D13970" s="51"/>
    </row>
    <row r="13971" spans="3:4" x14ac:dyDescent="0.35">
      <c r="C13971" s="51"/>
      <c r="D13971" s="51"/>
    </row>
    <row r="13972" spans="3:4" x14ac:dyDescent="0.35">
      <c r="C13972" s="51"/>
      <c r="D13972" s="51"/>
    </row>
    <row r="13973" spans="3:4" x14ac:dyDescent="0.35">
      <c r="C13973" s="51"/>
      <c r="D13973" s="51"/>
    </row>
    <row r="13974" spans="3:4" x14ac:dyDescent="0.35">
      <c r="C13974" s="51"/>
      <c r="D13974" s="51"/>
    </row>
    <row r="13975" spans="3:4" x14ac:dyDescent="0.35">
      <c r="C13975" s="51"/>
      <c r="D13975" s="51"/>
    </row>
    <row r="13976" spans="3:4" x14ac:dyDescent="0.35">
      <c r="C13976" s="51"/>
      <c r="D13976" s="51"/>
    </row>
    <row r="13977" spans="3:4" x14ac:dyDescent="0.35">
      <c r="C13977" s="51"/>
      <c r="D13977" s="51"/>
    </row>
    <row r="13978" spans="3:4" x14ac:dyDescent="0.35">
      <c r="C13978" s="51"/>
      <c r="D13978" s="51"/>
    </row>
    <row r="13979" spans="3:4" x14ac:dyDescent="0.35">
      <c r="C13979" s="51"/>
      <c r="D13979" s="51"/>
    </row>
    <row r="13980" spans="3:4" x14ac:dyDescent="0.35">
      <c r="C13980" s="51"/>
      <c r="D13980" s="51"/>
    </row>
    <row r="13981" spans="3:4" x14ac:dyDescent="0.35">
      <c r="C13981" s="51"/>
      <c r="D13981" s="51"/>
    </row>
    <row r="13982" spans="3:4" x14ac:dyDescent="0.35">
      <c r="C13982" s="51"/>
      <c r="D13982" s="51"/>
    </row>
    <row r="13983" spans="3:4" x14ac:dyDescent="0.35">
      <c r="C13983" s="51"/>
      <c r="D13983" s="51"/>
    </row>
    <row r="13984" spans="3:4" x14ac:dyDescent="0.35">
      <c r="C13984" s="51"/>
      <c r="D13984" s="51"/>
    </row>
    <row r="13985" spans="3:4" x14ac:dyDescent="0.35">
      <c r="C13985" s="51"/>
      <c r="D13985" s="51"/>
    </row>
    <row r="13986" spans="3:4" x14ac:dyDescent="0.35">
      <c r="C13986" s="51"/>
      <c r="D13986" s="51"/>
    </row>
    <row r="13987" spans="3:4" x14ac:dyDescent="0.35">
      <c r="C13987" s="51"/>
      <c r="D13987" s="51"/>
    </row>
    <row r="13988" spans="3:4" x14ac:dyDescent="0.35">
      <c r="C13988" s="51"/>
      <c r="D13988" s="51"/>
    </row>
    <row r="13989" spans="3:4" x14ac:dyDescent="0.35">
      <c r="C13989" s="51"/>
      <c r="D13989" s="51"/>
    </row>
    <row r="13990" spans="3:4" x14ac:dyDescent="0.35">
      <c r="C13990" s="51"/>
      <c r="D13990" s="51"/>
    </row>
    <row r="13991" spans="3:4" x14ac:dyDescent="0.35">
      <c r="C13991" s="51"/>
      <c r="D13991" s="51"/>
    </row>
    <row r="13992" spans="3:4" x14ac:dyDescent="0.35">
      <c r="C13992" s="51"/>
      <c r="D13992" s="51"/>
    </row>
    <row r="13993" spans="3:4" x14ac:dyDescent="0.35">
      <c r="C13993" s="51"/>
      <c r="D13993" s="51"/>
    </row>
    <row r="13994" spans="3:4" x14ac:dyDescent="0.35">
      <c r="C13994" s="51"/>
      <c r="D13994" s="51"/>
    </row>
    <row r="13995" spans="3:4" x14ac:dyDescent="0.35">
      <c r="C13995" s="51"/>
      <c r="D13995" s="51"/>
    </row>
    <row r="13996" spans="3:4" x14ac:dyDescent="0.35">
      <c r="C13996" s="51"/>
      <c r="D13996" s="51"/>
    </row>
    <row r="13997" spans="3:4" x14ac:dyDescent="0.35">
      <c r="C13997" s="51"/>
      <c r="D13997" s="51"/>
    </row>
    <row r="13998" spans="3:4" x14ac:dyDescent="0.35">
      <c r="C13998" s="51"/>
      <c r="D13998" s="51"/>
    </row>
    <row r="13999" spans="3:4" x14ac:dyDescent="0.35">
      <c r="C13999" s="51"/>
      <c r="D13999" s="51"/>
    </row>
    <row r="14000" spans="3:4" x14ac:dyDescent="0.35">
      <c r="C14000" s="51"/>
      <c r="D14000" s="51"/>
    </row>
    <row r="14001" spans="3:4" x14ac:dyDescent="0.35">
      <c r="C14001" s="51"/>
      <c r="D14001" s="51"/>
    </row>
    <row r="14002" spans="3:4" x14ac:dyDescent="0.35">
      <c r="C14002" s="51"/>
      <c r="D14002" s="51"/>
    </row>
    <row r="14003" spans="3:4" x14ac:dyDescent="0.35">
      <c r="C14003" s="51"/>
      <c r="D14003" s="51"/>
    </row>
    <row r="14004" spans="3:4" x14ac:dyDescent="0.35">
      <c r="C14004" s="51"/>
      <c r="D14004" s="51"/>
    </row>
    <row r="14005" spans="3:4" x14ac:dyDescent="0.35">
      <c r="C14005" s="51"/>
      <c r="D14005" s="51"/>
    </row>
    <row r="14006" spans="3:4" x14ac:dyDescent="0.35">
      <c r="C14006" s="51"/>
      <c r="D14006" s="51"/>
    </row>
    <row r="14007" spans="3:4" x14ac:dyDescent="0.35">
      <c r="C14007" s="51"/>
      <c r="D14007" s="51"/>
    </row>
    <row r="14008" spans="3:4" x14ac:dyDescent="0.35">
      <c r="C14008" s="51"/>
      <c r="D14008" s="51"/>
    </row>
    <row r="14009" spans="3:4" x14ac:dyDescent="0.35">
      <c r="C14009" s="51"/>
      <c r="D14009" s="51"/>
    </row>
    <row r="14010" spans="3:4" x14ac:dyDescent="0.35">
      <c r="C14010" s="51"/>
      <c r="D14010" s="51"/>
    </row>
    <row r="14011" spans="3:4" x14ac:dyDescent="0.35">
      <c r="C14011" s="51"/>
      <c r="D14011" s="51"/>
    </row>
    <row r="14012" spans="3:4" x14ac:dyDescent="0.35">
      <c r="C14012" s="51"/>
      <c r="D14012" s="51"/>
    </row>
    <row r="14013" spans="3:4" x14ac:dyDescent="0.35">
      <c r="C14013" s="51"/>
      <c r="D14013" s="51"/>
    </row>
    <row r="14014" spans="3:4" x14ac:dyDescent="0.35">
      <c r="C14014" s="51"/>
      <c r="D14014" s="51"/>
    </row>
    <row r="14015" spans="3:4" x14ac:dyDescent="0.35">
      <c r="C14015" s="51"/>
      <c r="D14015" s="51"/>
    </row>
    <row r="14016" spans="3:4" x14ac:dyDescent="0.35">
      <c r="C14016" s="51"/>
      <c r="D14016" s="51"/>
    </row>
    <row r="14017" spans="3:4" x14ac:dyDescent="0.35">
      <c r="C14017" s="51"/>
      <c r="D14017" s="51"/>
    </row>
    <row r="14018" spans="3:4" x14ac:dyDescent="0.35">
      <c r="C14018" s="51"/>
      <c r="D14018" s="51"/>
    </row>
    <row r="14019" spans="3:4" x14ac:dyDescent="0.35">
      <c r="C14019" s="51"/>
      <c r="D14019" s="51"/>
    </row>
    <row r="14020" spans="3:4" x14ac:dyDescent="0.35">
      <c r="C14020" s="51"/>
      <c r="D14020" s="51"/>
    </row>
    <row r="14021" spans="3:4" x14ac:dyDescent="0.35">
      <c r="C14021" s="51"/>
      <c r="D14021" s="51"/>
    </row>
    <row r="14022" spans="3:4" x14ac:dyDescent="0.35">
      <c r="C14022" s="51"/>
      <c r="D14022" s="51"/>
    </row>
    <row r="14023" spans="3:4" x14ac:dyDescent="0.35">
      <c r="C14023" s="51"/>
      <c r="D14023" s="51"/>
    </row>
    <row r="14024" spans="3:4" x14ac:dyDescent="0.35">
      <c r="C14024" s="51"/>
      <c r="D14024" s="51"/>
    </row>
    <row r="14025" spans="3:4" x14ac:dyDescent="0.35">
      <c r="C14025" s="51"/>
      <c r="D14025" s="51"/>
    </row>
    <row r="14026" spans="3:4" x14ac:dyDescent="0.35">
      <c r="C14026" s="51"/>
      <c r="D14026" s="51"/>
    </row>
    <row r="14027" spans="3:4" x14ac:dyDescent="0.35">
      <c r="C14027" s="51"/>
      <c r="D14027" s="51"/>
    </row>
    <row r="14028" spans="3:4" x14ac:dyDescent="0.35">
      <c r="C14028" s="51"/>
      <c r="D14028" s="51"/>
    </row>
    <row r="14029" spans="3:4" x14ac:dyDescent="0.35">
      <c r="C14029" s="51"/>
      <c r="D14029" s="51"/>
    </row>
    <row r="14030" spans="3:4" x14ac:dyDescent="0.35">
      <c r="C14030" s="51"/>
      <c r="D14030" s="51"/>
    </row>
    <row r="14031" spans="3:4" x14ac:dyDescent="0.35">
      <c r="C14031" s="51"/>
      <c r="D14031" s="51"/>
    </row>
    <row r="14032" spans="3:4" x14ac:dyDescent="0.35">
      <c r="C14032" s="51"/>
      <c r="D14032" s="51"/>
    </row>
    <row r="14033" spans="3:4" x14ac:dyDescent="0.35">
      <c r="C14033" s="51"/>
      <c r="D14033" s="51"/>
    </row>
    <row r="14034" spans="3:4" x14ac:dyDescent="0.35">
      <c r="C14034" s="51"/>
      <c r="D14034" s="51"/>
    </row>
    <row r="14035" spans="3:4" x14ac:dyDescent="0.35">
      <c r="C14035" s="51"/>
      <c r="D14035" s="51"/>
    </row>
    <row r="14036" spans="3:4" x14ac:dyDescent="0.35">
      <c r="C14036" s="51"/>
      <c r="D14036" s="51"/>
    </row>
    <row r="14037" spans="3:4" x14ac:dyDescent="0.35">
      <c r="C14037" s="51"/>
      <c r="D14037" s="51"/>
    </row>
    <row r="14038" spans="3:4" x14ac:dyDescent="0.35">
      <c r="C14038" s="51"/>
      <c r="D14038" s="51"/>
    </row>
    <row r="14039" spans="3:4" x14ac:dyDescent="0.35">
      <c r="C14039" s="51"/>
      <c r="D14039" s="51"/>
    </row>
    <row r="14040" spans="3:4" x14ac:dyDescent="0.35">
      <c r="C14040" s="51"/>
      <c r="D14040" s="51"/>
    </row>
    <row r="14041" spans="3:4" x14ac:dyDescent="0.35">
      <c r="C14041" s="51"/>
      <c r="D14041" s="51"/>
    </row>
    <row r="14042" spans="3:4" x14ac:dyDescent="0.35">
      <c r="C14042" s="51"/>
      <c r="D14042" s="51"/>
    </row>
    <row r="14043" spans="3:4" x14ac:dyDescent="0.35">
      <c r="C14043" s="51"/>
      <c r="D14043" s="51"/>
    </row>
    <row r="14044" spans="3:4" x14ac:dyDescent="0.35">
      <c r="C14044" s="51"/>
      <c r="D14044" s="51"/>
    </row>
    <row r="14045" spans="3:4" x14ac:dyDescent="0.35">
      <c r="C14045" s="51"/>
      <c r="D14045" s="51"/>
    </row>
    <row r="14046" spans="3:4" x14ac:dyDescent="0.35">
      <c r="C14046" s="51"/>
      <c r="D14046" s="51"/>
    </row>
    <row r="14047" spans="3:4" x14ac:dyDescent="0.35">
      <c r="C14047" s="51"/>
      <c r="D14047" s="51"/>
    </row>
    <row r="14048" spans="3:4" x14ac:dyDescent="0.35">
      <c r="C14048" s="51"/>
      <c r="D14048" s="51"/>
    </row>
    <row r="14049" spans="3:4" x14ac:dyDescent="0.35">
      <c r="C14049" s="51"/>
      <c r="D14049" s="51"/>
    </row>
    <row r="14050" spans="3:4" x14ac:dyDescent="0.35">
      <c r="C14050" s="51"/>
      <c r="D14050" s="51"/>
    </row>
    <row r="14051" spans="3:4" x14ac:dyDescent="0.35">
      <c r="C14051" s="51"/>
      <c r="D14051" s="51"/>
    </row>
    <row r="14052" spans="3:4" x14ac:dyDescent="0.35">
      <c r="C14052" s="51"/>
      <c r="D14052" s="51"/>
    </row>
    <row r="14053" spans="3:4" x14ac:dyDescent="0.35">
      <c r="C14053" s="51"/>
      <c r="D14053" s="51"/>
    </row>
    <row r="14054" spans="3:4" x14ac:dyDescent="0.35">
      <c r="C14054" s="51"/>
      <c r="D14054" s="51"/>
    </row>
    <row r="14055" spans="3:4" x14ac:dyDescent="0.35">
      <c r="C14055" s="51"/>
      <c r="D14055" s="51"/>
    </row>
    <row r="14056" spans="3:4" x14ac:dyDescent="0.35">
      <c r="C14056" s="51"/>
      <c r="D14056" s="51"/>
    </row>
    <row r="14057" spans="3:4" x14ac:dyDescent="0.35">
      <c r="C14057" s="51"/>
      <c r="D14057" s="51"/>
    </row>
    <row r="14058" spans="3:4" x14ac:dyDescent="0.35">
      <c r="C14058" s="51"/>
      <c r="D14058" s="51"/>
    </row>
    <row r="14059" spans="3:4" x14ac:dyDescent="0.35">
      <c r="C14059" s="51"/>
      <c r="D14059" s="51"/>
    </row>
    <row r="14060" spans="3:4" x14ac:dyDescent="0.35">
      <c r="C14060" s="51"/>
      <c r="D14060" s="51"/>
    </row>
    <row r="14061" spans="3:4" x14ac:dyDescent="0.35">
      <c r="C14061" s="51"/>
      <c r="D14061" s="51"/>
    </row>
    <row r="14062" spans="3:4" x14ac:dyDescent="0.35">
      <c r="C14062" s="51"/>
      <c r="D14062" s="51"/>
    </row>
    <row r="14063" spans="3:4" x14ac:dyDescent="0.35">
      <c r="C14063" s="51"/>
      <c r="D14063" s="51"/>
    </row>
    <row r="14064" spans="3:4" x14ac:dyDescent="0.35">
      <c r="C14064" s="51"/>
      <c r="D14064" s="51"/>
    </row>
    <row r="14065" spans="3:4" x14ac:dyDescent="0.35">
      <c r="C14065" s="51"/>
      <c r="D14065" s="51"/>
    </row>
    <row r="14066" spans="3:4" x14ac:dyDescent="0.35">
      <c r="C14066" s="51"/>
      <c r="D14066" s="51"/>
    </row>
    <row r="14067" spans="3:4" x14ac:dyDescent="0.35">
      <c r="C14067" s="51"/>
      <c r="D14067" s="51"/>
    </row>
    <row r="14068" spans="3:4" x14ac:dyDescent="0.35">
      <c r="C14068" s="51"/>
      <c r="D14068" s="51"/>
    </row>
    <row r="14069" spans="3:4" x14ac:dyDescent="0.35">
      <c r="C14069" s="51"/>
      <c r="D14069" s="51"/>
    </row>
    <row r="14070" spans="3:4" x14ac:dyDescent="0.35">
      <c r="C14070" s="51"/>
      <c r="D14070" s="51"/>
    </row>
    <row r="14071" spans="3:4" x14ac:dyDescent="0.35">
      <c r="C14071" s="51"/>
      <c r="D14071" s="51"/>
    </row>
    <row r="14072" spans="3:4" x14ac:dyDescent="0.35">
      <c r="C14072" s="51"/>
      <c r="D14072" s="51"/>
    </row>
    <row r="14073" spans="3:4" x14ac:dyDescent="0.35">
      <c r="C14073" s="51"/>
      <c r="D14073" s="51"/>
    </row>
    <row r="14074" spans="3:4" x14ac:dyDescent="0.35">
      <c r="C14074" s="51"/>
      <c r="D14074" s="51"/>
    </row>
    <row r="14075" spans="3:4" x14ac:dyDescent="0.35">
      <c r="C14075" s="51"/>
      <c r="D14075" s="51"/>
    </row>
    <row r="14076" spans="3:4" x14ac:dyDescent="0.35">
      <c r="C14076" s="51"/>
      <c r="D14076" s="51"/>
    </row>
    <row r="14077" spans="3:4" x14ac:dyDescent="0.35">
      <c r="C14077" s="51"/>
      <c r="D14077" s="51"/>
    </row>
    <row r="14078" spans="3:4" x14ac:dyDescent="0.35">
      <c r="C14078" s="51"/>
      <c r="D14078" s="51"/>
    </row>
    <row r="14079" spans="3:4" x14ac:dyDescent="0.35">
      <c r="C14079" s="51"/>
      <c r="D14079" s="51"/>
    </row>
    <row r="14080" spans="3:4" x14ac:dyDescent="0.35">
      <c r="C14080" s="51"/>
      <c r="D14080" s="51"/>
    </row>
    <row r="14081" spans="3:4" x14ac:dyDescent="0.35">
      <c r="C14081" s="51"/>
      <c r="D14081" s="51"/>
    </row>
    <row r="14082" spans="3:4" x14ac:dyDescent="0.35">
      <c r="C14082" s="51"/>
      <c r="D14082" s="51"/>
    </row>
    <row r="14083" spans="3:4" x14ac:dyDescent="0.35">
      <c r="C14083" s="51"/>
      <c r="D14083" s="51"/>
    </row>
    <row r="14084" spans="3:4" x14ac:dyDescent="0.35">
      <c r="C14084" s="51"/>
      <c r="D14084" s="51"/>
    </row>
    <row r="14085" spans="3:4" x14ac:dyDescent="0.35">
      <c r="C14085" s="51"/>
      <c r="D14085" s="51"/>
    </row>
    <row r="14086" spans="3:4" x14ac:dyDescent="0.35">
      <c r="C14086" s="51"/>
      <c r="D14086" s="51"/>
    </row>
    <row r="14087" spans="3:4" x14ac:dyDescent="0.35">
      <c r="C14087" s="51"/>
      <c r="D14087" s="51"/>
    </row>
    <row r="14088" spans="3:4" x14ac:dyDescent="0.35">
      <c r="C14088" s="51"/>
      <c r="D14088" s="51"/>
    </row>
    <row r="14089" spans="3:4" x14ac:dyDescent="0.35">
      <c r="C14089" s="51"/>
      <c r="D14089" s="51"/>
    </row>
    <row r="14090" spans="3:4" x14ac:dyDescent="0.35">
      <c r="C14090" s="51"/>
      <c r="D14090" s="51"/>
    </row>
    <row r="14091" spans="3:4" x14ac:dyDescent="0.35">
      <c r="C14091" s="51"/>
      <c r="D14091" s="51"/>
    </row>
    <row r="14092" spans="3:4" x14ac:dyDescent="0.35">
      <c r="C14092" s="51"/>
      <c r="D14092" s="51"/>
    </row>
    <row r="14093" spans="3:4" x14ac:dyDescent="0.35">
      <c r="C14093" s="51"/>
      <c r="D14093" s="51"/>
    </row>
    <row r="14094" spans="3:4" x14ac:dyDescent="0.35">
      <c r="C14094" s="51"/>
      <c r="D14094" s="51"/>
    </row>
    <row r="14095" spans="3:4" x14ac:dyDescent="0.35">
      <c r="C14095" s="51"/>
      <c r="D14095" s="51"/>
    </row>
    <row r="14096" spans="3:4" x14ac:dyDescent="0.35">
      <c r="C14096" s="51"/>
      <c r="D14096" s="51"/>
    </row>
    <row r="14097" spans="3:4" x14ac:dyDescent="0.35">
      <c r="C14097" s="51"/>
      <c r="D14097" s="51"/>
    </row>
    <row r="14098" spans="3:4" x14ac:dyDescent="0.35">
      <c r="C14098" s="51"/>
      <c r="D14098" s="51"/>
    </row>
    <row r="14099" spans="3:4" x14ac:dyDescent="0.35">
      <c r="C14099" s="51"/>
      <c r="D14099" s="51"/>
    </row>
    <row r="14100" spans="3:4" x14ac:dyDescent="0.35">
      <c r="C14100" s="51"/>
      <c r="D14100" s="51"/>
    </row>
    <row r="14101" spans="3:4" x14ac:dyDescent="0.35">
      <c r="C14101" s="51"/>
      <c r="D14101" s="51"/>
    </row>
    <row r="14102" spans="3:4" x14ac:dyDescent="0.35">
      <c r="C14102" s="51"/>
      <c r="D14102" s="51"/>
    </row>
    <row r="14103" spans="3:4" x14ac:dyDescent="0.35">
      <c r="C14103" s="51"/>
      <c r="D14103" s="51"/>
    </row>
    <row r="14104" spans="3:4" x14ac:dyDescent="0.35">
      <c r="C14104" s="51"/>
      <c r="D14104" s="51"/>
    </row>
    <row r="14105" spans="3:4" x14ac:dyDescent="0.35">
      <c r="C14105" s="51"/>
      <c r="D14105" s="51"/>
    </row>
    <row r="14106" spans="3:4" x14ac:dyDescent="0.35">
      <c r="C14106" s="51"/>
      <c r="D14106" s="51"/>
    </row>
    <row r="14107" spans="3:4" x14ac:dyDescent="0.35">
      <c r="C14107" s="51"/>
      <c r="D14107" s="51"/>
    </row>
    <row r="14108" spans="3:4" x14ac:dyDescent="0.35">
      <c r="C14108" s="51"/>
      <c r="D14108" s="51"/>
    </row>
    <row r="14109" spans="3:4" x14ac:dyDescent="0.35">
      <c r="C14109" s="51"/>
      <c r="D14109" s="51"/>
    </row>
    <row r="14110" spans="3:4" x14ac:dyDescent="0.35">
      <c r="C14110" s="51"/>
      <c r="D14110" s="51"/>
    </row>
    <row r="14111" spans="3:4" x14ac:dyDescent="0.35">
      <c r="C14111" s="51"/>
      <c r="D14111" s="51"/>
    </row>
    <row r="14112" spans="3:4" x14ac:dyDescent="0.35">
      <c r="C14112" s="51"/>
      <c r="D14112" s="51"/>
    </row>
    <row r="14113" spans="3:4" x14ac:dyDescent="0.35">
      <c r="C14113" s="51"/>
      <c r="D14113" s="51"/>
    </row>
    <row r="14114" spans="3:4" x14ac:dyDescent="0.35">
      <c r="C14114" s="51"/>
      <c r="D14114" s="51"/>
    </row>
    <row r="14115" spans="3:4" x14ac:dyDescent="0.35">
      <c r="C14115" s="51"/>
      <c r="D14115" s="51"/>
    </row>
    <row r="14116" spans="3:4" x14ac:dyDescent="0.35">
      <c r="C14116" s="51"/>
      <c r="D14116" s="51"/>
    </row>
    <row r="14117" spans="3:4" x14ac:dyDescent="0.35">
      <c r="C14117" s="51"/>
      <c r="D14117" s="51"/>
    </row>
    <row r="14118" spans="3:4" x14ac:dyDescent="0.35">
      <c r="C14118" s="51"/>
      <c r="D14118" s="51"/>
    </row>
    <row r="14119" spans="3:4" x14ac:dyDescent="0.35">
      <c r="C14119" s="51"/>
      <c r="D14119" s="51"/>
    </row>
    <row r="14120" spans="3:4" x14ac:dyDescent="0.35">
      <c r="C14120" s="51"/>
      <c r="D14120" s="51"/>
    </row>
    <row r="14121" spans="3:4" x14ac:dyDescent="0.35">
      <c r="C14121" s="51"/>
      <c r="D14121" s="51"/>
    </row>
    <row r="14122" spans="3:4" x14ac:dyDescent="0.35">
      <c r="C14122" s="51"/>
      <c r="D14122" s="51"/>
    </row>
    <row r="14123" spans="3:4" x14ac:dyDescent="0.35">
      <c r="C14123" s="51"/>
      <c r="D14123" s="51"/>
    </row>
    <row r="14124" spans="3:4" x14ac:dyDescent="0.35">
      <c r="C14124" s="51"/>
      <c r="D14124" s="51"/>
    </row>
    <row r="14125" spans="3:4" x14ac:dyDescent="0.35">
      <c r="C14125" s="51"/>
      <c r="D14125" s="51"/>
    </row>
    <row r="14126" spans="3:4" x14ac:dyDescent="0.35">
      <c r="C14126" s="51"/>
      <c r="D14126" s="51"/>
    </row>
    <row r="14127" spans="3:4" x14ac:dyDescent="0.35">
      <c r="C14127" s="51"/>
      <c r="D14127" s="51"/>
    </row>
    <row r="14128" spans="3:4" x14ac:dyDescent="0.35">
      <c r="C14128" s="51"/>
      <c r="D14128" s="51"/>
    </row>
    <row r="14129" spans="3:4" x14ac:dyDescent="0.35">
      <c r="C14129" s="51"/>
      <c r="D14129" s="51"/>
    </row>
    <row r="14130" spans="3:4" x14ac:dyDescent="0.35">
      <c r="C14130" s="51"/>
      <c r="D14130" s="51"/>
    </row>
    <row r="14131" spans="3:4" x14ac:dyDescent="0.35">
      <c r="C14131" s="51"/>
      <c r="D14131" s="51"/>
    </row>
    <row r="14132" spans="3:4" x14ac:dyDescent="0.35">
      <c r="C14132" s="51"/>
      <c r="D14132" s="51"/>
    </row>
    <row r="14133" spans="3:4" x14ac:dyDescent="0.35">
      <c r="C14133" s="51"/>
      <c r="D14133" s="51"/>
    </row>
    <row r="14134" spans="3:4" x14ac:dyDescent="0.35">
      <c r="C14134" s="51"/>
      <c r="D14134" s="51"/>
    </row>
    <row r="14135" spans="3:4" x14ac:dyDescent="0.35">
      <c r="C14135" s="51"/>
      <c r="D14135" s="51"/>
    </row>
    <row r="14136" spans="3:4" x14ac:dyDescent="0.35">
      <c r="C14136" s="51"/>
      <c r="D14136" s="51"/>
    </row>
    <row r="14137" spans="3:4" x14ac:dyDescent="0.35">
      <c r="C14137" s="51"/>
      <c r="D14137" s="51"/>
    </row>
    <row r="14138" spans="3:4" x14ac:dyDescent="0.35">
      <c r="C14138" s="51"/>
      <c r="D14138" s="51"/>
    </row>
    <row r="14139" spans="3:4" x14ac:dyDescent="0.35">
      <c r="C14139" s="51"/>
      <c r="D14139" s="51"/>
    </row>
    <row r="14140" spans="3:4" x14ac:dyDescent="0.35">
      <c r="C14140" s="51"/>
      <c r="D14140" s="51"/>
    </row>
    <row r="14141" spans="3:4" x14ac:dyDescent="0.35">
      <c r="C14141" s="51"/>
      <c r="D14141" s="51"/>
    </row>
    <row r="14142" spans="3:4" x14ac:dyDescent="0.35">
      <c r="C14142" s="51"/>
      <c r="D14142" s="51"/>
    </row>
    <row r="14143" spans="3:4" x14ac:dyDescent="0.35">
      <c r="C14143" s="51"/>
      <c r="D14143" s="51"/>
    </row>
    <row r="14144" spans="3:4" x14ac:dyDescent="0.35">
      <c r="C14144" s="51"/>
      <c r="D14144" s="51"/>
    </row>
    <row r="14145" spans="3:4" x14ac:dyDescent="0.35">
      <c r="C14145" s="51"/>
      <c r="D14145" s="51"/>
    </row>
    <row r="14146" spans="3:4" x14ac:dyDescent="0.35">
      <c r="C14146" s="51"/>
      <c r="D14146" s="51"/>
    </row>
    <row r="14147" spans="3:4" x14ac:dyDescent="0.35">
      <c r="C14147" s="51"/>
      <c r="D14147" s="51"/>
    </row>
    <row r="14148" spans="3:4" x14ac:dyDescent="0.35">
      <c r="C14148" s="51"/>
      <c r="D14148" s="51"/>
    </row>
    <row r="14149" spans="3:4" x14ac:dyDescent="0.35">
      <c r="C14149" s="51"/>
      <c r="D14149" s="51"/>
    </row>
    <row r="14150" spans="3:4" x14ac:dyDescent="0.35">
      <c r="C14150" s="51"/>
      <c r="D14150" s="51"/>
    </row>
    <row r="14151" spans="3:4" x14ac:dyDescent="0.35">
      <c r="C14151" s="51"/>
      <c r="D14151" s="51"/>
    </row>
    <row r="14152" spans="3:4" x14ac:dyDescent="0.35">
      <c r="C14152" s="51"/>
      <c r="D14152" s="51"/>
    </row>
    <row r="14153" spans="3:4" x14ac:dyDescent="0.35">
      <c r="C14153" s="51"/>
      <c r="D14153" s="51"/>
    </row>
    <row r="14154" spans="3:4" x14ac:dyDescent="0.35">
      <c r="C14154" s="51"/>
      <c r="D14154" s="51"/>
    </row>
    <row r="14155" spans="3:4" x14ac:dyDescent="0.35">
      <c r="C14155" s="51"/>
      <c r="D14155" s="51"/>
    </row>
    <row r="14156" spans="3:4" x14ac:dyDescent="0.35">
      <c r="C14156" s="51"/>
      <c r="D14156" s="51"/>
    </row>
    <row r="14157" spans="3:4" x14ac:dyDescent="0.35">
      <c r="C14157" s="51"/>
      <c r="D14157" s="51"/>
    </row>
    <row r="14158" spans="3:4" x14ac:dyDescent="0.35">
      <c r="C14158" s="51"/>
      <c r="D14158" s="51"/>
    </row>
    <row r="14159" spans="3:4" x14ac:dyDescent="0.35">
      <c r="C14159" s="51"/>
      <c r="D14159" s="51"/>
    </row>
    <row r="14160" spans="3:4" x14ac:dyDescent="0.35">
      <c r="C14160" s="51"/>
      <c r="D14160" s="51"/>
    </row>
    <row r="14161" spans="3:4" x14ac:dyDescent="0.35">
      <c r="C14161" s="51"/>
      <c r="D14161" s="51"/>
    </row>
    <row r="14162" spans="3:4" x14ac:dyDescent="0.35">
      <c r="C14162" s="51"/>
      <c r="D14162" s="51"/>
    </row>
    <row r="14163" spans="3:4" x14ac:dyDescent="0.35">
      <c r="C14163" s="51"/>
      <c r="D14163" s="51"/>
    </row>
    <row r="14164" spans="3:4" x14ac:dyDescent="0.35">
      <c r="C14164" s="51"/>
      <c r="D14164" s="51"/>
    </row>
    <row r="14165" spans="3:4" x14ac:dyDescent="0.35">
      <c r="C14165" s="51"/>
      <c r="D14165" s="51"/>
    </row>
    <row r="14166" spans="3:4" x14ac:dyDescent="0.35">
      <c r="C14166" s="51"/>
      <c r="D14166" s="51"/>
    </row>
    <row r="14167" spans="3:4" x14ac:dyDescent="0.35">
      <c r="C14167" s="51"/>
      <c r="D14167" s="51"/>
    </row>
    <row r="14168" spans="3:4" x14ac:dyDescent="0.35">
      <c r="C14168" s="51"/>
      <c r="D14168" s="51"/>
    </row>
    <row r="14169" spans="3:4" x14ac:dyDescent="0.35">
      <c r="C14169" s="51"/>
      <c r="D14169" s="51"/>
    </row>
    <row r="14170" spans="3:4" x14ac:dyDescent="0.35">
      <c r="C14170" s="51"/>
      <c r="D14170" s="51"/>
    </row>
    <row r="14171" spans="3:4" x14ac:dyDescent="0.35">
      <c r="C14171" s="51"/>
      <c r="D14171" s="51"/>
    </row>
    <row r="14172" spans="3:4" x14ac:dyDescent="0.35">
      <c r="C14172" s="51"/>
      <c r="D14172" s="51"/>
    </row>
    <row r="14173" spans="3:4" x14ac:dyDescent="0.35">
      <c r="C14173" s="51"/>
      <c r="D14173" s="51"/>
    </row>
    <row r="14174" spans="3:4" x14ac:dyDescent="0.35">
      <c r="C14174" s="51"/>
      <c r="D14174" s="51"/>
    </row>
    <row r="14175" spans="3:4" x14ac:dyDescent="0.35">
      <c r="C14175" s="51"/>
      <c r="D14175" s="51"/>
    </row>
    <row r="14176" spans="3:4" x14ac:dyDescent="0.35">
      <c r="C14176" s="51"/>
      <c r="D14176" s="51"/>
    </row>
    <row r="14177" spans="3:4" x14ac:dyDescent="0.35">
      <c r="C14177" s="51"/>
      <c r="D14177" s="51"/>
    </row>
    <row r="14178" spans="3:4" x14ac:dyDescent="0.35">
      <c r="C14178" s="51"/>
      <c r="D14178" s="51"/>
    </row>
    <row r="14179" spans="3:4" x14ac:dyDescent="0.35">
      <c r="C14179" s="51"/>
      <c r="D14179" s="51"/>
    </row>
    <row r="14180" spans="3:4" x14ac:dyDescent="0.35">
      <c r="C14180" s="51"/>
      <c r="D14180" s="51"/>
    </row>
    <row r="14181" spans="3:4" x14ac:dyDescent="0.35">
      <c r="C14181" s="51"/>
      <c r="D14181" s="51"/>
    </row>
    <row r="14182" spans="3:4" x14ac:dyDescent="0.35">
      <c r="C14182" s="51"/>
      <c r="D14182" s="51"/>
    </row>
    <row r="14183" spans="3:4" x14ac:dyDescent="0.35">
      <c r="C14183" s="51"/>
      <c r="D14183" s="51"/>
    </row>
    <row r="14184" spans="3:4" x14ac:dyDescent="0.35">
      <c r="C14184" s="51"/>
      <c r="D14184" s="51"/>
    </row>
    <row r="14185" spans="3:4" x14ac:dyDescent="0.35">
      <c r="C14185" s="51"/>
      <c r="D14185" s="51"/>
    </row>
    <row r="14186" spans="3:4" x14ac:dyDescent="0.35">
      <c r="C14186" s="51"/>
      <c r="D14186" s="51"/>
    </row>
    <row r="14187" spans="3:4" x14ac:dyDescent="0.35">
      <c r="C14187" s="51"/>
      <c r="D14187" s="51"/>
    </row>
    <row r="14188" spans="3:4" x14ac:dyDescent="0.35">
      <c r="C14188" s="51"/>
      <c r="D14188" s="51"/>
    </row>
    <row r="14189" spans="3:4" x14ac:dyDescent="0.35">
      <c r="C14189" s="51"/>
      <c r="D14189" s="51"/>
    </row>
    <row r="14190" spans="3:4" x14ac:dyDescent="0.35">
      <c r="C14190" s="51"/>
      <c r="D14190" s="51"/>
    </row>
    <row r="14191" spans="3:4" x14ac:dyDescent="0.35">
      <c r="C14191" s="51"/>
      <c r="D14191" s="51"/>
    </row>
    <row r="14192" spans="3:4" x14ac:dyDescent="0.35">
      <c r="C14192" s="51"/>
      <c r="D14192" s="51"/>
    </row>
    <row r="14193" spans="3:4" x14ac:dyDescent="0.35">
      <c r="C14193" s="51"/>
      <c r="D14193" s="51"/>
    </row>
    <row r="14194" spans="3:4" x14ac:dyDescent="0.35">
      <c r="C14194" s="51"/>
      <c r="D14194" s="51"/>
    </row>
    <row r="14195" spans="3:4" x14ac:dyDescent="0.35">
      <c r="C14195" s="51"/>
      <c r="D14195" s="51"/>
    </row>
    <row r="14196" spans="3:4" x14ac:dyDescent="0.35">
      <c r="C14196" s="51"/>
      <c r="D14196" s="51"/>
    </row>
    <row r="14197" spans="3:4" x14ac:dyDescent="0.35">
      <c r="C14197" s="51"/>
      <c r="D14197" s="51"/>
    </row>
    <row r="14198" spans="3:4" x14ac:dyDescent="0.35">
      <c r="C14198" s="51"/>
      <c r="D14198" s="51"/>
    </row>
    <row r="14199" spans="3:4" x14ac:dyDescent="0.35">
      <c r="C14199" s="51"/>
      <c r="D14199" s="51"/>
    </row>
    <row r="14200" spans="3:4" x14ac:dyDescent="0.35">
      <c r="C14200" s="51"/>
      <c r="D14200" s="51"/>
    </row>
    <row r="14201" spans="3:4" x14ac:dyDescent="0.35">
      <c r="C14201" s="51"/>
      <c r="D14201" s="51"/>
    </row>
    <row r="14202" spans="3:4" x14ac:dyDescent="0.35">
      <c r="C14202" s="51"/>
      <c r="D14202" s="51"/>
    </row>
    <row r="14203" spans="3:4" x14ac:dyDescent="0.35">
      <c r="C14203" s="51"/>
      <c r="D14203" s="51"/>
    </row>
    <row r="14204" spans="3:4" x14ac:dyDescent="0.35">
      <c r="C14204" s="51"/>
      <c r="D14204" s="51"/>
    </row>
    <row r="14205" spans="3:4" x14ac:dyDescent="0.35">
      <c r="C14205" s="51"/>
      <c r="D14205" s="51"/>
    </row>
    <row r="14206" spans="3:4" x14ac:dyDescent="0.35">
      <c r="C14206" s="51"/>
      <c r="D14206" s="51"/>
    </row>
    <row r="14207" spans="3:4" x14ac:dyDescent="0.35">
      <c r="C14207" s="51"/>
      <c r="D14207" s="51"/>
    </row>
    <row r="14208" spans="3:4" x14ac:dyDescent="0.35">
      <c r="C14208" s="51"/>
      <c r="D14208" s="51"/>
    </row>
    <row r="14209" spans="3:4" x14ac:dyDescent="0.35">
      <c r="C14209" s="51"/>
      <c r="D14209" s="51"/>
    </row>
    <row r="14210" spans="3:4" x14ac:dyDescent="0.35">
      <c r="C14210" s="51"/>
      <c r="D14210" s="51"/>
    </row>
    <row r="14211" spans="3:4" x14ac:dyDescent="0.35">
      <c r="C14211" s="51"/>
      <c r="D14211" s="51"/>
    </row>
    <row r="14212" spans="3:4" x14ac:dyDescent="0.35">
      <c r="C14212" s="51"/>
      <c r="D14212" s="51"/>
    </row>
    <row r="14213" spans="3:4" x14ac:dyDescent="0.35">
      <c r="C14213" s="51"/>
      <c r="D14213" s="51"/>
    </row>
    <row r="14214" spans="3:4" x14ac:dyDescent="0.35">
      <c r="C14214" s="51"/>
      <c r="D14214" s="51"/>
    </row>
    <row r="14215" spans="3:4" x14ac:dyDescent="0.35">
      <c r="C14215" s="51"/>
      <c r="D14215" s="51"/>
    </row>
    <row r="14216" spans="3:4" x14ac:dyDescent="0.35">
      <c r="C14216" s="51"/>
      <c r="D14216" s="51"/>
    </row>
    <row r="14217" spans="3:4" x14ac:dyDescent="0.35">
      <c r="C14217" s="51"/>
      <c r="D14217" s="51"/>
    </row>
    <row r="14218" spans="3:4" x14ac:dyDescent="0.35">
      <c r="C14218" s="51"/>
      <c r="D14218" s="51"/>
    </row>
    <row r="14219" spans="3:4" x14ac:dyDescent="0.35">
      <c r="C14219" s="51"/>
      <c r="D14219" s="51"/>
    </row>
    <row r="14220" spans="3:4" x14ac:dyDescent="0.35">
      <c r="C14220" s="51"/>
      <c r="D14220" s="51"/>
    </row>
    <row r="14221" spans="3:4" x14ac:dyDescent="0.35">
      <c r="C14221" s="51"/>
      <c r="D14221" s="51"/>
    </row>
    <row r="14222" spans="3:4" x14ac:dyDescent="0.35">
      <c r="C14222" s="51"/>
      <c r="D14222" s="51"/>
    </row>
    <row r="14223" spans="3:4" x14ac:dyDescent="0.35">
      <c r="C14223" s="51"/>
      <c r="D14223" s="51"/>
    </row>
    <row r="14224" spans="3:4" x14ac:dyDescent="0.35">
      <c r="C14224" s="51"/>
      <c r="D14224" s="51"/>
    </row>
    <row r="14225" spans="3:4" x14ac:dyDescent="0.35">
      <c r="C14225" s="51"/>
      <c r="D14225" s="51"/>
    </row>
    <row r="14226" spans="3:4" x14ac:dyDescent="0.35">
      <c r="C14226" s="51"/>
      <c r="D14226" s="51"/>
    </row>
    <row r="14227" spans="3:4" x14ac:dyDescent="0.35">
      <c r="C14227" s="51"/>
      <c r="D14227" s="51"/>
    </row>
    <row r="14228" spans="3:4" x14ac:dyDescent="0.35">
      <c r="C14228" s="51"/>
      <c r="D14228" s="51"/>
    </row>
    <row r="14229" spans="3:4" x14ac:dyDescent="0.35">
      <c r="C14229" s="51"/>
      <c r="D14229" s="51"/>
    </row>
    <row r="14230" spans="3:4" x14ac:dyDescent="0.35">
      <c r="C14230" s="51"/>
      <c r="D14230" s="51"/>
    </row>
    <row r="14231" spans="3:4" x14ac:dyDescent="0.35">
      <c r="C14231" s="51"/>
      <c r="D14231" s="51"/>
    </row>
    <row r="14232" spans="3:4" x14ac:dyDescent="0.35">
      <c r="C14232" s="51"/>
      <c r="D14232" s="51"/>
    </row>
    <row r="14233" spans="3:4" x14ac:dyDescent="0.35">
      <c r="C14233" s="51"/>
      <c r="D14233" s="51"/>
    </row>
    <row r="14234" spans="3:4" x14ac:dyDescent="0.35">
      <c r="C14234" s="51"/>
      <c r="D14234" s="51"/>
    </row>
    <row r="14235" spans="3:4" x14ac:dyDescent="0.35">
      <c r="C14235" s="51"/>
      <c r="D14235" s="51"/>
    </row>
    <row r="14236" spans="3:4" x14ac:dyDescent="0.35">
      <c r="C14236" s="51"/>
      <c r="D14236" s="51"/>
    </row>
    <row r="14237" spans="3:4" x14ac:dyDescent="0.35">
      <c r="C14237" s="51"/>
      <c r="D14237" s="51"/>
    </row>
    <row r="14238" spans="3:4" x14ac:dyDescent="0.35">
      <c r="C14238" s="51"/>
      <c r="D14238" s="51"/>
    </row>
    <row r="14239" spans="3:4" x14ac:dyDescent="0.35">
      <c r="C14239" s="51"/>
      <c r="D14239" s="51"/>
    </row>
    <row r="14240" spans="3:4" x14ac:dyDescent="0.35">
      <c r="C14240" s="51"/>
      <c r="D14240" s="51"/>
    </row>
    <row r="14241" spans="3:4" x14ac:dyDescent="0.35">
      <c r="C14241" s="51"/>
      <c r="D14241" s="51"/>
    </row>
    <row r="14242" spans="3:4" x14ac:dyDescent="0.35">
      <c r="C14242" s="51"/>
      <c r="D14242" s="51"/>
    </row>
    <row r="14243" spans="3:4" x14ac:dyDescent="0.35">
      <c r="C14243" s="51"/>
      <c r="D14243" s="51"/>
    </row>
    <row r="14244" spans="3:4" x14ac:dyDescent="0.35">
      <c r="C14244" s="51"/>
      <c r="D14244" s="51"/>
    </row>
    <row r="14245" spans="3:4" x14ac:dyDescent="0.35">
      <c r="C14245" s="51"/>
      <c r="D14245" s="51"/>
    </row>
    <row r="14246" spans="3:4" x14ac:dyDescent="0.35">
      <c r="C14246" s="51"/>
      <c r="D14246" s="51"/>
    </row>
    <row r="14247" spans="3:4" x14ac:dyDescent="0.35">
      <c r="C14247" s="51"/>
      <c r="D14247" s="51"/>
    </row>
    <row r="14248" spans="3:4" x14ac:dyDescent="0.35">
      <c r="C14248" s="51"/>
      <c r="D14248" s="51"/>
    </row>
    <row r="14249" spans="3:4" x14ac:dyDescent="0.35">
      <c r="C14249" s="51"/>
      <c r="D14249" s="51"/>
    </row>
    <row r="14250" spans="3:4" x14ac:dyDescent="0.35">
      <c r="C14250" s="51"/>
      <c r="D14250" s="51"/>
    </row>
    <row r="14251" spans="3:4" x14ac:dyDescent="0.35">
      <c r="C14251" s="51"/>
      <c r="D14251" s="51"/>
    </row>
    <row r="14252" spans="3:4" x14ac:dyDescent="0.35">
      <c r="C14252" s="51"/>
      <c r="D14252" s="51"/>
    </row>
    <row r="14253" spans="3:4" x14ac:dyDescent="0.35">
      <c r="C14253" s="51"/>
      <c r="D14253" s="51"/>
    </row>
    <row r="14254" spans="3:4" x14ac:dyDescent="0.35">
      <c r="C14254" s="51"/>
      <c r="D14254" s="51"/>
    </row>
    <row r="14255" spans="3:4" x14ac:dyDescent="0.35">
      <c r="C14255" s="51"/>
      <c r="D14255" s="51"/>
    </row>
    <row r="14256" spans="3:4" x14ac:dyDescent="0.35">
      <c r="C14256" s="51"/>
      <c r="D14256" s="51"/>
    </row>
    <row r="14257" spans="3:4" x14ac:dyDescent="0.35">
      <c r="C14257" s="51"/>
      <c r="D14257" s="51"/>
    </row>
    <row r="14258" spans="3:4" x14ac:dyDescent="0.35">
      <c r="C14258" s="51"/>
      <c r="D14258" s="51"/>
    </row>
    <row r="14259" spans="3:4" x14ac:dyDescent="0.35">
      <c r="C14259" s="51"/>
      <c r="D14259" s="51"/>
    </row>
    <row r="14260" spans="3:4" x14ac:dyDescent="0.35">
      <c r="C14260" s="51"/>
      <c r="D14260" s="51"/>
    </row>
    <row r="14261" spans="3:4" x14ac:dyDescent="0.35">
      <c r="C14261" s="51"/>
      <c r="D14261" s="51"/>
    </row>
    <row r="14262" spans="3:4" x14ac:dyDescent="0.35">
      <c r="C14262" s="51"/>
      <c r="D14262" s="51"/>
    </row>
    <row r="14263" spans="3:4" x14ac:dyDescent="0.35">
      <c r="C14263" s="51"/>
      <c r="D14263" s="51"/>
    </row>
    <row r="14264" spans="3:4" x14ac:dyDescent="0.35">
      <c r="C14264" s="51"/>
      <c r="D14264" s="51"/>
    </row>
    <row r="14265" spans="3:4" x14ac:dyDescent="0.35">
      <c r="C14265" s="51"/>
      <c r="D14265" s="51"/>
    </row>
    <row r="14266" spans="3:4" x14ac:dyDescent="0.35">
      <c r="C14266" s="51"/>
      <c r="D14266" s="51"/>
    </row>
    <row r="14267" spans="3:4" x14ac:dyDescent="0.35">
      <c r="C14267" s="51"/>
      <c r="D14267" s="51"/>
    </row>
    <row r="14268" spans="3:4" x14ac:dyDescent="0.35">
      <c r="C14268" s="51"/>
      <c r="D14268" s="51"/>
    </row>
    <row r="14269" spans="3:4" x14ac:dyDescent="0.35">
      <c r="C14269" s="51"/>
      <c r="D14269" s="51"/>
    </row>
    <row r="14270" spans="3:4" x14ac:dyDescent="0.35">
      <c r="C14270" s="51"/>
      <c r="D14270" s="51"/>
    </row>
    <row r="14271" spans="3:4" x14ac:dyDescent="0.35">
      <c r="C14271" s="51"/>
      <c r="D14271" s="51"/>
    </row>
    <row r="14272" spans="3:4" x14ac:dyDescent="0.35">
      <c r="C14272" s="51"/>
      <c r="D14272" s="51"/>
    </row>
    <row r="14273" spans="3:4" x14ac:dyDescent="0.35">
      <c r="C14273" s="51"/>
      <c r="D14273" s="51"/>
    </row>
    <row r="14274" spans="3:4" x14ac:dyDescent="0.35">
      <c r="C14274" s="51"/>
      <c r="D14274" s="51"/>
    </row>
    <row r="14275" spans="3:4" x14ac:dyDescent="0.35">
      <c r="C14275" s="51"/>
      <c r="D14275" s="51"/>
    </row>
    <row r="14276" spans="3:4" x14ac:dyDescent="0.35">
      <c r="C14276" s="51"/>
      <c r="D14276" s="51"/>
    </row>
    <row r="14277" spans="3:4" x14ac:dyDescent="0.35">
      <c r="C14277" s="51"/>
      <c r="D14277" s="51"/>
    </row>
    <row r="14278" spans="3:4" x14ac:dyDescent="0.35">
      <c r="C14278" s="51"/>
      <c r="D14278" s="51"/>
    </row>
    <row r="14279" spans="3:4" x14ac:dyDescent="0.35">
      <c r="C14279" s="51"/>
      <c r="D14279" s="51"/>
    </row>
    <row r="14280" spans="3:4" x14ac:dyDescent="0.35">
      <c r="C14280" s="51"/>
      <c r="D14280" s="51"/>
    </row>
    <row r="14281" spans="3:4" x14ac:dyDescent="0.35">
      <c r="C14281" s="51"/>
      <c r="D14281" s="51"/>
    </row>
    <row r="14282" spans="3:4" x14ac:dyDescent="0.35">
      <c r="C14282" s="51"/>
      <c r="D14282" s="51"/>
    </row>
    <row r="14283" spans="3:4" x14ac:dyDescent="0.35">
      <c r="C14283" s="51"/>
      <c r="D14283" s="51"/>
    </row>
    <row r="14284" spans="3:4" x14ac:dyDescent="0.35">
      <c r="C14284" s="51"/>
      <c r="D14284" s="51"/>
    </row>
    <row r="14285" spans="3:4" x14ac:dyDescent="0.35">
      <c r="C14285" s="51"/>
      <c r="D14285" s="51"/>
    </row>
    <row r="14286" spans="3:4" x14ac:dyDescent="0.35">
      <c r="C14286" s="51"/>
      <c r="D14286" s="51"/>
    </row>
    <row r="14287" spans="3:4" x14ac:dyDescent="0.35">
      <c r="C14287" s="51"/>
      <c r="D14287" s="51"/>
    </row>
    <row r="14288" spans="3:4" x14ac:dyDescent="0.35">
      <c r="C14288" s="51"/>
      <c r="D14288" s="51"/>
    </row>
    <row r="14289" spans="3:4" x14ac:dyDescent="0.35">
      <c r="C14289" s="51"/>
      <c r="D14289" s="51"/>
    </row>
    <row r="14290" spans="3:4" x14ac:dyDescent="0.35">
      <c r="C14290" s="51"/>
      <c r="D14290" s="51"/>
    </row>
    <row r="14291" spans="3:4" x14ac:dyDescent="0.35">
      <c r="C14291" s="51"/>
      <c r="D14291" s="51"/>
    </row>
    <row r="14292" spans="3:4" x14ac:dyDescent="0.35">
      <c r="C14292" s="51"/>
      <c r="D14292" s="51"/>
    </row>
    <row r="14293" spans="3:4" x14ac:dyDescent="0.35">
      <c r="C14293" s="51"/>
      <c r="D14293" s="51"/>
    </row>
    <row r="14294" spans="3:4" x14ac:dyDescent="0.35">
      <c r="C14294" s="51"/>
      <c r="D14294" s="51"/>
    </row>
    <row r="14295" spans="3:4" x14ac:dyDescent="0.35">
      <c r="C14295" s="51"/>
      <c r="D14295" s="51"/>
    </row>
    <row r="14296" spans="3:4" x14ac:dyDescent="0.35">
      <c r="C14296" s="51"/>
      <c r="D14296" s="51"/>
    </row>
    <row r="14297" spans="3:4" x14ac:dyDescent="0.35">
      <c r="C14297" s="51"/>
      <c r="D14297" s="51"/>
    </row>
    <row r="14298" spans="3:4" x14ac:dyDescent="0.35">
      <c r="C14298" s="51"/>
      <c r="D14298" s="51"/>
    </row>
    <row r="14299" spans="3:4" x14ac:dyDescent="0.35">
      <c r="C14299" s="51"/>
      <c r="D14299" s="51"/>
    </row>
    <row r="14300" spans="3:4" x14ac:dyDescent="0.35">
      <c r="C14300" s="51"/>
      <c r="D14300" s="51"/>
    </row>
    <row r="14301" spans="3:4" x14ac:dyDescent="0.35">
      <c r="C14301" s="51"/>
      <c r="D14301" s="51"/>
    </row>
    <row r="14302" spans="3:4" x14ac:dyDescent="0.35">
      <c r="C14302" s="51"/>
      <c r="D14302" s="51"/>
    </row>
    <row r="14303" spans="3:4" x14ac:dyDescent="0.35">
      <c r="C14303" s="51"/>
      <c r="D14303" s="51"/>
    </row>
    <row r="14304" spans="3:4" x14ac:dyDescent="0.35">
      <c r="C14304" s="51"/>
      <c r="D14304" s="51"/>
    </row>
    <row r="14305" spans="3:4" x14ac:dyDescent="0.35">
      <c r="C14305" s="51"/>
      <c r="D14305" s="51"/>
    </row>
    <row r="14306" spans="3:4" x14ac:dyDescent="0.35">
      <c r="C14306" s="51"/>
      <c r="D14306" s="51"/>
    </row>
    <row r="14307" spans="3:4" x14ac:dyDescent="0.35">
      <c r="C14307" s="51"/>
      <c r="D14307" s="51"/>
    </row>
    <row r="14308" spans="3:4" x14ac:dyDescent="0.35">
      <c r="C14308" s="51"/>
      <c r="D14308" s="51"/>
    </row>
    <row r="14309" spans="3:4" x14ac:dyDescent="0.35">
      <c r="C14309" s="51"/>
      <c r="D14309" s="51"/>
    </row>
    <row r="14310" spans="3:4" x14ac:dyDescent="0.35">
      <c r="C14310" s="51"/>
      <c r="D14310" s="51"/>
    </row>
    <row r="14311" spans="3:4" x14ac:dyDescent="0.35">
      <c r="C14311" s="51"/>
      <c r="D14311" s="51"/>
    </row>
    <row r="14312" spans="3:4" x14ac:dyDescent="0.35">
      <c r="C14312" s="51"/>
      <c r="D14312" s="51"/>
    </row>
    <row r="14313" spans="3:4" x14ac:dyDescent="0.35">
      <c r="C14313" s="51"/>
      <c r="D14313" s="51"/>
    </row>
    <row r="14314" spans="3:4" x14ac:dyDescent="0.35">
      <c r="C14314" s="51"/>
      <c r="D14314" s="51"/>
    </row>
    <row r="14315" spans="3:4" x14ac:dyDescent="0.35">
      <c r="C14315" s="51"/>
      <c r="D14315" s="51"/>
    </row>
    <row r="14316" spans="3:4" x14ac:dyDescent="0.35">
      <c r="C14316" s="51"/>
      <c r="D14316" s="51"/>
    </row>
    <row r="14317" spans="3:4" x14ac:dyDescent="0.35">
      <c r="C14317" s="51"/>
      <c r="D14317" s="51"/>
    </row>
    <row r="14318" spans="3:4" x14ac:dyDescent="0.35">
      <c r="C14318" s="51"/>
      <c r="D14318" s="51"/>
    </row>
    <row r="14319" spans="3:4" x14ac:dyDescent="0.35">
      <c r="C14319" s="51"/>
      <c r="D14319" s="51"/>
    </row>
    <row r="14320" spans="3:4" x14ac:dyDescent="0.35">
      <c r="C14320" s="51"/>
      <c r="D14320" s="51"/>
    </row>
    <row r="14321" spans="3:4" x14ac:dyDescent="0.35">
      <c r="C14321" s="51"/>
      <c r="D14321" s="51"/>
    </row>
    <row r="14322" spans="3:4" x14ac:dyDescent="0.35">
      <c r="C14322" s="51"/>
      <c r="D14322" s="51"/>
    </row>
    <row r="14323" spans="3:4" x14ac:dyDescent="0.35">
      <c r="C14323" s="51"/>
      <c r="D14323" s="51"/>
    </row>
    <row r="14324" spans="3:4" x14ac:dyDescent="0.35">
      <c r="C14324" s="51"/>
      <c r="D14324" s="51"/>
    </row>
    <row r="14325" spans="3:4" x14ac:dyDescent="0.35">
      <c r="C14325" s="51"/>
      <c r="D14325" s="51"/>
    </row>
    <row r="14326" spans="3:4" x14ac:dyDescent="0.35">
      <c r="C14326" s="51"/>
      <c r="D14326" s="51"/>
    </row>
    <row r="14327" spans="3:4" x14ac:dyDescent="0.35">
      <c r="C14327" s="51"/>
      <c r="D14327" s="51"/>
    </row>
    <row r="14328" spans="3:4" x14ac:dyDescent="0.35">
      <c r="C14328" s="51"/>
      <c r="D14328" s="51"/>
    </row>
    <row r="14329" spans="3:4" x14ac:dyDescent="0.35">
      <c r="C14329" s="51"/>
      <c r="D14329" s="51"/>
    </row>
    <row r="14330" spans="3:4" x14ac:dyDescent="0.35">
      <c r="C14330" s="51"/>
      <c r="D14330" s="51"/>
    </row>
    <row r="14331" spans="3:4" x14ac:dyDescent="0.35">
      <c r="C14331" s="51"/>
      <c r="D14331" s="51"/>
    </row>
    <row r="14332" spans="3:4" x14ac:dyDescent="0.35">
      <c r="C14332" s="51"/>
      <c r="D14332" s="51"/>
    </row>
    <row r="14333" spans="3:4" x14ac:dyDescent="0.35">
      <c r="C14333" s="51"/>
      <c r="D14333" s="51"/>
    </row>
    <row r="14334" spans="3:4" x14ac:dyDescent="0.35">
      <c r="C14334" s="51"/>
      <c r="D14334" s="51"/>
    </row>
    <row r="14335" spans="3:4" x14ac:dyDescent="0.35">
      <c r="C14335" s="51"/>
      <c r="D14335" s="51"/>
    </row>
    <row r="14336" spans="3:4" x14ac:dyDescent="0.35">
      <c r="C14336" s="51"/>
      <c r="D14336" s="51"/>
    </row>
    <row r="14337" spans="3:4" x14ac:dyDescent="0.35">
      <c r="C14337" s="51"/>
      <c r="D14337" s="51"/>
    </row>
    <row r="14338" spans="3:4" x14ac:dyDescent="0.35">
      <c r="C14338" s="51"/>
      <c r="D14338" s="51"/>
    </row>
    <row r="14339" spans="3:4" x14ac:dyDescent="0.35">
      <c r="C14339" s="51"/>
      <c r="D14339" s="51"/>
    </row>
    <row r="14340" spans="3:4" x14ac:dyDescent="0.35">
      <c r="C14340" s="51"/>
      <c r="D14340" s="51"/>
    </row>
    <row r="14341" spans="3:4" x14ac:dyDescent="0.35">
      <c r="C14341" s="51"/>
      <c r="D14341" s="51"/>
    </row>
    <row r="14342" spans="3:4" x14ac:dyDescent="0.35">
      <c r="C14342" s="51"/>
      <c r="D14342" s="51"/>
    </row>
    <row r="14343" spans="3:4" x14ac:dyDescent="0.35">
      <c r="C14343" s="51"/>
      <c r="D14343" s="51"/>
    </row>
    <row r="14344" spans="3:4" x14ac:dyDescent="0.35">
      <c r="C14344" s="51"/>
      <c r="D14344" s="51"/>
    </row>
    <row r="14345" spans="3:4" x14ac:dyDescent="0.35">
      <c r="C14345" s="51"/>
      <c r="D14345" s="51"/>
    </row>
    <row r="14346" spans="3:4" x14ac:dyDescent="0.35">
      <c r="C14346" s="51"/>
      <c r="D14346" s="51"/>
    </row>
    <row r="14347" spans="3:4" x14ac:dyDescent="0.35">
      <c r="C14347" s="51"/>
      <c r="D14347" s="51"/>
    </row>
    <row r="14348" spans="3:4" x14ac:dyDescent="0.35">
      <c r="C14348" s="51"/>
      <c r="D14348" s="51"/>
    </row>
    <row r="14349" spans="3:4" x14ac:dyDescent="0.35">
      <c r="C14349" s="51"/>
      <c r="D14349" s="51"/>
    </row>
    <row r="14350" spans="3:4" x14ac:dyDescent="0.35">
      <c r="C14350" s="51"/>
      <c r="D14350" s="51"/>
    </row>
    <row r="14351" spans="3:4" x14ac:dyDescent="0.35">
      <c r="C14351" s="51"/>
      <c r="D14351" s="51"/>
    </row>
    <row r="14352" spans="3:4" x14ac:dyDescent="0.35">
      <c r="C14352" s="51"/>
      <c r="D14352" s="51"/>
    </row>
    <row r="14353" spans="3:4" x14ac:dyDescent="0.35">
      <c r="C14353" s="51"/>
      <c r="D14353" s="51"/>
    </row>
    <row r="14354" spans="3:4" x14ac:dyDescent="0.35">
      <c r="C14354" s="51"/>
      <c r="D14354" s="51"/>
    </row>
    <row r="14355" spans="3:4" x14ac:dyDescent="0.35">
      <c r="C14355" s="51"/>
      <c r="D14355" s="51"/>
    </row>
    <row r="14356" spans="3:4" x14ac:dyDescent="0.35">
      <c r="C14356" s="51"/>
      <c r="D14356" s="51"/>
    </row>
    <row r="14357" spans="3:4" x14ac:dyDescent="0.35">
      <c r="C14357" s="51"/>
      <c r="D14357" s="51"/>
    </row>
    <row r="14358" spans="3:4" x14ac:dyDescent="0.35">
      <c r="C14358" s="51"/>
      <c r="D14358" s="51"/>
    </row>
    <row r="14359" spans="3:4" x14ac:dyDescent="0.35">
      <c r="C14359" s="51"/>
      <c r="D14359" s="51"/>
    </row>
    <row r="14360" spans="3:4" x14ac:dyDescent="0.35">
      <c r="C14360" s="51"/>
      <c r="D14360" s="51"/>
    </row>
    <row r="14361" spans="3:4" x14ac:dyDescent="0.35">
      <c r="C14361" s="51"/>
      <c r="D14361" s="51"/>
    </row>
    <row r="14362" spans="3:4" x14ac:dyDescent="0.35">
      <c r="C14362" s="51"/>
      <c r="D14362" s="51"/>
    </row>
    <row r="14363" spans="3:4" x14ac:dyDescent="0.35">
      <c r="C14363" s="51"/>
      <c r="D14363" s="51"/>
    </row>
    <row r="14364" spans="3:4" x14ac:dyDescent="0.35">
      <c r="C14364" s="51"/>
      <c r="D14364" s="51"/>
    </row>
    <row r="14365" spans="3:4" x14ac:dyDescent="0.35">
      <c r="C14365" s="51"/>
      <c r="D14365" s="51"/>
    </row>
    <row r="14366" spans="3:4" x14ac:dyDescent="0.35">
      <c r="C14366" s="51"/>
      <c r="D14366" s="51"/>
    </row>
    <row r="14367" spans="3:4" x14ac:dyDescent="0.35">
      <c r="C14367" s="51"/>
      <c r="D14367" s="51"/>
    </row>
    <row r="14368" spans="3:4" x14ac:dyDescent="0.35">
      <c r="C14368" s="51"/>
      <c r="D14368" s="51"/>
    </row>
    <row r="14369" spans="3:4" x14ac:dyDescent="0.35">
      <c r="C14369" s="51"/>
      <c r="D14369" s="51"/>
    </row>
    <row r="14370" spans="3:4" x14ac:dyDescent="0.35">
      <c r="C14370" s="51"/>
      <c r="D14370" s="51"/>
    </row>
    <row r="14371" spans="3:4" x14ac:dyDescent="0.35">
      <c r="C14371" s="51"/>
      <c r="D14371" s="51"/>
    </row>
    <row r="14372" spans="3:4" x14ac:dyDescent="0.35">
      <c r="C14372" s="51"/>
      <c r="D14372" s="51"/>
    </row>
    <row r="14373" spans="3:4" x14ac:dyDescent="0.35">
      <c r="C14373" s="51"/>
      <c r="D14373" s="51"/>
    </row>
    <row r="14374" spans="3:4" x14ac:dyDescent="0.35">
      <c r="C14374" s="51"/>
      <c r="D14374" s="51"/>
    </row>
    <row r="14375" spans="3:4" x14ac:dyDescent="0.35">
      <c r="C14375" s="51"/>
      <c r="D14375" s="51"/>
    </row>
    <row r="14376" spans="3:4" x14ac:dyDescent="0.35">
      <c r="C14376" s="51"/>
      <c r="D14376" s="51"/>
    </row>
    <row r="14377" spans="3:4" x14ac:dyDescent="0.35">
      <c r="C14377" s="51"/>
      <c r="D14377" s="51"/>
    </row>
    <row r="14378" spans="3:4" x14ac:dyDescent="0.35">
      <c r="C14378" s="51"/>
      <c r="D14378" s="51"/>
    </row>
    <row r="14379" spans="3:4" x14ac:dyDescent="0.35">
      <c r="C14379" s="51"/>
      <c r="D14379" s="51"/>
    </row>
    <row r="14380" spans="3:4" x14ac:dyDescent="0.35">
      <c r="C14380" s="51"/>
      <c r="D14380" s="51"/>
    </row>
    <row r="14381" spans="3:4" x14ac:dyDescent="0.35">
      <c r="C14381" s="51"/>
      <c r="D14381" s="51"/>
    </row>
    <row r="14382" spans="3:4" x14ac:dyDescent="0.35">
      <c r="C14382" s="51"/>
      <c r="D14382" s="51"/>
    </row>
    <row r="14383" spans="3:4" x14ac:dyDescent="0.35">
      <c r="C14383" s="51"/>
      <c r="D14383" s="51"/>
    </row>
    <row r="14384" spans="3:4" x14ac:dyDescent="0.35">
      <c r="C14384" s="51"/>
      <c r="D14384" s="51"/>
    </row>
    <row r="14385" spans="3:4" x14ac:dyDescent="0.35">
      <c r="C14385" s="51"/>
      <c r="D14385" s="51"/>
    </row>
    <row r="14386" spans="3:4" x14ac:dyDescent="0.35">
      <c r="C14386" s="51"/>
      <c r="D14386" s="51"/>
    </row>
    <row r="14387" spans="3:4" x14ac:dyDescent="0.35">
      <c r="C14387" s="51"/>
      <c r="D14387" s="51"/>
    </row>
    <row r="14388" spans="3:4" x14ac:dyDescent="0.35">
      <c r="C14388" s="51"/>
      <c r="D14388" s="51"/>
    </row>
    <row r="14389" spans="3:4" x14ac:dyDescent="0.35">
      <c r="C14389" s="51"/>
      <c r="D14389" s="51"/>
    </row>
    <row r="14390" spans="3:4" x14ac:dyDescent="0.35">
      <c r="C14390" s="51"/>
      <c r="D14390" s="51"/>
    </row>
    <row r="14391" spans="3:4" x14ac:dyDescent="0.35">
      <c r="C14391" s="51"/>
      <c r="D14391" s="51"/>
    </row>
    <row r="14392" spans="3:4" x14ac:dyDescent="0.35">
      <c r="C14392" s="51"/>
      <c r="D14392" s="51"/>
    </row>
    <row r="14393" spans="3:4" x14ac:dyDescent="0.35">
      <c r="C14393" s="51"/>
      <c r="D14393" s="51"/>
    </row>
    <row r="14394" spans="3:4" x14ac:dyDescent="0.35">
      <c r="C14394" s="51"/>
      <c r="D14394" s="51"/>
    </row>
    <row r="14395" spans="3:4" x14ac:dyDescent="0.35">
      <c r="C14395" s="51"/>
      <c r="D14395" s="51"/>
    </row>
    <row r="14396" spans="3:4" x14ac:dyDescent="0.35">
      <c r="C14396" s="51"/>
      <c r="D14396" s="51"/>
    </row>
    <row r="14397" spans="3:4" x14ac:dyDescent="0.35">
      <c r="C14397" s="51"/>
      <c r="D14397" s="51"/>
    </row>
    <row r="14398" spans="3:4" x14ac:dyDescent="0.35">
      <c r="C14398" s="51"/>
      <c r="D14398" s="51"/>
    </row>
    <row r="14399" spans="3:4" x14ac:dyDescent="0.35">
      <c r="C14399" s="51"/>
      <c r="D14399" s="51"/>
    </row>
    <row r="14400" spans="3:4" x14ac:dyDescent="0.35">
      <c r="C14400" s="51"/>
      <c r="D14400" s="51"/>
    </row>
    <row r="14401" spans="3:4" x14ac:dyDescent="0.35">
      <c r="C14401" s="51"/>
      <c r="D14401" s="51"/>
    </row>
    <row r="14402" spans="3:4" x14ac:dyDescent="0.35">
      <c r="C14402" s="51"/>
      <c r="D14402" s="51"/>
    </row>
    <row r="14403" spans="3:4" x14ac:dyDescent="0.35">
      <c r="C14403" s="51"/>
      <c r="D14403" s="51"/>
    </row>
    <row r="14404" spans="3:4" x14ac:dyDescent="0.35">
      <c r="C14404" s="51"/>
      <c r="D14404" s="51"/>
    </row>
    <row r="14405" spans="3:4" x14ac:dyDescent="0.35">
      <c r="C14405" s="51"/>
      <c r="D14405" s="51"/>
    </row>
    <row r="14406" spans="3:4" x14ac:dyDescent="0.35">
      <c r="C14406" s="51"/>
      <c r="D14406" s="51"/>
    </row>
    <row r="14407" spans="3:4" x14ac:dyDescent="0.35">
      <c r="C14407" s="51"/>
      <c r="D14407" s="51"/>
    </row>
    <row r="14408" spans="3:4" x14ac:dyDescent="0.35">
      <c r="C14408" s="51"/>
      <c r="D14408" s="51"/>
    </row>
    <row r="14409" spans="3:4" x14ac:dyDescent="0.35">
      <c r="C14409" s="51"/>
      <c r="D14409" s="51"/>
    </row>
    <row r="14410" spans="3:4" x14ac:dyDescent="0.35">
      <c r="C14410" s="51"/>
      <c r="D14410" s="51"/>
    </row>
    <row r="14411" spans="3:4" x14ac:dyDescent="0.35">
      <c r="C14411" s="51"/>
      <c r="D14411" s="51"/>
    </row>
    <row r="14412" spans="3:4" x14ac:dyDescent="0.35">
      <c r="C14412" s="51"/>
      <c r="D14412" s="51"/>
    </row>
    <row r="14413" spans="3:4" x14ac:dyDescent="0.35">
      <c r="C14413" s="51"/>
      <c r="D14413" s="51"/>
    </row>
    <row r="14414" spans="3:4" x14ac:dyDescent="0.35">
      <c r="C14414" s="51"/>
      <c r="D14414" s="51"/>
    </row>
    <row r="14415" spans="3:4" x14ac:dyDescent="0.35">
      <c r="C14415" s="51"/>
      <c r="D14415" s="51"/>
    </row>
    <row r="14416" spans="3:4" x14ac:dyDescent="0.35">
      <c r="C14416" s="51"/>
      <c r="D14416" s="51"/>
    </row>
    <row r="14417" spans="3:4" x14ac:dyDescent="0.35">
      <c r="C14417" s="51"/>
      <c r="D14417" s="51"/>
    </row>
    <row r="14418" spans="3:4" x14ac:dyDescent="0.35">
      <c r="C14418" s="51"/>
      <c r="D14418" s="51"/>
    </row>
    <row r="14419" spans="3:4" x14ac:dyDescent="0.35">
      <c r="C14419" s="51"/>
      <c r="D14419" s="51"/>
    </row>
    <row r="14420" spans="3:4" x14ac:dyDescent="0.35">
      <c r="C14420" s="51"/>
      <c r="D14420" s="51"/>
    </row>
    <row r="14421" spans="3:4" x14ac:dyDescent="0.35">
      <c r="C14421" s="51"/>
      <c r="D14421" s="51"/>
    </row>
    <row r="14422" spans="3:4" x14ac:dyDescent="0.35">
      <c r="C14422" s="51"/>
      <c r="D14422" s="51"/>
    </row>
    <row r="14423" spans="3:4" x14ac:dyDescent="0.35">
      <c r="C14423" s="51"/>
      <c r="D14423" s="51"/>
    </row>
    <row r="14424" spans="3:4" x14ac:dyDescent="0.35">
      <c r="C14424" s="51"/>
      <c r="D14424" s="51"/>
    </row>
    <row r="14425" spans="3:4" x14ac:dyDescent="0.35">
      <c r="C14425" s="51"/>
      <c r="D14425" s="51"/>
    </row>
    <row r="14426" spans="3:4" x14ac:dyDescent="0.35">
      <c r="C14426" s="51"/>
      <c r="D14426" s="51"/>
    </row>
    <row r="14427" spans="3:4" x14ac:dyDescent="0.35">
      <c r="C14427" s="51"/>
      <c r="D14427" s="51"/>
    </row>
    <row r="14428" spans="3:4" x14ac:dyDescent="0.35">
      <c r="C14428" s="51"/>
      <c r="D14428" s="51"/>
    </row>
    <row r="14429" spans="3:4" x14ac:dyDescent="0.35">
      <c r="C14429" s="51"/>
      <c r="D14429" s="51"/>
    </row>
    <row r="14430" spans="3:4" x14ac:dyDescent="0.35">
      <c r="C14430" s="51"/>
      <c r="D14430" s="51"/>
    </row>
    <row r="14431" spans="3:4" x14ac:dyDescent="0.35">
      <c r="C14431" s="51"/>
      <c r="D14431" s="51"/>
    </row>
    <row r="14432" spans="3:4" x14ac:dyDescent="0.35">
      <c r="C14432" s="51"/>
      <c r="D14432" s="51"/>
    </row>
    <row r="14433" spans="3:4" x14ac:dyDescent="0.35">
      <c r="C14433" s="51"/>
      <c r="D14433" s="51"/>
    </row>
    <row r="14434" spans="3:4" x14ac:dyDescent="0.35">
      <c r="C14434" s="51"/>
      <c r="D14434" s="51"/>
    </row>
    <row r="14435" spans="3:4" x14ac:dyDescent="0.35">
      <c r="C14435" s="51"/>
      <c r="D14435" s="51"/>
    </row>
    <row r="14436" spans="3:4" x14ac:dyDescent="0.35">
      <c r="C14436" s="51"/>
      <c r="D14436" s="51"/>
    </row>
    <row r="14437" spans="3:4" x14ac:dyDescent="0.35">
      <c r="C14437" s="51"/>
      <c r="D14437" s="51"/>
    </row>
    <row r="14438" spans="3:4" x14ac:dyDescent="0.35">
      <c r="C14438" s="51"/>
      <c r="D14438" s="51"/>
    </row>
    <row r="14439" spans="3:4" x14ac:dyDescent="0.35">
      <c r="C14439" s="51"/>
      <c r="D14439" s="51"/>
    </row>
    <row r="14440" spans="3:4" x14ac:dyDescent="0.35">
      <c r="C14440" s="51"/>
      <c r="D14440" s="51"/>
    </row>
    <row r="14441" spans="3:4" x14ac:dyDescent="0.35">
      <c r="C14441" s="51"/>
      <c r="D14441" s="51"/>
    </row>
    <row r="14442" spans="3:4" x14ac:dyDescent="0.35">
      <c r="C14442" s="51"/>
      <c r="D14442" s="51"/>
    </row>
    <row r="14443" spans="3:4" x14ac:dyDescent="0.35">
      <c r="C14443" s="51"/>
      <c r="D14443" s="51"/>
    </row>
    <row r="14444" spans="3:4" x14ac:dyDescent="0.35">
      <c r="C14444" s="51"/>
      <c r="D14444" s="51"/>
    </row>
    <row r="14445" spans="3:4" x14ac:dyDescent="0.35">
      <c r="C14445" s="51"/>
      <c r="D14445" s="51"/>
    </row>
    <row r="14446" spans="3:4" x14ac:dyDescent="0.35">
      <c r="C14446" s="51"/>
      <c r="D14446" s="51"/>
    </row>
    <row r="14447" spans="3:4" x14ac:dyDescent="0.35">
      <c r="C14447" s="51"/>
      <c r="D14447" s="51"/>
    </row>
    <row r="14448" spans="3:4" x14ac:dyDescent="0.35">
      <c r="C14448" s="51"/>
      <c r="D14448" s="51"/>
    </row>
    <row r="14449" spans="3:4" x14ac:dyDescent="0.35">
      <c r="C14449" s="51"/>
      <c r="D14449" s="51"/>
    </row>
    <row r="14450" spans="3:4" x14ac:dyDescent="0.35">
      <c r="C14450" s="51"/>
      <c r="D14450" s="51"/>
    </row>
    <row r="14451" spans="3:4" x14ac:dyDescent="0.35">
      <c r="C14451" s="51"/>
      <c r="D14451" s="51"/>
    </row>
    <row r="14452" spans="3:4" x14ac:dyDescent="0.35">
      <c r="C14452" s="51"/>
      <c r="D14452" s="51"/>
    </row>
    <row r="14453" spans="3:4" x14ac:dyDescent="0.35">
      <c r="C14453" s="51"/>
      <c r="D14453" s="51"/>
    </row>
    <row r="14454" spans="3:4" x14ac:dyDescent="0.35">
      <c r="C14454" s="51"/>
      <c r="D14454" s="51"/>
    </row>
    <row r="14455" spans="3:4" x14ac:dyDescent="0.35">
      <c r="C14455" s="51"/>
      <c r="D14455" s="51"/>
    </row>
    <row r="14456" spans="3:4" x14ac:dyDescent="0.35">
      <c r="C14456" s="51"/>
      <c r="D14456" s="51"/>
    </row>
    <row r="14457" spans="3:4" x14ac:dyDescent="0.35">
      <c r="C14457" s="51"/>
      <c r="D14457" s="51"/>
    </row>
    <row r="14458" spans="3:4" x14ac:dyDescent="0.35">
      <c r="C14458" s="51"/>
      <c r="D14458" s="51"/>
    </row>
    <row r="14459" spans="3:4" x14ac:dyDescent="0.35">
      <c r="C14459" s="51"/>
      <c r="D14459" s="51"/>
    </row>
    <row r="14460" spans="3:4" x14ac:dyDescent="0.35">
      <c r="C14460" s="51"/>
      <c r="D14460" s="51"/>
    </row>
    <row r="14461" spans="3:4" x14ac:dyDescent="0.35">
      <c r="C14461" s="51"/>
      <c r="D14461" s="51"/>
    </row>
    <row r="14462" spans="3:4" x14ac:dyDescent="0.35">
      <c r="C14462" s="51"/>
      <c r="D14462" s="51"/>
    </row>
    <row r="14463" spans="3:4" x14ac:dyDescent="0.35">
      <c r="C14463" s="51"/>
      <c r="D14463" s="51"/>
    </row>
    <row r="14464" spans="3:4" x14ac:dyDescent="0.35">
      <c r="C14464" s="51"/>
      <c r="D14464" s="51"/>
    </row>
    <row r="14465" spans="3:4" x14ac:dyDescent="0.35">
      <c r="C14465" s="51"/>
      <c r="D14465" s="51"/>
    </row>
    <row r="14466" spans="3:4" x14ac:dyDescent="0.35">
      <c r="C14466" s="51"/>
      <c r="D14466" s="51"/>
    </row>
    <row r="14467" spans="3:4" x14ac:dyDescent="0.35">
      <c r="C14467" s="51"/>
      <c r="D14467" s="51"/>
    </row>
    <row r="14468" spans="3:4" x14ac:dyDescent="0.35">
      <c r="C14468" s="51"/>
      <c r="D14468" s="51"/>
    </row>
    <row r="14469" spans="3:4" x14ac:dyDescent="0.35">
      <c r="C14469" s="51"/>
      <c r="D14469" s="51"/>
    </row>
    <row r="14470" spans="3:4" x14ac:dyDescent="0.35">
      <c r="C14470" s="51"/>
      <c r="D14470" s="51"/>
    </row>
    <row r="14471" spans="3:4" x14ac:dyDescent="0.35">
      <c r="C14471" s="51"/>
      <c r="D14471" s="51"/>
    </row>
    <row r="14472" spans="3:4" x14ac:dyDescent="0.35">
      <c r="C14472" s="51"/>
      <c r="D14472" s="51"/>
    </row>
    <row r="14473" spans="3:4" x14ac:dyDescent="0.35">
      <c r="C14473" s="51"/>
      <c r="D14473" s="51"/>
    </row>
    <row r="14474" spans="3:4" x14ac:dyDescent="0.35">
      <c r="C14474" s="51"/>
      <c r="D14474" s="51"/>
    </row>
    <row r="14475" spans="3:4" x14ac:dyDescent="0.35">
      <c r="C14475" s="51"/>
      <c r="D14475" s="51"/>
    </row>
    <row r="14476" spans="3:4" x14ac:dyDescent="0.35">
      <c r="C14476" s="51"/>
      <c r="D14476" s="51"/>
    </row>
    <row r="14477" spans="3:4" x14ac:dyDescent="0.35">
      <c r="C14477" s="51"/>
      <c r="D14477" s="51"/>
    </row>
    <row r="14478" spans="3:4" x14ac:dyDescent="0.35">
      <c r="C14478" s="51"/>
      <c r="D14478" s="51"/>
    </row>
    <row r="14479" spans="3:4" x14ac:dyDescent="0.35">
      <c r="C14479" s="51"/>
      <c r="D14479" s="51"/>
    </row>
    <row r="14480" spans="3:4" x14ac:dyDescent="0.35">
      <c r="C14480" s="51"/>
      <c r="D14480" s="51"/>
    </row>
    <row r="14481" spans="3:4" x14ac:dyDescent="0.35">
      <c r="C14481" s="51"/>
      <c r="D14481" s="51"/>
    </row>
    <row r="14482" spans="3:4" x14ac:dyDescent="0.35">
      <c r="C14482" s="51"/>
      <c r="D14482" s="51"/>
    </row>
    <row r="14483" spans="3:4" x14ac:dyDescent="0.35">
      <c r="C14483" s="51"/>
      <c r="D14483" s="51"/>
    </row>
    <row r="14484" spans="3:4" x14ac:dyDescent="0.35">
      <c r="C14484" s="51"/>
      <c r="D14484" s="51"/>
    </row>
    <row r="14485" spans="3:4" x14ac:dyDescent="0.35">
      <c r="C14485" s="51"/>
      <c r="D14485" s="51"/>
    </row>
    <row r="14486" spans="3:4" x14ac:dyDescent="0.35">
      <c r="C14486" s="51"/>
      <c r="D14486" s="51"/>
    </row>
    <row r="14487" spans="3:4" x14ac:dyDescent="0.35">
      <c r="C14487" s="51"/>
      <c r="D14487" s="51"/>
    </row>
    <row r="14488" spans="3:4" x14ac:dyDescent="0.35">
      <c r="C14488" s="51"/>
      <c r="D14488" s="51"/>
    </row>
    <row r="14489" spans="3:4" x14ac:dyDescent="0.35">
      <c r="C14489" s="51"/>
      <c r="D14489" s="51"/>
    </row>
    <row r="14490" spans="3:4" x14ac:dyDescent="0.35">
      <c r="C14490" s="51"/>
      <c r="D14490" s="51"/>
    </row>
    <row r="14491" spans="3:4" x14ac:dyDescent="0.35">
      <c r="C14491" s="51"/>
      <c r="D14491" s="51"/>
    </row>
    <row r="14492" spans="3:4" x14ac:dyDescent="0.35">
      <c r="C14492" s="51"/>
      <c r="D14492" s="51"/>
    </row>
    <row r="14493" spans="3:4" x14ac:dyDescent="0.35">
      <c r="C14493" s="51"/>
      <c r="D14493" s="51"/>
    </row>
    <row r="14494" spans="3:4" x14ac:dyDescent="0.35">
      <c r="C14494" s="51"/>
      <c r="D14494" s="51"/>
    </row>
    <row r="14495" spans="3:4" x14ac:dyDescent="0.35">
      <c r="C14495" s="51"/>
      <c r="D14495" s="51"/>
    </row>
    <row r="14496" spans="3:4" x14ac:dyDescent="0.35">
      <c r="C14496" s="51"/>
      <c r="D14496" s="51"/>
    </row>
    <row r="14497" spans="3:4" x14ac:dyDescent="0.35">
      <c r="C14497" s="51"/>
      <c r="D14497" s="51"/>
    </row>
    <row r="14498" spans="3:4" x14ac:dyDescent="0.35">
      <c r="C14498" s="51"/>
      <c r="D14498" s="51"/>
    </row>
    <row r="14499" spans="3:4" x14ac:dyDescent="0.35">
      <c r="C14499" s="51"/>
      <c r="D14499" s="51"/>
    </row>
    <row r="14500" spans="3:4" x14ac:dyDescent="0.35">
      <c r="C14500" s="51"/>
      <c r="D14500" s="51"/>
    </row>
    <row r="14501" spans="3:4" x14ac:dyDescent="0.35">
      <c r="C14501" s="51"/>
      <c r="D14501" s="51"/>
    </row>
    <row r="14502" spans="3:4" x14ac:dyDescent="0.35">
      <c r="C14502" s="51"/>
      <c r="D14502" s="51"/>
    </row>
    <row r="14503" spans="3:4" x14ac:dyDescent="0.35">
      <c r="C14503" s="51"/>
      <c r="D14503" s="51"/>
    </row>
    <row r="14504" spans="3:4" x14ac:dyDescent="0.35">
      <c r="C14504" s="51"/>
      <c r="D14504" s="51"/>
    </row>
    <row r="14505" spans="3:4" x14ac:dyDescent="0.35">
      <c r="C14505" s="51"/>
      <c r="D14505" s="51"/>
    </row>
    <row r="14506" spans="3:4" x14ac:dyDescent="0.35">
      <c r="C14506" s="51"/>
      <c r="D14506" s="51"/>
    </row>
    <row r="14507" spans="3:4" x14ac:dyDescent="0.35">
      <c r="C14507" s="51"/>
      <c r="D14507" s="51"/>
    </row>
    <row r="14508" spans="3:4" x14ac:dyDescent="0.35">
      <c r="C14508" s="51"/>
      <c r="D14508" s="51"/>
    </row>
    <row r="14509" spans="3:4" x14ac:dyDescent="0.35">
      <c r="C14509" s="51"/>
      <c r="D14509" s="51"/>
    </row>
    <row r="14510" spans="3:4" x14ac:dyDescent="0.35">
      <c r="C14510" s="51"/>
      <c r="D14510" s="51"/>
    </row>
    <row r="14511" spans="3:4" x14ac:dyDescent="0.35">
      <c r="C14511" s="51"/>
      <c r="D14511" s="51"/>
    </row>
    <row r="14512" spans="3:4" x14ac:dyDescent="0.35">
      <c r="C14512" s="51"/>
      <c r="D14512" s="51"/>
    </row>
    <row r="14513" spans="3:4" x14ac:dyDescent="0.35">
      <c r="C14513" s="51"/>
      <c r="D14513" s="51"/>
    </row>
    <row r="14514" spans="3:4" x14ac:dyDescent="0.35">
      <c r="C14514" s="51"/>
      <c r="D14514" s="51"/>
    </row>
    <row r="14515" spans="3:4" x14ac:dyDescent="0.35">
      <c r="C14515" s="51"/>
      <c r="D14515" s="51"/>
    </row>
    <row r="14516" spans="3:4" x14ac:dyDescent="0.35">
      <c r="C14516" s="51"/>
      <c r="D14516" s="51"/>
    </row>
    <row r="14517" spans="3:4" x14ac:dyDescent="0.35">
      <c r="C14517" s="51"/>
      <c r="D14517" s="51"/>
    </row>
    <row r="14518" spans="3:4" x14ac:dyDescent="0.35">
      <c r="C14518" s="51"/>
      <c r="D14518" s="51"/>
    </row>
    <row r="14519" spans="3:4" x14ac:dyDescent="0.35">
      <c r="C14519" s="51"/>
      <c r="D14519" s="51"/>
    </row>
    <row r="14520" spans="3:4" x14ac:dyDescent="0.35">
      <c r="C14520" s="51"/>
      <c r="D14520" s="51"/>
    </row>
    <row r="14521" spans="3:4" x14ac:dyDescent="0.35">
      <c r="C14521" s="51"/>
      <c r="D14521" s="51"/>
    </row>
    <row r="14522" spans="3:4" x14ac:dyDescent="0.35">
      <c r="C14522" s="51"/>
      <c r="D14522" s="51"/>
    </row>
    <row r="14523" spans="3:4" x14ac:dyDescent="0.35">
      <c r="C14523" s="51"/>
      <c r="D14523" s="51"/>
    </row>
    <row r="14524" spans="3:4" x14ac:dyDescent="0.35">
      <c r="C14524" s="51"/>
      <c r="D14524" s="51"/>
    </row>
    <row r="14525" spans="3:4" x14ac:dyDescent="0.35">
      <c r="C14525" s="51"/>
      <c r="D14525" s="51"/>
    </row>
    <row r="14526" spans="3:4" x14ac:dyDescent="0.35">
      <c r="C14526" s="51"/>
      <c r="D14526" s="51"/>
    </row>
    <row r="14527" spans="3:4" x14ac:dyDescent="0.35">
      <c r="C14527" s="51"/>
      <c r="D14527" s="51"/>
    </row>
    <row r="14528" spans="3:4" x14ac:dyDescent="0.35">
      <c r="C14528" s="51"/>
      <c r="D14528" s="51"/>
    </row>
    <row r="14529" spans="3:4" x14ac:dyDescent="0.35">
      <c r="C14529" s="51"/>
      <c r="D14529" s="51"/>
    </row>
    <row r="14530" spans="3:4" x14ac:dyDescent="0.35">
      <c r="C14530" s="51"/>
      <c r="D14530" s="51"/>
    </row>
    <row r="14531" spans="3:4" x14ac:dyDescent="0.35">
      <c r="C14531" s="51"/>
      <c r="D14531" s="51"/>
    </row>
    <row r="14532" spans="3:4" x14ac:dyDescent="0.35">
      <c r="C14532" s="51"/>
      <c r="D14532" s="51"/>
    </row>
    <row r="14533" spans="3:4" x14ac:dyDescent="0.35">
      <c r="C14533" s="51"/>
      <c r="D14533" s="51"/>
    </row>
    <row r="14534" spans="3:4" x14ac:dyDescent="0.35">
      <c r="C14534" s="51"/>
      <c r="D14534" s="51"/>
    </row>
    <row r="14535" spans="3:4" x14ac:dyDescent="0.35">
      <c r="C14535" s="51"/>
      <c r="D14535" s="51"/>
    </row>
    <row r="14536" spans="3:4" x14ac:dyDescent="0.35">
      <c r="C14536" s="51"/>
      <c r="D14536" s="51"/>
    </row>
    <row r="14537" spans="3:4" x14ac:dyDescent="0.35">
      <c r="C14537" s="51"/>
      <c r="D14537" s="51"/>
    </row>
    <row r="14538" spans="3:4" x14ac:dyDescent="0.35">
      <c r="C14538" s="51"/>
      <c r="D14538" s="51"/>
    </row>
    <row r="14539" spans="3:4" x14ac:dyDescent="0.35">
      <c r="C14539" s="51"/>
      <c r="D14539" s="51"/>
    </row>
    <row r="14540" spans="3:4" x14ac:dyDescent="0.35">
      <c r="C14540" s="51"/>
      <c r="D14540" s="51"/>
    </row>
    <row r="14541" spans="3:4" x14ac:dyDescent="0.35">
      <c r="C14541" s="51"/>
      <c r="D14541" s="51"/>
    </row>
    <row r="14542" spans="3:4" x14ac:dyDescent="0.35">
      <c r="C14542" s="51"/>
      <c r="D14542" s="51"/>
    </row>
    <row r="14543" spans="3:4" x14ac:dyDescent="0.35">
      <c r="C14543" s="51"/>
      <c r="D14543" s="51"/>
    </row>
    <row r="14544" spans="3:4" x14ac:dyDescent="0.35">
      <c r="C14544" s="51"/>
      <c r="D14544" s="51"/>
    </row>
    <row r="14545" spans="3:4" x14ac:dyDescent="0.35">
      <c r="C14545" s="51"/>
      <c r="D14545" s="51"/>
    </row>
    <row r="14546" spans="3:4" x14ac:dyDescent="0.35">
      <c r="C14546" s="51"/>
      <c r="D14546" s="51"/>
    </row>
    <row r="14547" spans="3:4" x14ac:dyDescent="0.35">
      <c r="C14547" s="51"/>
      <c r="D14547" s="51"/>
    </row>
    <row r="14548" spans="3:4" x14ac:dyDescent="0.35">
      <c r="C14548" s="51"/>
      <c r="D14548" s="51"/>
    </row>
    <row r="14549" spans="3:4" x14ac:dyDescent="0.35">
      <c r="C14549" s="51"/>
      <c r="D14549" s="51"/>
    </row>
    <row r="14550" spans="3:4" x14ac:dyDescent="0.35">
      <c r="C14550" s="51"/>
      <c r="D14550" s="51"/>
    </row>
    <row r="14551" spans="3:4" x14ac:dyDescent="0.35">
      <c r="C14551" s="51"/>
      <c r="D14551" s="51"/>
    </row>
    <row r="14552" spans="3:4" x14ac:dyDescent="0.35">
      <c r="C14552" s="51"/>
      <c r="D14552" s="51"/>
    </row>
    <row r="14553" spans="3:4" x14ac:dyDescent="0.35">
      <c r="C14553" s="51"/>
      <c r="D14553" s="51"/>
    </row>
    <row r="14554" spans="3:4" x14ac:dyDescent="0.35">
      <c r="C14554" s="51"/>
      <c r="D14554" s="51"/>
    </row>
    <row r="14555" spans="3:4" x14ac:dyDescent="0.35">
      <c r="C14555" s="51"/>
      <c r="D14555" s="51"/>
    </row>
    <row r="14556" spans="3:4" x14ac:dyDescent="0.35">
      <c r="C14556" s="51"/>
      <c r="D14556" s="51"/>
    </row>
    <row r="14557" spans="3:4" x14ac:dyDescent="0.35">
      <c r="C14557" s="51"/>
      <c r="D14557" s="51"/>
    </row>
    <row r="14558" spans="3:4" x14ac:dyDescent="0.35">
      <c r="C14558" s="51"/>
      <c r="D14558" s="51"/>
    </row>
    <row r="14559" spans="3:4" x14ac:dyDescent="0.35">
      <c r="C14559" s="51"/>
      <c r="D14559" s="51"/>
    </row>
    <row r="14560" spans="3:4" x14ac:dyDescent="0.35">
      <c r="C14560" s="51"/>
      <c r="D14560" s="51"/>
    </row>
    <row r="14561" spans="3:4" x14ac:dyDescent="0.35">
      <c r="C14561" s="51"/>
      <c r="D14561" s="51"/>
    </row>
    <row r="14562" spans="3:4" x14ac:dyDescent="0.35">
      <c r="C14562" s="51"/>
      <c r="D14562" s="51"/>
    </row>
    <row r="14563" spans="3:4" x14ac:dyDescent="0.35">
      <c r="C14563" s="51"/>
      <c r="D14563" s="51"/>
    </row>
    <row r="14564" spans="3:4" x14ac:dyDescent="0.35">
      <c r="C14564" s="51"/>
      <c r="D14564" s="51"/>
    </row>
    <row r="14565" spans="3:4" x14ac:dyDescent="0.35">
      <c r="C14565" s="51"/>
      <c r="D14565" s="51"/>
    </row>
    <row r="14566" spans="3:4" x14ac:dyDescent="0.35">
      <c r="C14566" s="51"/>
      <c r="D14566" s="51"/>
    </row>
    <row r="14567" spans="3:4" x14ac:dyDescent="0.35">
      <c r="C14567" s="51"/>
      <c r="D14567" s="51"/>
    </row>
    <row r="14568" spans="3:4" x14ac:dyDescent="0.35">
      <c r="C14568" s="51"/>
      <c r="D14568" s="51"/>
    </row>
    <row r="14569" spans="3:4" x14ac:dyDescent="0.35">
      <c r="C14569" s="51"/>
      <c r="D14569" s="51"/>
    </row>
    <row r="14570" spans="3:4" x14ac:dyDescent="0.35">
      <c r="C14570" s="51"/>
      <c r="D14570" s="51"/>
    </row>
    <row r="14571" spans="3:4" x14ac:dyDescent="0.35">
      <c r="C14571" s="51"/>
      <c r="D14571" s="51"/>
    </row>
    <row r="14572" spans="3:4" x14ac:dyDescent="0.35">
      <c r="C14572" s="51"/>
      <c r="D14572" s="51"/>
    </row>
    <row r="14573" spans="3:4" x14ac:dyDescent="0.35">
      <c r="C14573" s="51"/>
      <c r="D14573" s="51"/>
    </row>
    <row r="14574" spans="3:4" x14ac:dyDescent="0.35">
      <c r="C14574" s="51"/>
      <c r="D14574" s="51"/>
    </row>
    <row r="14575" spans="3:4" x14ac:dyDescent="0.35">
      <c r="C14575" s="51"/>
      <c r="D14575" s="51"/>
    </row>
    <row r="14576" spans="3:4" x14ac:dyDescent="0.35">
      <c r="C14576" s="51"/>
      <c r="D14576" s="51"/>
    </row>
    <row r="14577" spans="3:4" x14ac:dyDescent="0.35">
      <c r="C14577" s="51"/>
      <c r="D14577" s="51"/>
    </row>
    <row r="14578" spans="3:4" x14ac:dyDescent="0.35">
      <c r="C14578" s="51"/>
      <c r="D14578" s="51"/>
    </row>
    <row r="14579" spans="3:4" x14ac:dyDescent="0.35">
      <c r="C14579" s="51"/>
      <c r="D14579" s="51"/>
    </row>
    <row r="14580" spans="3:4" x14ac:dyDescent="0.35">
      <c r="C14580" s="51"/>
      <c r="D14580" s="51"/>
    </row>
    <row r="14581" spans="3:4" x14ac:dyDescent="0.35">
      <c r="C14581" s="51"/>
      <c r="D14581" s="51"/>
    </row>
    <row r="14582" spans="3:4" x14ac:dyDescent="0.35">
      <c r="C14582" s="51"/>
      <c r="D14582" s="51"/>
    </row>
    <row r="14583" spans="3:4" x14ac:dyDescent="0.35">
      <c r="C14583" s="51"/>
      <c r="D14583" s="51"/>
    </row>
    <row r="14584" spans="3:4" x14ac:dyDescent="0.35">
      <c r="C14584" s="51"/>
      <c r="D14584" s="51"/>
    </row>
    <row r="14585" spans="3:4" x14ac:dyDescent="0.35">
      <c r="C14585" s="51"/>
      <c r="D14585" s="51"/>
    </row>
    <row r="14586" spans="3:4" x14ac:dyDescent="0.35">
      <c r="C14586" s="51"/>
      <c r="D14586" s="51"/>
    </row>
    <row r="14587" spans="3:4" x14ac:dyDescent="0.35">
      <c r="C14587" s="51"/>
      <c r="D14587" s="51"/>
    </row>
    <row r="14588" spans="3:4" x14ac:dyDescent="0.35">
      <c r="C14588" s="51"/>
      <c r="D14588" s="51"/>
    </row>
    <row r="14589" spans="3:4" x14ac:dyDescent="0.35">
      <c r="C14589" s="51"/>
      <c r="D14589" s="51"/>
    </row>
    <row r="14590" spans="3:4" x14ac:dyDescent="0.35">
      <c r="C14590" s="51"/>
      <c r="D14590" s="51"/>
    </row>
    <row r="14591" spans="3:4" x14ac:dyDescent="0.35">
      <c r="C14591" s="51"/>
      <c r="D14591" s="51"/>
    </row>
    <row r="14592" spans="3:4" x14ac:dyDescent="0.35">
      <c r="C14592" s="51"/>
      <c r="D14592" s="51"/>
    </row>
    <row r="14593" spans="3:4" x14ac:dyDescent="0.35">
      <c r="C14593" s="51"/>
      <c r="D14593" s="51"/>
    </row>
    <row r="14594" spans="3:4" x14ac:dyDescent="0.35">
      <c r="C14594" s="51"/>
      <c r="D14594" s="51"/>
    </row>
    <row r="14595" spans="3:4" x14ac:dyDescent="0.35">
      <c r="C14595" s="51"/>
      <c r="D14595" s="51"/>
    </row>
    <row r="14596" spans="3:4" x14ac:dyDescent="0.35">
      <c r="C14596" s="51"/>
      <c r="D14596" s="51"/>
    </row>
    <row r="14597" spans="3:4" x14ac:dyDescent="0.35">
      <c r="C14597" s="51"/>
      <c r="D14597" s="51"/>
    </row>
    <row r="14598" spans="3:4" x14ac:dyDescent="0.35">
      <c r="C14598" s="51"/>
      <c r="D14598" s="51"/>
    </row>
    <row r="14599" spans="3:4" x14ac:dyDescent="0.35">
      <c r="C14599" s="51"/>
      <c r="D14599" s="51"/>
    </row>
    <row r="14600" spans="3:4" x14ac:dyDescent="0.35">
      <c r="C14600" s="51"/>
      <c r="D14600" s="51"/>
    </row>
    <row r="14601" spans="3:4" x14ac:dyDescent="0.35">
      <c r="C14601" s="51"/>
      <c r="D14601" s="51"/>
    </row>
    <row r="14602" spans="3:4" x14ac:dyDescent="0.35">
      <c r="C14602" s="51"/>
      <c r="D14602" s="51"/>
    </row>
    <row r="14603" spans="3:4" x14ac:dyDescent="0.35">
      <c r="C14603" s="51"/>
      <c r="D14603" s="51"/>
    </row>
    <row r="14604" spans="3:4" x14ac:dyDescent="0.35">
      <c r="C14604" s="51"/>
      <c r="D14604" s="51"/>
    </row>
    <row r="14605" spans="3:4" x14ac:dyDescent="0.35">
      <c r="C14605" s="51"/>
      <c r="D14605" s="51"/>
    </row>
    <row r="14606" spans="3:4" x14ac:dyDescent="0.35">
      <c r="C14606" s="51"/>
      <c r="D14606" s="51"/>
    </row>
    <row r="14607" spans="3:4" x14ac:dyDescent="0.35">
      <c r="C14607" s="51"/>
      <c r="D14607" s="51"/>
    </row>
    <row r="14608" spans="3:4" x14ac:dyDescent="0.35">
      <c r="C14608" s="51"/>
      <c r="D14608" s="51"/>
    </row>
    <row r="14609" spans="3:4" x14ac:dyDescent="0.35">
      <c r="C14609" s="51"/>
      <c r="D14609" s="51"/>
    </row>
    <row r="14610" spans="3:4" x14ac:dyDescent="0.35">
      <c r="C14610" s="51"/>
      <c r="D14610" s="51"/>
    </row>
    <row r="14611" spans="3:4" x14ac:dyDescent="0.35">
      <c r="C14611" s="51"/>
      <c r="D14611" s="51"/>
    </row>
    <row r="14612" spans="3:4" x14ac:dyDescent="0.35">
      <c r="C14612" s="51"/>
      <c r="D14612" s="51"/>
    </row>
    <row r="14613" spans="3:4" x14ac:dyDescent="0.35">
      <c r="C14613" s="51"/>
      <c r="D14613" s="51"/>
    </row>
    <row r="14614" spans="3:4" x14ac:dyDescent="0.35">
      <c r="C14614" s="51"/>
      <c r="D14614" s="51"/>
    </row>
    <row r="14615" spans="3:4" x14ac:dyDescent="0.35">
      <c r="C14615" s="51"/>
      <c r="D14615" s="51"/>
    </row>
    <row r="14616" spans="3:4" x14ac:dyDescent="0.35">
      <c r="C14616" s="51"/>
      <c r="D14616" s="51"/>
    </row>
    <row r="14617" spans="3:4" x14ac:dyDescent="0.35">
      <c r="C14617" s="51"/>
      <c r="D14617" s="51"/>
    </row>
    <row r="14618" spans="3:4" x14ac:dyDescent="0.35">
      <c r="C14618" s="51"/>
      <c r="D14618" s="51"/>
    </row>
    <row r="14619" spans="3:4" x14ac:dyDescent="0.35">
      <c r="C14619" s="51"/>
      <c r="D14619" s="51"/>
    </row>
    <row r="14620" spans="3:4" x14ac:dyDescent="0.35">
      <c r="C14620" s="51"/>
      <c r="D14620" s="51"/>
    </row>
    <row r="14621" spans="3:4" x14ac:dyDescent="0.35">
      <c r="C14621" s="51"/>
      <c r="D14621" s="51"/>
    </row>
    <row r="14622" spans="3:4" x14ac:dyDescent="0.35">
      <c r="C14622" s="51"/>
      <c r="D14622" s="51"/>
    </row>
    <row r="14623" spans="3:4" x14ac:dyDescent="0.35">
      <c r="C14623" s="51"/>
      <c r="D14623" s="51"/>
    </row>
    <row r="14624" spans="3:4" x14ac:dyDescent="0.35">
      <c r="C14624" s="51"/>
      <c r="D14624" s="51"/>
    </row>
    <row r="14625" spans="3:4" x14ac:dyDescent="0.35">
      <c r="C14625" s="51"/>
      <c r="D14625" s="51"/>
    </row>
    <row r="14626" spans="3:4" x14ac:dyDescent="0.35">
      <c r="C14626" s="51"/>
      <c r="D14626" s="51"/>
    </row>
    <row r="14627" spans="3:4" x14ac:dyDescent="0.35">
      <c r="C14627" s="51"/>
      <c r="D14627" s="51"/>
    </row>
    <row r="14628" spans="3:4" x14ac:dyDescent="0.35">
      <c r="C14628" s="51"/>
      <c r="D14628" s="51"/>
    </row>
    <row r="14629" spans="3:4" x14ac:dyDescent="0.35">
      <c r="C14629" s="51"/>
      <c r="D14629" s="51"/>
    </row>
    <row r="14630" spans="3:4" x14ac:dyDescent="0.35">
      <c r="C14630" s="51"/>
      <c r="D14630" s="51"/>
    </row>
    <row r="14631" spans="3:4" x14ac:dyDescent="0.35">
      <c r="C14631" s="51"/>
      <c r="D14631" s="51"/>
    </row>
    <row r="14632" spans="3:4" x14ac:dyDescent="0.35">
      <c r="C14632" s="51"/>
      <c r="D14632" s="51"/>
    </row>
    <row r="14633" spans="3:4" x14ac:dyDescent="0.35">
      <c r="C14633" s="51"/>
      <c r="D14633" s="51"/>
    </row>
    <row r="14634" spans="3:4" x14ac:dyDescent="0.35">
      <c r="C14634" s="51"/>
      <c r="D14634" s="51"/>
    </row>
    <row r="14635" spans="3:4" x14ac:dyDescent="0.35">
      <c r="C14635" s="51"/>
      <c r="D14635" s="51"/>
    </row>
    <row r="14636" spans="3:4" x14ac:dyDescent="0.35">
      <c r="C14636" s="51"/>
      <c r="D14636" s="51"/>
    </row>
    <row r="14637" spans="3:4" x14ac:dyDescent="0.35">
      <c r="C14637" s="51"/>
      <c r="D14637" s="51"/>
    </row>
    <row r="14638" spans="3:4" x14ac:dyDescent="0.35">
      <c r="C14638" s="51"/>
      <c r="D14638" s="51"/>
    </row>
    <row r="14639" spans="3:4" x14ac:dyDescent="0.35">
      <c r="C14639" s="51"/>
      <c r="D14639" s="51"/>
    </row>
    <row r="14640" spans="3:4" x14ac:dyDescent="0.35">
      <c r="C14640" s="51"/>
      <c r="D14640" s="51"/>
    </row>
    <row r="14641" spans="3:4" x14ac:dyDescent="0.35">
      <c r="C14641" s="51"/>
      <c r="D14641" s="51"/>
    </row>
    <row r="14642" spans="3:4" x14ac:dyDescent="0.35">
      <c r="C14642" s="51"/>
      <c r="D14642" s="51"/>
    </row>
    <row r="14643" spans="3:4" x14ac:dyDescent="0.35">
      <c r="C14643" s="51"/>
      <c r="D14643" s="51"/>
    </row>
    <row r="14644" spans="3:4" x14ac:dyDescent="0.35">
      <c r="C14644" s="51"/>
      <c r="D14644" s="51"/>
    </row>
    <row r="14645" spans="3:4" x14ac:dyDescent="0.35">
      <c r="C14645" s="51"/>
      <c r="D14645" s="51"/>
    </row>
    <row r="14646" spans="3:4" x14ac:dyDescent="0.35">
      <c r="C14646" s="51"/>
      <c r="D14646" s="51"/>
    </row>
    <row r="14647" spans="3:4" x14ac:dyDescent="0.35">
      <c r="C14647" s="51"/>
      <c r="D14647" s="51"/>
    </row>
    <row r="14648" spans="3:4" x14ac:dyDescent="0.35">
      <c r="C14648" s="51"/>
      <c r="D14648" s="51"/>
    </row>
    <row r="14649" spans="3:4" x14ac:dyDescent="0.35">
      <c r="C14649" s="51"/>
      <c r="D14649" s="51"/>
    </row>
    <row r="14650" spans="3:4" x14ac:dyDescent="0.35">
      <c r="C14650" s="51"/>
      <c r="D14650" s="51"/>
    </row>
    <row r="14651" spans="3:4" x14ac:dyDescent="0.35">
      <c r="C14651" s="51"/>
      <c r="D14651" s="51"/>
    </row>
    <row r="14652" spans="3:4" x14ac:dyDescent="0.35">
      <c r="C14652" s="51"/>
      <c r="D14652" s="51"/>
    </row>
    <row r="14653" spans="3:4" x14ac:dyDescent="0.35">
      <c r="C14653" s="51"/>
      <c r="D14653" s="51"/>
    </row>
    <row r="14654" spans="3:4" x14ac:dyDescent="0.35">
      <c r="C14654" s="51"/>
      <c r="D14654" s="51"/>
    </row>
    <row r="14655" spans="3:4" x14ac:dyDescent="0.35">
      <c r="C14655" s="51"/>
      <c r="D14655" s="51"/>
    </row>
    <row r="14656" spans="3:4" x14ac:dyDescent="0.35">
      <c r="C14656" s="51"/>
      <c r="D14656" s="51"/>
    </row>
    <row r="14657" spans="3:4" x14ac:dyDescent="0.35">
      <c r="C14657" s="51"/>
      <c r="D14657" s="51"/>
    </row>
    <row r="14658" spans="3:4" x14ac:dyDescent="0.35">
      <c r="C14658" s="51"/>
      <c r="D14658" s="51"/>
    </row>
    <row r="14659" spans="3:4" x14ac:dyDescent="0.35">
      <c r="C14659" s="51"/>
      <c r="D14659" s="51"/>
    </row>
    <row r="14660" spans="3:4" x14ac:dyDescent="0.35">
      <c r="C14660" s="51"/>
      <c r="D14660" s="51"/>
    </row>
    <row r="14661" spans="3:4" x14ac:dyDescent="0.35">
      <c r="C14661" s="51"/>
      <c r="D14661" s="51"/>
    </row>
    <row r="14662" spans="3:4" x14ac:dyDescent="0.35">
      <c r="C14662" s="51"/>
      <c r="D14662" s="51"/>
    </row>
    <row r="14663" spans="3:4" x14ac:dyDescent="0.35">
      <c r="C14663" s="51"/>
      <c r="D14663" s="51"/>
    </row>
    <row r="14664" spans="3:4" x14ac:dyDescent="0.35">
      <c r="C14664" s="51"/>
      <c r="D14664" s="51"/>
    </row>
    <row r="14665" spans="3:4" x14ac:dyDescent="0.35">
      <c r="C14665" s="51"/>
      <c r="D14665" s="51"/>
    </row>
    <row r="14666" spans="3:4" x14ac:dyDescent="0.35">
      <c r="C14666" s="51"/>
      <c r="D14666" s="51"/>
    </row>
    <row r="14667" spans="3:4" x14ac:dyDescent="0.35">
      <c r="C14667" s="51"/>
      <c r="D14667" s="51"/>
    </row>
    <row r="14668" spans="3:4" x14ac:dyDescent="0.35">
      <c r="C14668" s="51"/>
      <c r="D14668" s="51"/>
    </row>
    <row r="14669" spans="3:4" x14ac:dyDescent="0.35">
      <c r="C14669" s="51"/>
      <c r="D14669" s="51"/>
    </row>
    <row r="14670" spans="3:4" x14ac:dyDescent="0.35">
      <c r="C14670" s="51"/>
      <c r="D14670" s="51"/>
    </row>
    <row r="14671" spans="3:4" x14ac:dyDescent="0.35">
      <c r="C14671" s="51"/>
      <c r="D14671" s="51"/>
    </row>
    <row r="14672" spans="3:4" x14ac:dyDescent="0.35">
      <c r="C14672" s="51"/>
      <c r="D14672" s="51"/>
    </row>
    <row r="14673" spans="3:4" x14ac:dyDescent="0.35">
      <c r="C14673" s="51"/>
      <c r="D14673" s="51"/>
    </row>
    <row r="14674" spans="3:4" x14ac:dyDescent="0.35">
      <c r="C14674" s="51"/>
      <c r="D14674" s="51"/>
    </row>
    <row r="14675" spans="3:4" x14ac:dyDescent="0.35">
      <c r="C14675" s="51"/>
      <c r="D14675" s="51"/>
    </row>
    <row r="14676" spans="3:4" x14ac:dyDescent="0.35">
      <c r="C14676" s="51"/>
      <c r="D14676" s="51"/>
    </row>
    <row r="14677" spans="3:4" x14ac:dyDescent="0.35">
      <c r="C14677" s="51"/>
      <c r="D14677" s="51"/>
    </row>
    <row r="14678" spans="3:4" x14ac:dyDescent="0.35">
      <c r="C14678" s="51"/>
      <c r="D14678" s="51"/>
    </row>
    <row r="14679" spans="3:4" x14ac:dyDescent="0.35">
      <c r="C14679" s="51"/>
      <c r="D14679" s="51"/>
    </row>
    <row r="14680" spans="3:4" x14ac:dyDescent="0.35">
      <c r="C14680" s="51"/>
      <c r="D14680" s="51"/>
    </row>
    <row r="14681" spans="3:4" x14ac:dyDescent="0.35">
      <c r="C14681" s="51"/>
      <c r="D14681" s="51"/>
    </row>
    <row r="14682" spans="3:4" x14ac:dyDescent="0.35">
      <c r="C14682" s="51"/>
      <c r="D14682" s="51"/>
    </row>
    <row r="14683" spans="3:4" x14ac:dyDescent="0.35">
      <c r="C14683" s="51"/>
      <c r="D14683" s="51"/>
    </row>
    <row r="14684" spans="3:4" x14ac:dyDescent="0.35">
      <c r="C14684" s="51"/>
      <c r="D14684" s="51"/>
    </row>
    <row r="14685" spans="3:4" x14ac:dyDescent="0.35">
      <c r="C14685" s="51"/>
      <c r="D14685" s="51"/>
    </row>
    <row r="14686" spans="3:4" x14ac:dyDescent="0.35">
      <c r="C14686" s="51"/>
      <c r="D14686" s="51"/>
    </row>
    <row r="14687" spans="3:4" x14ac:dyDescent="0.35">
      <c r="C14687" s="51"/>
      <c r="D14687" s="51"/>
    </row>
    <row r="14688" spans="3:4" x14ac:dyDescent="0.35">
      <c r="C14688" s="51"/>
      <c r="D14688" s="51"/>
    </row>
    <row r="14689" spans="3:4" x14ac:dyDescent="0.35">
      <c r="C14689" s="51"/>
      <c r="D14689" s="51"/>
    </row>
    <row r="14690" spans="3:4" x14ac:dyDescent="0.35">
      <c r="C14690" s="51"/>
      <c r="D14690" s="51"/>
    </row>
    <row r="14691" spans="3:4" x14ac:dyDescent="0.35">
      <c r="C14691" s="51"/>
      <c r="D14691" s="51"/>
    </row>
    <row r="14692" spans="3:4" x14ac:dyDescent="0.35">
      <c r="C14692" s="51"/>
      <c r="D14692" s="51"/>
    </row>
    <row r="14693" spans="3:4" x14ac:dyDescent="0.35">
      <c r="C14693" s="51"/>
      <c r="D14693" s="51"/>
    </row>
    <row r="14694" spans="3:4" x14ac:dyDescent="0.35">
      <c r="C14694" s="51"/>
      <c r="D14694" s="51"/>
    </row>
    <row r="14695" spans="3:4" x14ac:dyDescent="0.35">
      <c r="C14695" s="51"/>
      <c r="D14695" s="51"/>
    </row>
    <row r="14696" spans="3:4" x14ac:dyDescent="0.35">
      <c r="C14696" s="51"/>
      <c r="D14696" s="51"/>
    </row>
    <row r="14697" spans="3:4" x14ac:dyDescent="0.35">
      <c r="C14697" s="51"/>
      <c r="D14697" s="51"/>
    </row>
    <row r="14698" spans="3:4" x14ac:dyDescent="0.35">
      <c r="C14698" s="51"/>
      <c r="D14698" s="51"/>
    </row>
    <row r="14699" spans="3:4" x14ac:dyDescent="0.35">
      <c r="C14699" s="51"/>
      <c r="D14699" s="51"/>
    </row>
    <row r="14700" spans="3:4" x14ac:dyDescent="0.35">
      <c r="C14700" s="51"/>
      <c r="D14700" s="51"/>
    </row>
    <row r="14701" spans="3:4" x14ac:dyDescent="0.35">
      <c r="C14701" s="51"/>
      <c r="D14701" s="51"/>
    </row>
    <row r="14702" spans="3:4" x14ac:dyDescent="0.35">
      <c r="C14702" s="51"/>
      <c r="D14702" s="51"/>
    </row>
    <row r="14703" spans="3:4" x14ac:dyDescent="0.35">
      <c r="C14703" s="51"/>
      <c r="D14703" s="51"/>
    </row>
    <row r="14704" spans="3:4" x14ac:dyDescent="0.35">
      <c r="C14704" s="51"/>
      <c r="D14704" s="51"/>
    </row>
    <row r="14705" spans="3:4" x14ac:dyDescent="0.35">
      <c r="C14705" s="51"/>
      <c r="D14705" s="51"/>
    </row>
    <row r="14706" spans="3:4" x14ac:dyDescent="0.35">
      <c r="C14706" s="51"/>
      <c r="D14706" s="51"/>
    </row>
    <row r="14707" spans="3:4" x14ac:dyDescent="0.35">
      <c r="C14707" s="51"/>
      <c r="D14707" s="51"/>
    </row>
    <row r="14708" spans="3:4" x14ac:dyDescent="0.35">
      <c r="C14708" s="51"/>
      <c r="D14708" s="51"/>
    </row>
    <row r="14709" spans="3:4" x14ac:dyDescent="0.35">
      <c r="C14709" s="51"/>
      <c r="D14709" s="51"/>
    </row>
    <row r="14710" spans="3:4" x14ac:dyDescent="0.35">
      <c r="C14710" s="51"/>
      <c r="D14710" s="51"/>
    </row>
    <row r="14711" spans="3:4" x14ac:dyDescent="0.35">
      <c r="C14711" s="51"/>
      <c r="D14711" s="51"/>
    </row>
    <row r="14712" spans="3:4" x14ac:dyDescent="0.35">
      <c r="C14712" s="51"/>
      <c r="D14712" s="51"/>
    </row>
    <row r="14713" spans="3:4" x14ac:dyDescent="0.35">
      <c r="C14713" s="51"/>
      <c r="D14713" s="51"/>
    </row>
    <row r="14714" spans="3:4" x14ac:dyDescent="0.35">
      <c r="C14714" s="51"/>
      <c r="D14714" s="51"/>
    </row>
    <row r="14715" spans="3:4" x14ac:dyDescent="0.35">
      <c r="C14715" s="51"/>
      <c r="D14715" s="51"/>
    </row>
    <row r="14716" spans="3:4" x14ac:dyDescent="0.35">
      <c r="C14716" s="51"/>
      <c r="D14716" s="51"/>
    </row>
    <row r="14717" spans="3:4" x14ac:dyDescent="0.35">
      <c r="C14717" s="51"/>
      <c r="D14717" s="51"/>
    </row>
    <row r="14718" spans="3:4" x14ac:dyDescent="0.35">
      <c r="C14718" s="51"/>
      <c r="D14718" s="51"/>
    </row>
    <row r="14719" spans="3:4" x14ac:dyDescent="0.35">
      <c r="C14719" s="51"/>
      <c r="D14719" s="51"/>
    </row>
    <row r="14720" spans="3:4" x14ac:dyDescent="0.35">
      <c r="C14720" s="51"/>
      <c r="D14720" s="51"/>
    </row>
    <row r="14721" spans="3:4" x14ac:dyDescent="0.35">
      <c r="C14721" s="51"/>
      <c r="D14721" s="51"/>
    </row>
    <row r="14722" spans="3:4" x14ac:dyDescent="0.35">
      <c r="C14722" s="51"/>
      <c r="D14722" s="51"/>
    </row>
    <row r="14723" spans="3:4" x14ac:dyDescent="0.35">
      <c r="C14723" s="51"/>
      <c r="D14723" s="51"/>
    </row>
    <row r="14724" spans="3:4" x14ac:dyDescent="0.35">
      <c r="C14724" s="51"/>
      <c r="D14724" s="51"/>
    </row>
    <row r="14725" spans="3:4" x14ac:dyDescent="0.35">
      <c r="C14725" s="51"/>
      <c r="D14725" s="51"/>
    </row>
    <row r="14726" spans="3:4" x14ac:dyDescent="0.35">
      <c r="C14726" s="51"/>
      <c r="D14726" s="51"/>
    </row>
    <row r="14727" spans="3:4" x14ac:dyDescent="0.35">
      <c r="C14727" s="51"/>
      <c r="D14727" s="51"/>
    </row>
    <row r="14728" spans="3:4" x14ac:dyDescent="0.35">
      <c r="C14728" s="51"/>
      <c r="D14728" s="51"/>
    </row>
    <row r="14729" spans="3:4" x14ac:dyDescent="0.35">
      <c r="C14729" s="51"/>
      <c r="D14729" s="51"/>
    </row>
    <row r="14730" spans="3:4" x14ac:dyDescent="0.35">
      <c r="C14730" s="51"/>
      <c r="D14730" s="51"/>
    </row>
    <row r="14731" spans="3:4" x14ac:dyDescent="0.35">
      <c r="C14731" s="51"/>
      <c r="D14731" s="51"/>
    </row>
    <row r="14732" spans="3:4" x14ac:dyDescent="0.35">
      <c r="C14732" s="51"/>
      <c r="D14732" s="51"/>
    </row>
    <row r="14733" spans="3:4" x14ac:dyDescent="0.35">
      <c r="C14733" s="51"/>
      <c r="D14733" s="51"/>
    </row>
    <row r="14734" spans="3:4" x14ac:dyDescent="0.35">
      <c r="C14734" s="51"/>
      <c r="D14734" s="51"/>
    </row>
    <row r="14735" spans="3:4" x14ac:dyDescent="0.35">
      <c r="C14735" s="51"/>
      <c r="D14735" s="51"/>
    </row>
    <row r="14736" spans="3:4" x14ac:dyDescent="0.35">
      <c r="C14736" s="51"/>
      <c r="D14736" s="51"/>
    </row>
    <row r="14737" spans="3:4" x14ac:dyDescent="0.35">
      <c r="C14737" s="51"/>
      <c r="D14737" s="51"/>
    </row>
    <row r="14738" spans="3:4" x14ac:dyDescent="0.35">
      <c r="C14738" s="51"/>
      <c r="D14738" s="51"/>
    </row>
    <row r="14739" spans="3:4" x14ac:dyDescent="0.35">
      <c r="C14739" s="51"/>
      <c r="D14739" s="51"/>
    </row>
    <row r="14740" spans="3:4" x14ac:dyDescent="0.35">
      <c r="C14740" s="51"/>
      <c r="D14740" s="51"/>
    </row>
    <row r="14741" spans="3:4" x14ac:dyDescent="0.35">
      <c r="C14741" s="51"/>
      <c r="D14741" s="51"/>
    </row>
    <row r="14742" spans="3:4" x14ac:dyDescent="0.35">
      <c r="C14742" s="51"/>
      <c r="D14742" s="51"/>
    </row>
    <row r="14743" spans="3:4" x14ac:dyDescent="0.35">
      <c r="C14743" s="51"/>
      <c r="D14743" s="51"/>
    </row>
    <row r="14744" spans="3:4" x14ac:dyDescent="0.35">
      <c r="C14744" s="51"/>
      <c r="D14744" s="51"/>
    </row>
    <row r="14745" spans="3:4" x14ac:dyDescent="0.35">
      <c r="C14745" s="51"/>
      <c r="D14745" s="51"/>
    </row>
    <row r="14746" spans="3:4" x14ac:dyDescent="0.35">
      <c r="C14746" s="51"/>
      <c r="D14746" s="51"/>
    </row>
    <row r="14747" spans="3:4" x14ac:dyDescent="0.35">
      <c r="C14747" s="51"/>
      <c r="D14747" s="51"/>
    </row>
    <row r="14748" spans="3:4" x14ac:dyDescent="0.35">
      <c r="C14748" s="51"/>
      <c r="D14748" s="51"/>
    </row>
    <row r="14749" spans="3:4" x14ac:dyDescent="0.35">
      <c r="C14749" s="51"/>
      <c r="D14749" s="51"/>
    </row>
    <row r="14750" spans="3:4" x14ac:dyDescent="0.35">
      <c r="C14750" s="51"/>
      <c r="D14750" s="51"/>
    </row>
    <row r="14751" spans="3:4" x14ac:dyDescent="0.35">
      <c r="C14751" s="51"/>
      <c r="D14751" s="51"/>
    </row>
    <row r="14752" spans="3:4" x14ac:dyDescent="0.35">
      <c r="C14752" s="51"/>
      <c r="D14752" s="51"/>
    </row>
    <row r="14753" spans="3:4" x14ac:dyDescent="0.35">
      <c r="C14753" s="51"/>
      <c r="D14753" s="51"/>
    </row>
    <row r="14754" spans="3:4" x14ac:dyDescent="0.35">
      <c r="C14754" s="51"/>
      <c r="D14754" s="51"/>
    </row>
    <row r="14755" spans="3:4" x14ac:dyDescent="0.35">
      <c r="C14755" s="51"/>
      <c r="D14755" s="51"/>
    </row>
    <row r="14756" spans="3:4" x14ac:dyDescent="0.35">
      <c r="C14756" s="51"/>
      <c r="D14756" s="51"/>
    </row>
    <row r="14757" spans="3:4" x14ac:dyDescent="0.35">
      <c r="C14757" s="51"/>
      <c r="D14757" s="51"/>
    </row>
    <row r="14758" spans="3:4" x14ac:dyDescent="0.35">
      <c r="C14758" s="51"/>
      <c r="D14758" s="51"/>
    </row>
    <row r="14759" spans="3:4" x14ac:dyDescent="0.35">
      <c r="C14759" s="51"/>
      <c r="D14759" s="51"/>
    </row>
    <row r="14760" spans="3:4" x14ac:dyDescent="0.35">
      <c r="C14760" s="51"/>
      <c r="D14760" s="51"/>
    </row>
    <row r="14761" spans="3:4" x14ac:dyDescent="0.35">
      <c r="C14761" s="51"/>
      <c r="D14761" s="51"/>
    </row>
    <row r="14762" spans="3:4" x14ac:dyDescent="0.35">
      <c r="C14762" s="51"/>
      <c r="D14762" s="51"/>
    </row>
    <row r="14763" spans="3:4" x14ac:dyDescent="0.35">
      <c r="C14763" s="51"/>
      <c r="D14763" s="51"/>
    </row>
    <row r="14764" spans="3:4" x14ac:dyDescent="0.35">
      <c r="C14764" s="51"/>
      <c r="D14764" s="51"/>
    </row>
    <row r="14765" spans="3:4" x14ac:dyDescent="0.35">
      <c r="C14765" s="51"/>
      <c r="D14765" s="51"/>
    </row>
    <row r="14766" spans="3:4" x14ac:dyDescent="0.35">
      <c r="C14766" s="51"/>
      <c r="D14766" s="51"/>
    </row>
    <row r="14767" spans="3:4" x14ac:dyDescent="0.35">
      <c r="C14767" s="51"/>
      <c r="D14767" s="51"/>
    </row>
    <row r="14768" spans="3:4" x14ac:dyDescent="0.35">
      <c r="C14768" s="51"/>
      <c r="D14768" s="51"/>
    </row>
    <row r="14769" spans="3:4" x14ac:dyDescent="0.35">
      <c r="C14769" s="51"/>
      <c r="D14769" s="51"/>
    </row>
    <row r="14770" spans="3:4" x14ac:dyDescent="0.35">
      <c r="C14770" s="51"/>
      <c r="D14770" s="51"/>
    </row>
    <row r="14771" spans="3:4" x14ac:dyDescent="0.35">
      <c r="C14771" s="51"/>
      <c r="D14771" s="51"/>
    </row>
    <row r="14772" spans="3:4" x14ac:dyDescent="0.35">
      <c r="C14772" s="51"/>
      <c r="D14772" s="51"/>
    </row>
    <row r="14773" spans="3:4" x14ac:dyDescent="0.35">
      <c r="C14773" s="51"/>
      <c r="D14773" s="51"/>
    </row>
    <row r="14774" spans="3:4" x14ac:dyDescent="0.35">
      <c r="C14774" s="51"/>
      <c r="D14774" s="51"/>
    </row>
    <row r="14775" spans="3:4" x14ac:dyDescent="0.35">
      <c r="C14775" s="51"/>
      <c r="D14775" s="51"/>
    </row>
    <row r="14776" spans="3:4" x14ac:dyDescent="0.35">
      <c r="C14776" s="51"/>
      <c r="D14776" s="51"/>
    </row>
    <row r="14777" spans="3:4" x14ac:dyDescent="0.35">
      <c r="C14777" s="51"/>
      <c r="D14777" s="51"/>
    </row>
    <row r="14778" spans="3:4" x14ac:dyDescent="0.35">
      <c r="C14778" s="51"/>
      <c r="D14778" s="51"/>
    </row>
    <row r="14779" spans="3:4" x14ac:dyDescent="0.35">
      <c r="C14779" s="51"/>
      <c r="D14779" s="51"/>
    </row>
    <row r="14780" spans="3:4" x14ac:dyDescent="0.35">
      <c r="C14780" s="51"/>
      <c r="D14780" s="51"/>
    </row>
    <row r="14781" spans="3:4" x14ac:dyDescent="0.35">
      <c r="C14781" s="51"/>
      <c r="D14781" s="51"/>
    </row>
    <row r="14782" spans="3:4" x14ac:dyDescent="0.35">
      <c r="C14782" s="51"/>
      <c r="D14782" s="51"/>
    </row>
    <row r="14783" spans="3:4" x14ac:dyDescent="0.35">
      <c r="C14783" s="51"/>
      <c r="D14783" s="51"/>
    </row>
    <row r="14784" spans="3:4" x14ac:dyDescent="0.35">
      <c r="C14784" s="51"/>
      <c r="D14784" s="51"/>
    </row>
    <row r="14785" spans="3:4" x14ac:dyDescent="0.35">
      <c r="C14785" s="51"/>
      <c r="D14785" s="51"/>
    </row>
    <row r="14786" spans="3:4" x14ac:dyDescent="0.35">
      <c r="C14786" s="51"/>
      <c r="D14786" s="51"/>
    </row>
    <row r="14787" spans="3:4" x14ac:dyDescent="0.35">
      <c r="C14787" s="51"/>
      <c r="D14787" s="51"/>
    </row>
    <row r="14788" spans="3:4" x14ac:dyDescent="0.35">
      <c r="C14788" s="51"/>
      <c r="D14788" s="51"/>
    </row>
    <row r="14789" spans="3:4" x14ac:dyDescent="0.35">
      <c r="C14789" s="51"/>
      <c r="D14789" s="51"/>
    </row>
    <row r="14790" spans="3:4" x14ac:dyDescent="0.35">
      <c r="C14790" s="51"/>
      <c r="D14790" s="51"/>
    </row>
    <row r="14791" spans="3:4" x14ac:dyDescent="0.35">
      <c r="C14791" s="51"/>
      <c r="D14791" s="51"/>
    </row>
    <row r="14792" spans="3:4" x14ac:dyDescent="0.35">
      <c r="C14792" s="51"/>
      <c r="D14792" s="51"/>
    </row>
    <row r="14793" spans="3:4" x14ac:dyDescent="0.35">
      <c r="C14793" s="51"/>
      <c r="D14793" s="51"/>
    </row>
    <row r="14794" spans="3:4" x14ac:dyDescent="0.35">
      <c r="C14794" s="51"/>
      <c r="D14794" s="51"/>
    </row>
    <row r="14795" spans="3:4" x14ac:dyDescent="0.35">
      <c r="C14795" s="51"/>
      <c r="D14795" s="51"/>
    </row>
    <row r="14796" spans="3:4" x14ac:dyDescent="0.35">
      <c r="C14796" s="51"/>
      <c r="D14796" s="51"/>
    </row>
    <row r="14797" spans="3:4" x14ac:dyDescent="0.35">
      <c r="C14797" s="51"/>
      <c r="D14797" s="51"/>
    </row>
    <row r="14798" spans="3:4" x14ac:dyDescent="0.35">
      <c r="C14798" s="51"/>
      <c r="D14798" s="51"/>
    </row>
    <row r="14799" spans="3:4" x14ac:dyDescent="0.35">
      <c r="C14799" s="51"/>
      <c r="D14799" s="51"/>
    </row>
    <row r="14800" spans="3:4" x14ac:dyDescent="0.35">
      <c r="C14800" s="51"/>
      <c r="D14800" s="51"/>
    </row>
    <row r="14801" spans="3:4" x14ac:dyDescent="0.35">
      <c r="C14801" s="51"/>
      <c r="D14801" s="51"/>
    </row>
    <row r="14802" spans="3:4" x14ac:dyDescent="0.35">
      <c r="C14802" s="51"/>
      <c r="D14802" s="51"/>
    </row>
    <row r="14803" spans="3:4" x14ac:dyDescent="0.35">
      <c r="C14803" s="51"/>
      <c r="D14803" s="51"/>
    </row>
    <row r="14804" spans="3:4" x14ac:dyDescent="0.35">
      <c r="C14804" s="51"/>
      <c r="D14804" s="51"/>
    </row>
    <row r="14805" spans="3:4" x14ac:dyDescent="0.35">
      <c r="C14805" s="51"/>
      <c r="D14805" s="51"/>
    </row>
    <row r="14806" spans="3:4" x14ac:dyDescent="0.35">
      <c r="C14806" s="51"/>
      <c r="D14806" s="51"/>
    </row>
    <row r="14807" spans="3:4" x14ac:dyDescent="0.35">
      <c r="C14807" s="51"/>
      <c r="D14807" s="51"/>
    </row>
    <row r="14808" spans="3:4" x14ac:dyDescent="0.35">
      <c r="C14808" s="51"/>
      <c r="D14808" s="51"/>
    </row>
    <row r="14809" spans="3:4" x14ac:dyDescent="0.35">
      <c r="C14809" s="51"/>
      <c r="D14809" s="51"/>
    </row>
    <row r="14810" spans="3:4" x14ac:dyDescent="0.35">
      <c r="C14810" s="51"/>
      <c r="D14810" s="51"/>
    </row>
    <row r="14811" spans="3:4" x14ac:dyDescent="0.35">
      <c r="C14811" s="51"/>
      <c r="D14811" s="51"/>
    </row>
    <row r="14812" spans="3:4" x14ac:dyDescent="0.35">
      <c r="C14812" s="51"/>
      <c r="D14812" s="51"/>
    </row>
    <row r="14813" spans="3:4" x14ac:dyDescent="0.35">
      <c r="C14813" s="51"/>
      <c r="D14813" s="51"/>
    </row>
    <row r="14814" spans="3:4" x14ac:dyDescent="0.35">
      <c r="C14814" s="51"/>
      <c r="D14814" s="51"/>
    </row>
    <row r="14815" spans="3:4" x14ac:dyDescent="0.35">
      <c r="C14815" s="51"/>
      <c r="D14815" s="51"/>
    </row>
    <row r="14816" spans="3:4" x14ac:dyDescent="0.35">
      <c r="C14816" s="51"/>
      <c r="D14816" s="51"/>
    </row>
    <row r="14817" spans="3:4" x14ac:dyDescent="0.35">
      <c r="C14817" s="51"/>
      <c r="D14817" s="51"/>
    </row>
    <row r="14818" spans="3:4" x14ac:dyDescent="0.35">
      <c r="C14818" s="51"/>
      <c r="D14818" s="51"/>
    </row>
    <row r="14819" spans="3:4" x14ac:dyDescent="0.35">
      <c r="C14819" s="51"/>
      <c r="D14819" s="51"/>
    </row>
    <row r="14820" spans="3:4" x14ac:dyDescent="0.35">
      <c r="C14820" s="51"/>
      <c r="D14820" s="51"/>
    </row>
    <row r="14821" spans="3:4" x14ac:dyDescent="0.35">
      <c r="C14821" s="51"/>
      <c r="D14821" s="51"/>
    </row>
    <row r="14822" spans="3:4" x14ac:dyDescent="0.35">
      <c r="C14822" s="51"/>
      <c r="D14822" s="51"/>
    </row>
    <row r="14823" spans="3:4" x14ac:dyDescent="0.35">
      <c r="C14823" s="51"/>
      <c r="D14823" s="51"/>
    </row>
    <row r="14824" spans="3:4" x14ac:dyDescent="0.35">
      <c r="C14824" s="51"/>
      <c r="D14824" s="51"/>
    </row>
    <row r="14825" spans="3:4" x14ac:dyDescent="0.35">
      <c r="C14825" s="51"/>
      <c r="D14825" s="51"/>
    </row>
    <row r="14826" spans="3:4" x14ac:dyDescent="0.35">
      <c r="C14826" s="51"/>
      <c r="D14826" s="51"/>
    </row>
    <row r="14827" spans="3:4" x14ac:dyDescent="0.35">
      <c r="C14827" s="51"/>
      <c r="D14827" s="51"/>
    </row>
    <row r="14828" spans="3:4" x14ac:dyDescent="0.35">
      <c r="C14828" s="51"/>
      <c r="D14828" s="51"/>
    </row>
    <row r="14829" spans="3:4" x14ac:dyDescent="0.35">
      <c r="C14829" s="51"/>
      <c r="D14829" s="51"/>
    </row>
    <row r="14830" spans="3:4" x14ac:dyDescent="0.35">
      <c r="C14830" s="51"/>
      <c r="D14830" s="51"/>
    </row>
    <row r="14831" spans="3:4" x14ac:dyDescent="0.35">
      <c r="C14831" s="51"/>
      <c r="D14831" s="51"/>
    </row>
    <row r="14832" spans="3:4" x14ac:dyDescent="0.35">
      <c r="C14832" s="51"/>
      <c r="D14832" s="51"/>
    </row>
    <row r="14833" spans="3:4" x14ac:dyDescent="0.35">
      <c r="C14833" s="51"/>
      <c r="D14833" s="51"/>
    </row>
    <row r="14834" spans="3:4" x14ac:dyDescent="0.35">
      <c r="C14834" s="51"/>
      <c r="D14834" s="51"/>
    </row>
    <row r="14835" spans="3:4" x14ac:dyDescent="0.35">
      <c r="C14835" s="51"/>
      <c r="D14835" s="51"/>
    </row>
    <row r="14836" spans="3:4" x14ac:dyDescent="0.35">
      <c r="C14836" s="51"/>
      <c r="D14836" s="51"/>
    </row>
    <row r="14837" spans="3:4" x14ac:dyDescent="0.35">
      <c r="C14837" s="51"/>
      <c r="D14837" s="51"/>
    </row>
    <row r="14838" spans="3:4" x14ac:dyDescent="0.35">
      <c r="C14838" s="51"/>
      <c r="D14838" s="51"/>
    </row>
    <row r="14839" spans="3:4" x14ac:dyDescent="0.35">
      <c r="C14839" s="51"/>
      <c r="D14839" s="51"/>
    </row>
    <row r="14840" spans="3:4" x14ac:dyDescent="0.35">
      <c r="C14840" s="51"/>
      <c r="D14840" s="51"/>
    </row>
    <row r="14841" spans="3:4" x14ac:dyDescent="0.35">
      <c r="C14841" s="51"/>
      <c r="D14841" s="51"/>
    </row>
    <row r="14842" spans="3:4" x14ac:dyDescent="0.35">
      <c r="C14842" s="51"/>
      <c r="D14842" s="51"/>
    </row>
    <row r="14843" spans="3:4" x14ac:dyDescent="0.35">
      <c r="C14843" s="51"/>
      <c r="D14843" s="51"/>
    </row>
    <row r="14844" spans="3:4" x14ac:dyDescent="0.35">
      <c r="C14844" s="51"/>
      <c r="D14844" s="51"/>
    </row>
    <row r="14845" spans="3:4" x14ac:dyDescent="0.35">
      <c r="C14845" s="51"/>
      <c r="D14845" s="51"/>
    </row>
    <row r="14846" spans="3:4" x14ac:dyDescent="0.35">
      <c r="C14846" s="51"/>
      <c r="D14846" s="51"/>
    </row>
    <row r="14847" spans="3:4" x14ac:dyDescent="0.35">
      <c r="C14847" s="51"/>
      <c r="D14847" s="51"/>
    </row>
    <row r="14848" spans="3:4" x14ac:dyDescent="0.35">
      <c r="C14848" s="51"/>
      <c r="D14848" s="51"/>
    </row>
    <row r="14849" spans="3:4" x14ac:dyDescent="0.35">
      <c r="C14849" s="51"/>
      <c r="D14849" s="51"/>
    </row>
    <row r="14850" spans="3:4" x14ac:dyDescent="0.35">
      <c r="C14850" s="51"/>
      <c r="D14850" s="51"/>
    </row>
    <row r="14851" spans="3:4" x14ac:dyDescent="0.35">
      <c r="C14851" s="51"/>
      <c r="D14851" s="51"/>
    </row>
    <row r="14852" spans="3:4" x14ac:dyDescent="0.35">
      <c r="C14852" s="51"/>
      <c r="D14852" s="51"/>
    </row>
    <row r="14853" spans="3:4" x14ac:dyDescent="0.35">
      <c r="C14853" s="51"/>
      <c r="D14853" s="51"/>
    </row>
    <row r="14854" spans="3:4" x14ac:dyDescent="0.35">
      <c r="C14854" s="51"/>
      <c r="D14854" s="51"/>
    </row>
    <row r="14855" spans="3:4" x14ac:dyDescent="0.35">
      <c r="C14855" s="51"/>
      <c r="D14855" s="51"/>
    </row>
    <row r="14856" spans="3:4" x14ac:dyDescent="0.35">
      <c r="C14856" s="51"/>
      <c r="D14856" s="51"/>
    </row>
    <row r="14857" spans="3:4" x14ac:dyDescent="0.35">
      <c r="C14857" s="51"/>
      <c r="D14857" s="51"/>
    </row>
    <row r="14858" spans="3:4" x14ac:dyDescent="0.35">
      <c r="C14858" s="51"/>
      <c r="D14858" s="51"/>
    </row>
    <row r="14859" spans="3:4" x14ac:dyDescent="0.35">
      <c r="C14859" s="51"/>
      <c r="D14859" s="51"/>
    </row>
    <row r="14860" spans="3:4" x14ac:dyDescent="0.35">
      <c r="C14860" s="51"/>
      <c r="D14860" s="51"/>
    </row>
    <row r="14861" spans="3:4" x14ac:dyDescent="0.35">
      <c r="C14861" s="51"/>
      <c r="D14861" s="51"/>
    </row>
    <row r="14862" spans="3:4" x14ac:dyDescent="0.35">
      <c r="C14862" s="51"/>
      <c r="D14862" s="51"/>
    </row>
    <row r="14863" spans="3:4" x14ac:dyDescent="0.35">
      <c r="C14863" s="51"/>
      <c r="D14863" s="51"/>
    </row>
    <row r="14864" spans="3:4" x14ac:dyDescent="0.35">
      <c r="C14864" s="51"/>
      <c r="D14864" s="51"/>
    </row>
    <row r="14865" spans="3:4" x14ac:dyDescent="0.35">
      <c r="C14865" s="51"/>
      <c r="D14865" s="51"/>
    </row>
    <row r="14866" spans="3:4" x14ac:dyDescent="0.35">
      <c r="C14866" s="51"/>
      <c r="D14866" s="51"/>
    </row>
    <row r="14867" spans="3:4" x14ac:dyDescent="0.35">
      <c r="C14867" s="51"/>
      <c r="D14867" s="51"/>
    </row>
    <row r="14868" spans="3:4" x14ac:dyDescent="0.35">
      <c r="C14868" s="51"/>
      <c r="D14868" s="51"/>
    </row>
    <row r="14869" spans="3:4" x14ac:dyDescent="0.35">
      <c r="C14869" s="51"/>
      <c r="D14869" s="51"/>
    </row>
    <row r="14870" spans="3:4" x14ac:dyDescent="0.35">
      <c r="C14870" s="51"/>
      <c r="D14870" s="51"/>
    </row>
    <row r="14871" spans="3:4" x14ac:dyDescent="0.35">
      <c r="C14871" s="51"/>
      <c r="D14871" s="51"/>
    </row>
    <row r="14872" spans="3:4" x14ac:dyDescent="0.35">
      <c r="C14872" s="51"/>
      <c r="D14872" s="51"/>
    </row>
    <row r="14873" spans="3:4" x14ac:dyDescent="0.35">
      <c r="C14873" s="51"/>
      <c r="D14873" s="51"/>
    </row>
    <row r="14874" spans="3:4" x14ac:dyDescent="0.35">
      <c r="C14874" s="51"/>
      <c r="D14874" s="51"/>
    </row>
    <row r="14875" spans="3:4" x14ac:dyDescent="0.35">
      <c r="C14875" s="51"/>
      <c r="D14875" s="51"/>
    </row>
    <row r="14876" spans="3:4" x14ac:dyDescent="0.35">
      <c r="C14876" s="51"/>
      <c r="D14876" s="51"/>
    </row>
    <row r="14877" spans="3:4" x14ac:dyDescent="0.35">
      <c r="C14877" s="51"/>
      <c r="D14877" s="51"/>
    </row>
    <row r="14878" spans="3:4" x14ac:dyDescent="0.35">
      <c r="C14878" s="51"/>
      <c r="D14878" s="51"/>
    </row>
    <row r="14879" spans="3:4" x14ac:dyDescent="0.35">
      <c r="C14879" s="51"/>
      <c r="D14879" s="51"/>
    </row>
    <row r="14880" spans="3:4" x14ac:dyDescent="0.35">
      <c r="C14880" s="51"/>
      <c r="D14880" s="51"/>
    </row>
    <row r="14881" spans="3:4" x14ac:dyDescent="0.35">
      <c r="C14881" s="51"/>
      <c r="D14881" s="51"/>
    </row>
    <row r="14882" spans="3:4" x14ac:dyDescent="0.35">
      <c r="C14882" s="51"/>
      <c r="D14882" s="51"/>
    </row>
    <row r="14883" spans="3:4" x14ac:dyDescent="0.35">
      <c r="C14883" s="51"/>
      <c r="D14883" s="51"/>
    </row>
    <row r="14884" spans="3:4" x14ac:dyDescent="0.35">
      <c r="C14884" s="51"/>
      <c r="D14884" s="51"/>
    </row>
    <row r="14885" spans="3:4" x14ac:dyDescent="0.35">
      <c r="C14885" s="51"/>
      <c r="D14885" s="51"/>
    </row>
    <row r="14886" spans="3:4" x14ac:dyDescent="0.35">
      <c r="C14886" s="51"/>
      <c r="D14886" s="51"/>
    </row>
    <row r="14887" spans="3:4" x14ac:dyDescent="0.35">
      <c r="C14887" s="51"/>
      <c r="D14887" s="51"/>
    </row>
    <row r="14888" spans="3:4" x14ac:dyDescent="0.35">
      <c r="C14888" s="51"/>
      <c r="D14888" s="51"/>
    </row>
    <row r="14889" spans="3:4" x14ac:dyDescent="0.35">
      <c r="C14889" s="51"/>
      <c r="D14889" s="51"/>
    </row>
    <row r="14890" spans="3:4" x14ac:dyDescent="0.35">
      <c r="C14890" s="51"/>
      <c r="D14890" s="51"/>
    </row>
    <row r="14891" spans="3:4" x14ac:dyDescent="0.35">
      <c r="C14891" s="51"/>
      <c r="D14891" s="51"/>
    </row>
    <row r="14892" spans="3:4" x14ac:dyDescent="0.35">
      <c r="C14892" s="51"/>
      <c r="D14892" s="51"/>
    </row>
    <row r="14893" spans="3:4" x14ac:dyDescent="0.35">
      <c r="C14893" s="51"/>
      <c r="D14893" s="51"/>
    </row>
    <row r="14894" spans="3:4" x14ac:dyDescent="0.35">
      <c r="C14894" s="51"/>
      <c r="D14894" s="51"/>
    </row>
    <row r="14895" spans="3:4" x14ac:dyDescent="0.35">
      <c r="C14895" s="51"/>
      <c r="D14895" s="51"/>
    </row>
    <row r="14896" spans="3:4" x14ac:dyDescent="0.35">
      <c r="C14896" s="51"/>
      <c r="D14896" s="51"/>
    </row>
    <row r="14897" spans="3:4" x14ac:dyDescent="0.35">
      <c r="C14897" s="51"/>
      <c r="D14897" s="51"/>
    </row>
    <row r="14898" spans="3:4" x14ac:dyDescent="0.35">
      <c r="C14898" s="51"/>
      <c r="D14898" s="51"/>
    </row>
    <row r="14899" spans="3:4" x14ac:dyDescent="0.35">
      <c r="C14899" s="51"/>
      <c r="D14899" s="51"/>
    </row>
    <row r="14900" spans="3:4" x14ac:dyDescent="0.35">
      <c r="C14900" s="51"/>
      <c r="D14900" s="51"/>
    </row>
    <row r="14901" spans="3:4" x14ac:dyDescent="0.35">
      <c r="C14901" s="51"/>
      <c r="D14901" s="51"/>
    </row>
    <row r="14902" spans="3:4" x14ac:dyDescent="0.35">
      <c r="C14902" s="51"/>
      <c r="D14902" s="51"/>
    </row>
    <row r="14903" spans="3:4" x14ac:dyDescent="0.35">
      <c r="C14903" s="51"/>
      <c r="D14903" s="51"/>
    </row>
    <row r="14904" spans="3:4" x14ac:dyDescent="0.35">
      <c r="C14904" s="51"/>
      <c r="D14904" s="51"/>
    </row>
    <row r="14905" spans="3:4" x14ac:dyDescent="0.35">
      <c r="C14905" s="51"/>
      <c r="D14905" s="51"/>
    </row>
    <row r="14906" spans="3:4" x14ac:dyDescent="0.35">
      <c r="C14906" s="51"/>
      <c r="D14906" s="51"/>
    </row>
    <row r="14907" spans="3:4" x14ac:dyDescent="0.35">
      <c r="C14907" s="51"/>
      <c r="D14907" s="51"/>
    </row>
    <row r="14908" spans="3:4" x14ac:dyDescent="0.35">
      <c r="C14908" s="51"/>
      <c r="D14908" s="51"/>
    </row>
    <row r="14909" spans="3:4" x14ac:dyDescent="0.35">
      <c r="C14909" s="51"/>
      <c r="D14909" s="51"/>
    </row>
    <row r="14910" spans="3:4" x14ac:dyDescent="0.35">
      <c r="C14910" s="51"/>
      <c r="D14910" s="51"/>
    </row>
    <row r="14911" spans="3:4" x14ac:dyDescent="0.35">
      <c r="C14911" s="51"/>
      <c r="D14911" s="51"/>
    </row>
    <row r="14912" spans="3:4" x14ac:dyDescent="0.35">
      <c r="C14912" s="51"/>
      <c r="D14912" s="51"/>
    </row>
    <row r="14913" spans="3:4" x14ac:dyDescent="0.35">
      <c r="C14913" s="51"/>
      <c r="D14913" s="51"/>
    </row>
    <row r="14914" spans="3:4" x14ac:dyDescent="0.35">
      <c r="C14914" s="51"/>
      <c r="D14914" s="51"/>
    </row>
    <row r="14915" spans="3:4" x14ac:dyDescent="0.35">
      <c r="C14915" s="51"/>
      <c r="D14915" s="51"/>
    </row>
    <row r="14916" spans="3:4" x14ac:dyDescent="0.35">
      <c r="C14916" s="51"/>
      <c r="D14916" s="51"/>
    </row>
    <row r="14917" spans="3:4" x14ac:dyDescent="0.35">
      <c r="C14917" s="51"/>
      <c r="D14917" s="51"/>
    </row>
    <row r="14918" spans="3:4" x14ac:dyDescent="0.35">
      <c r="C14918" s="51"/>
      <c r="D14918" s="51"/>
    </row>
    <row r="14919" spans="3:4" x14ac:dyDescent="0.35">
      <c r="C14919" s="51"/>
      <c r="D14919" s="51"/>
    </row>
    <row r="14920" spans="3:4" x14ac:dyDescent="0.35">
      <c r="C14920" s="51"/>
      <c r="D14920" s="51"/>
    </row>
    <row r="14921" spans="3:4" x14ac:dyDescent="0.35">
      <c r="C14921" s="51"/>
      <c r="D14921" s="51"/>
    </row>
    <row r="14922" spans="3:4" x14ac:dyDescent="0.35">
      <c r="C14922" s="51"/>
      <c r="D14922" s="51"/>
    </row>
    <row r="14923" spans="3:4" x14ac:dyDescent="0.35">
      <c r="C14923" s="51"/>
      <c r="D14923" s="51"/>
    </row>
    <row r="14924" spans="3:4" x14ac:dyDescent="0.35">
      <c r="C14924" s="51"/>
      <c r="D14924" s="51"/>
    </row>
    <row r="14925" spans="3:4" x14ac:dyDescent="0.35">
      <c r="C14925" s="51"/>
      <c r="D14925" s="51"/>
    </row>
    <row r="14926" spans="3:4" x14ac:dyDescent="0.35">
      <c r="C14926" s="51"/>
      <c r="D14926" s="51"/>
    </row>
    <row r="14927" spans="3:4" x14ac:dyDescent="0.35">
      <c r="C14927" s="51"/>
      <c r="D14927" s="51"/>
    </row>
    <row r="14928" spans="3:4" x14ac:dyDescent="0.35">
      <c r="C14928" s="51"/>
      <c r="D14928" s="51"/>
    </row>
    <row r="14929" spans="3:4" x14ac:dyDescent="0.35">
      <c r="C14929" s="51"/>
      <c r="D14929" s="51"/>
    </row>
    <row r="14930" spans="3:4" x14ac:dyDescent="0.35">
      <c r="C14930" s="51"/>
      <c r="D14930" s="51"/>
    </row>
    <row r="14931" spans="3:4" x14ac:dyDescent="0.35">
      <c r="C14931" s="51"/>
      <c r="D14931" s="51"/>
    </row>
    <row r="14932" spans="3:4" x14ac:dyDescent="0.35">
      <c r="C14932" s="51"/>
      <c r="D14932" s="51"/>
    </row>
    <row r="14933" spans="3:4" x14ac:dyDescent="0.35">
      <c r="C14933" s="51"/>
      <c r="D14933" s="51"/>
    </row>
    <row r="14934" spans="3:4" x14ac:dyDescent="0.35">
      <c r="C14934" s="51"/>
      <c r="D14934" s="51"/>
    </row>
    <row r="14935" spans="3:4" x14ac:dyDescent="0.35">
      <c r="C14935" s="51"/>
      <c r="D14935" s="51"/>
    </row>
    <row r="14936" spans="3:4" x14ac:dyDescent="0.35">
      <c r="C14936" s="51"/>
      <c r="D14936" s="51"/>
    </row>
    <row r="14937" spans="3:4" x14ac:dyDescent="0.35">
      <c r="C14937" s="51"/>
      <c r="D14937" s="51"/>
    </row>
    <row r="14938" spans="3:4" x14ac:dyDescent="0.35">
      <c r="C14938" s="51"/>
      <c r="D14938" s="51"/>
    </row>
    <row r="14939" spans="3:4" x14ac:dyDescent="0.35">
      <c r="C14939" s="51"/>
      <c r="D14939" s="51"/>
    </row>
    <row r="14940" spans="3:4" x14ac:dyDescent="0.35">
      <c r="C14940" s="51"/>
      <c r="D14940" s="51"/>
    </row>
    <row r="14941" spans="3:4" x14ac:dyDescent="0.35">
      <c r="C14941" s="51"/>
      <c r="D14941" s="51"/>
    </row>
    <row r="14942" spans="3:4" x14ac:dyDescent="0.35">
      <c r="C14942" s="51"/>
      <c r="D14942" s="51"/>
    </row>
    <row r="14943" spans="3:4" x14ac:dyDescent="0.35">
      <c r="C14943" s="51"/>
      <c r="D14943" s="51"/>
    </row>
    <row r="14944" spans="3:4" x14ac:dyDescent="0.35">
      <c r="C14944" s="51"/>
      <c r="D14944" s="51"/>
    </row>
    <row r="14945" spans="3:4" x14ac:dyDescent="0.35">
      <c r="C14945" s="51"/>
      <c r="D14945" s="51"/>
    </row>
    <row r="14946" spans="3:4" x14ac:dyDescent="0.35">
      <c r="C14946" s="51"/>
      <c r="D14946" s="51"/>
    </row>
    <row r="14947" spans="3:4" x14ac:dyDescent="0.35">
      <c r="C14947" s="51"/>
      <c r="D14947" s="51"/>
    </row>
    <row r="14948" spans="3:4" x14ac:dyDescent="0.35">
      <c r="C14948" s="51"/>
      <c r="D14948" s="51"/>
    </row>
    <row r="14949" spans="3:4" x14ac:dyDescent="0.35">
      <c r="C14949" s="51"/>
      <c r="D14949" s="51"/>
    </row>
    <row r="14950" spans="3:4" x14ac:dyDescent="0.35">
      <c r="C14950" s="51"/>
      <c r="D14950" s="51"/>
    </row>
    <row r="14951" spans="3:4" x14ac:dyDescent="0.35">
      <c r="C14951" s="51"/>
      <c r="D14951" s="51"/>
    </row>
    <row r="14952" spans="3:4" x14ac:dyDescent="0.35">
      <c r="C14952" s="51"/>
      <c r="D14952" s="51"/>
    </row>
    <row r="14953" spans="3:4" x14ac:dyDescent="0.35">
      <c r="C14953" s="51"/>
      <c r="D14953" s="51"/>
    </row>
    <row r="14954" spans="3:4" x14ac:dyDescent="0.35">
      <c r="C14954" s="51"/>
      <c r="D14954" s="51"/>
    </row>
    <row r="14955" spans="3:4" x14ac:dyDescent="0.35">
      <c r="C14955" s="51"/>
      <c r="D14955" s="51"/>
    </row>
    <row r="14956" spans="3:4" x14ac:dyDescent="0.35">
      <c r="C14956" s="51"/>
      <c r="D14956" s="51"/>
    </row>
    <row r="14957" spans="3:4" x14ac:dyDescent="0.35">
      <c r="C14957" s="51"/>
      <c r="D14957" s="51"/>
    </row>
    <row r="14958" spans="3:4" x14ac:dyDescent="0.35">
      <c r="C14958" s="51"/>
      <c r="D14958" s="51"/>
    </row>
    <row r="14959" spans="3:4" x14ac:dyDescent="0.35">
      <c r="C14959" s="51"/>
      <c r="D14959" s="51"/>
    </row>
    <row r="14960" spans="3:4" x14ac:dyDescent="0.35">
      <c r="C14960" s="51"/>
      <c r="D14960" s="51"/>
    </row>
    <row r="14961" spans="3:4" x14ac:dyDescent="0.35">
      <c r="C14961" s="51"/>
      <c r="D14961" s="51"/>
    </row>
    <row r="14962" spans="3:4" x14ac:dyDescent="0.35">
      <c r="C14962" s="51"/>
      <c r="D14962" s="51"/>
    </row>
    <row r="14963" spans="3:4" x14ac:dyDescent="0.35">
      <c r="C14963" s="51"/>
      <c r="D14963" s="51"/>
    </row>
    <row r="14964" spans="3:4" x14ac:dyDescent="0.35">
      <c r="C14964" s="51"/>
      <c r="D14964" s="51"/>
    </row>
    <row r="14965" spans="3:4" x14ac:dyDescent="0.35">
      <c r="C14965" s="51"/>
      <c r="D14965" s="51"/>
    </row>
    <row r="14966" spans="3:4" x14ac:dyDescent="0.35">
      <c r="C14966" s="51"/>
      <c r="D14966" s="51"/>
    </row>
    <row r="14967" spans="3:4" x14ac:dyDescent="0.35">
      <c r="C14967" s="51"/>
      <c r="D14967" s="51"/>
    </row>
    <row r="14968" spans="3:4" x14ac:dyDescent="0.35">
      <c r="C14968" s="51"/>
      <c r="D14968" s="51"/>
    </row>
    <row r="14969" spans="3:4" x14ac:dyDescent="0.35">
      <c r="C14969" s="51"/>
      <c r="D14969" s="51"/>
    </row>
    <row r="14970" spans="3:4" x14ac:dyDescent="0.35">
      <c r="C14970" s="51"/>
      <c r="D14970" s="51"/>
    </row>
    <row r="14971" spans="3:4" x14ac:dyDescent="0.35">
      <c r="C14971" s="51"/>
      <c r="D14971" s="51"/>
    </row>
    <row r="14972" spans="3:4" x14ac:dyDescent="0.35">
      <c r="C14972" s="51"/>
      <c r="D14972" s="51"/>
    </row>
    <row r="14973" spans="3:4" x14ac:dyDescent="0.35">
      <c r="C14973" s="51"/>
      <c r="D14973" s="51"/>
    </row>
    <row r="14974" spans="3:4" x14ac:dyDescent="0.35">
      <c r="C14974" s="51"/>
      <c r="D14974" s="51"/>
    </row>
    <row r="14975" spans="3:4" x14ac:dyDescent="0.35">
      <c r="C14975" s="51"/>
      <c r="D14975" s="51"/>
    </row>
    <row r="14976" spans="3:4" x14ac:dyDescent="0.35">
      <c r="C14976" s="51"/>
      <c r="D14976" s="51"/>
    </row>
    <row r="14977" spans="3:4" x14ac:dyDescent="0.35">
      <c r="C14977" s="51"/>
      <c r="D14977" s="51"/>
    </row>
    <row r="14978" spans="3:4" x14ac:dyDescent="0.35">
      <c r="C14978" s="51"/>
      <c r="D14978" s="51"/>
    </row>
    <row r="14979" spans="3:4" x14ac:dyDescent="0.35">
      <c r="C14979" s="51"/>
      <c r="D14979" s="51"/>
    </row>
    <row r="14980" spans="3:4" x14ac:dyDescent="0.35">
      <c r="C14980" s="51"/>
      <c r="D14980" s="51"/>
    </row>
    <row r="14981" spans="3:4" x14ac:dyDescent="0.35">
      <c r="C14981" s="51"/>
      <c r="D14981" s="51"/>
    </row>
    <row r="14982" spans="3:4" x14ac:dyDescent="0.35">
      <c r="C14982" s="51"/>
      <c r="D14982" s="51"/>
    </row>
    <row r="14983" spans="3:4" x14ac:dyDescent="0.35">
      <c r="C14983" s="51"/>
      <c r="D14983" s="51"/>
    </row>
    <row r="14984" spans="3:4" x14ac:dyDescent="0.35">
      <c r="C14984" s="51"/>
      <c r="D14984" s="51"/>
    </row>
    <row r="14985" spans="3:4" x14ac:dyDescent="0.35">
      <c r="C14985" s="51"/>
      <c r="D14985" s="51"/>
    </row>
    <row r="14986" spans="3:4" x14ac:dyDescent="0.35">
      <c r="C14986" s="51"/>
      <c r="D14986" s="51"/>
    </row>
    <row r="14987" spans="3:4" x14ac:dyDescent="0.35">
      <c r="C14987" s="51"/>
      <c r="D14987" s="51"/>
    </row>
    <row r="14988" spans="3:4" x14ac:dyDescent="0.35">
      <c r="C14988" s="51"/>
      <c r="D14988" s="51"/>
    </row>
    <row r="14989" spans="3:4" x14ac:dyDescent="0.35">
      <c r="C14989" s="51"/>
      <c r="D14989" s="51"/>
    </row>
    <row r="14990" spans="3:4" x14ac:dyDescent="0.35">
      <c r="C14990" s="51"/>
      <c r="D14990" s="51"/>
    </row>
    <row r="14991" spans="3:4" x14ac:dyDescent="0.35">
      <c r="C14991" s="51"/>
      <c r="D14991" s="51"/>
    </row>
    <row r="14992" spans="3:4" x14ac:dyDescent="0.35">
      <c r="C14992" s="51"/>
      <c r="D14992" s="51"/>
    </row>
    <row r="14993" spans="3:4" x14ac:dyDescent="0.35">
      <c r="C14993" s="51"/>
      <c r="D14993" s="51"/>
    </row>
    <row r="14994" spans="3:4" x14ac:dyDescent="0.35">
      <c r="C14994" s="51"/>
      <c r="D14994" s="51"/>
    </row>
    <row r="14995" spans="3:4" x14ac:dyDescent="0.35">
      <c r="C14995" s="51"/>
      <c r="D14995" s="51"/>
    </row>
    <row r="14996" spans="3:4" x14ac:dyDescent="0.35">
      <c r="C14996" s="51"/>
      <c r="D14996" s="51"/>
    </row>
    <row r="14997" spans="3:4" x14ac:dyDescent="0.35">
      <c r="C14997" s="51"/>
      <c r="D14997" s="51"/>
    </row>
    <row r="14998" spans="3:4" x14ac:dyDescent="0.35">
      <c r="C14998" s="51"/>
      <c r="D14998" s="51"/>
    </row>
    <row r="14999" spans="3:4" x14ac:dyDescent="0.35">
      <c r="C14999" s="51"/>
      <c r="D14999" s="51"/>
    </row>
    <row r="15000" spans="3:4" x14ac:dyDescent="0.35">
      <c r="C15000" s="51"/>
      <c r="D15000" s="51"/>
    </row>
    <row r="15001" spans="3:4" x14ac:dyDescent="0.35">
      <c r="C15001" s="51"/>
      <c r="D15001" s="51"/>
    </row>
    <row r="15002" spans="3:4" x14ac:dyDescent="0.35">
      <c r="C15002" s="51"/>
      <c r="D15002" s="51"/>
    </row>
    <row r="15003" spans="3:4" x14ac:dyDescent="0.35">
      <c r="C15003" s="51"/>
      <c r="D15003" s="51"/>
    </row>
    <row r="15004" spans="3:4" x14ac:dyDescent="0.35">
      <c r="C15004" s="51"/>
      <c r="D15004" s="51"/>
    </row>
    <row r="15005" spans="3:4" x14ac:dyDescent="0.35">
      <c r="C15005" s="51"/>
      <c r="D15005" s="51"/>
    </row>
    <row r="15006" spans="3:4" x14ac:dyDescent="0.35">
      <c r="C15006" s="51"/>
      <c r="D15006" s="51"/>
    </row>
    <row r="15007" spans="3:4" x14ac:dyDescent="0.35">
      <c r="C15007" s="51"/>
      <c r="D15007" s="51"/>
    </row>
    <row r="15008" spans="3:4" x14ac:dyDescent="0.35">
      <c r="C15008" s="51"/>
      <c r="D15008" s="51"/>
    </row>
    <row r="15009" spans="3:4" x14ac:dyDescent="0.35">
      <c r="C15009" s="51"/>
      <c r="D15009" s="51"/>
    </row>
    <row r="15010" spans="3:4" x14ac:dyDescent="0.35">
      <c r="C15010" s="51"/>
      <c r="D15010" s="51"/>
    </row>
    <row r="15011" spans="3:4" x14ac:dyDescent="0.35">
      <c r="C15011" s="51"/>
      <c r="D15011" s="51"/>
    </row>
    <row r="15012" spans="3:4" x14ac:dyDescent="0.35">
      <c r="C15012" s="51"/>
      <c r="D15012" s="51"/>
    </row>
    <row r="15013" spans="3:4" x14ac:dyDescent="0.35">
      <c r="C15013" s="51"/>
      <c r="D15013" s="51"/>
    </row>
    <row r="15014" spans="3:4" x14ac:dyDescent="0.35">
      <c r="C15014" s="51"/>
      <c r="D15014" s="51"/>
    </row>
    <row r="15015" spans="3:4" x14ac:dyDescent="0.35">
      <c r="C15015" s="51"/>
      <c r="D15015" s="51"/>
    </row>
    <row r="15016" spans="3:4" x14ac:dyDescent="0.35">
      <c r="C15016" s="51"/>
      <c r="D15016" s="51"/>
    </row>
    <row r="15017" spans="3:4" x14ac:dyDescent="0.35">
      <c r="C15017" s="51"/>
      <c r="D15017" s="51"/>
    </row>
    <row r="15018" spans="3:4" x14ac:dyDescent="0.35">
      <c r="C15018" s="51"/>
      <c r="D15018" s="51"/>
    </row>
    <row r="15019" spans="3:4" x14ac:dyDescent="0.35">
      <c r="C15019" s="51"/>
      <c r="D15019" s="51"/>
    </row>
    <row r="15020" spans="3:4" x14ac:dyDescent="0.35">
      <c r="C15020" s="51"/>
      <c r="D15020" s="51"/>
    </row>
    <row r="15021" spans="3:4" x14ac:dyDescent="0.35">
      <c r="C15021" s="51"/>
      <c r="D15021" s="51"/>
    </row>
    <row r="15022" spans="3:4" x14ac:dyDescent="0.35">
      <c r="C15022" s="51"/>
      <c r="D15022" s="51"/>
    </row>
    <row r="15023" spans="3:4" x14ac:dyDescent="0.35">
      <c r="C15023" s="51"/>
      <c r="D15023" s="51"/>
    </row>
    <row r="15024" spans="3:4" x14ac:dyDescent="0.35">
      <c r="C15024" s="51"/>
      <c r="D15024" s="51"/>
    </row>
    <row r="15025" spans="3:4" x14ac:dyDescent="0.35">
      <c r="C15025" s="51"/>
      <c r="D15025" s="51"/>
    </row>
    <row r="15026" spans="3:4" x14ac:dyDescent="0.35">
      <c r="C15026" s="51"/>
      <c r="D15026" s="51"/>
    </row>
    <row r="15027" spans="3:4" x14ac:dyDescent="0.35">
      <c r="C15027" s="51"/>
      <c r="D15027" s="51"/>
    </row>
    <row r="15028" spans="3:4" x14ac:dyDescent="0.35">
      <c r="C15028" s="51"/>
      <c r="D15028" s="51"/>
    </row>
    <row r="15029" spans="3:4" x14ac:dyDescent="0.35">
      <c r="C15029" s="51"/>
      <c r="D15029" s="51"/>
    </row>
    <row r="15030" spans="3:4" x14ac:dyDescent="0.35">
      <c r="C15030" s="51"/>
      <c r="D15030" s="51"/>
    </row>
    <row r="15031" spans="3:4" x14ac:dyDescent="0.35">
      <c r="C15031" s="51"/>
      <c r="D15031" s="51"/>
    </row>
    <row r="15032" spans="3:4" x14ac:dyDescent="0.35">
      <c r="C15032" s="51"/>
      <c r="D15032" s="51"/>
    </row>
    <row r="15033" spans="3:4" x14ac:dyDescent="0.35">
      <c r="C15033" s="51"/>
      <c r="D15033" s="51"/>
    </row>
    <row r="15034" spans="3:4" x14ac:dyDescent="0.35">
      <c r="C15034" s="51"/>
      <c r="D15034" s="51"/>
    </row>
    <row r="15035" spans="3:4" x14ac:dyDescent="0.35">
      <c r="C15035" s="51"/>
      <c r="D15035" s="51"/>
    </row>
    <row r="15036" spans="3:4" x14ac:dyDescent="0.35">
      <c r="C15036" s="51"/>
      <c r="D15036" s="51"/>
    </row>
    <row r="15037" spans="3:4" x14ac:dyDescent="0.35">
      <c r="C15037" s="51"/>
      <c r="D15037" s="51"/>
    </row>
    <row r="15038" spans="3:4" x14ac:dyDescent="0.35">
      <c r="C15038" s="51"/>
      <c r="D15038" s="51"/>
    </row>
    <row r="15039" spans="3:4" x14ac:dyDescent="0.35">
      <c r="C15039" s="51"/>
      <c r="D15039" s="51"/>
    </row>
    <row r="15040" spans="3:4" x14ac:dyDescent="0.35">
      <c r="C15040" s="51"/>
      <c r="D15040" s="51"/>
    </row>
    <row r="15041" spans="3:4" x14ac:dyDescent="0.35">
      <c r="C15041" s="51"/>
      <c r="D15041" s="51"/>
    </row>
    <row r="15042" spans="3:4" x14ac:dyDescent="0.35">
      <c r="C15042" s="51"/>
      <c r="D15042" s="51"/>
    </row>
    <row r="15043" spans="3:4" x14ac:dyDescent="0.35">
      <c r="C15043" s="51"/>
      <c r="D15043" s="51"/>
    </row>
    <row r="15044" spans="3:4" x14ac:dyDescent="0.35">
      <c r="C15044" s="51"/>
      <c r="D15044" s="51"/>
    </row>
    <row r="15045" spans="3:4" x14ac:dyDescent="0.35">
      <c r="C15045" s="51"/>
      <c r="D15045" s="51"/>
    </row>
    <row r="15046" spans="3:4" x14ac:dyDescent="0.35">
      <c r="C15046" s="51"/>
      <c r="D15046" s="51"/>
    </row>
    <row r="15047" spans="3:4" x14ac:dyDescent="0.35">
      <c r="C15047" s="51"/>
      <c r="D15047" s="51"/>
    </row>
    <row r="15048" spans="3:4" x14ac:dyDescent="0.35">
      <c r="C15048" s="51"/>
      <c r="D15048" s="51"/>
    </row>
    <row r="15049" spans="3:4" x14ac:dyDescent="0.35">
      <c r="C15049" s="51"/>
      <c r="D15049" s="51"/>
    </row>
    <row r="15050" spans="3:4" x14ac:dyDescent="0.35">
      <c r="C15050" s="51"/>
      <c r="D15050" s="51"/>
    </row>
    <row r="15051" spans="3:4" x14ac:dyDescent="0.35">
      <c r="C15051" s="51"/>
      <c r="D15051" s="51"/>
    </row>
    <row r="15052" spans="3:4" x14ac:dyDescent="0.35">
      <c r="C15052" s="51"/>
      <c r="D15052" s="51"/>
    </row>
    <row r="15053" spans="3:4" x14ac:dyDescent="0.35">
      <c r="C15053" s="51"/>
      <c r="D15053" s="51"/>
    </row>
    <row r="15054" spans="3:4" x14ac:dyDescent="0.35">
      <c r="C15054" s="51"/>
      <c r="D15054" s="51"/>
    </row>
    <row r="15055" spans="3:4" x14ac:dyDescent="0.35">
      <c r="C15055" s="51"/>
      <c r="D15055" s="51"/>
    </row>
    <row r="15056" spans="3:4" x14ac:dyDescent="0.35">
      <c r="C15056" s="51"/>
      <c r="D15056" s="51"/>
    </row>
    <row r="15057" spans="3:4" x14ac:dyDescent="0.35">
      <c r="C15057" s="51"/>
      <c r="D15057" s="51"/>
    </row>
    <row r="15058" spans="3:4" x14ac:dyDescent="0.35">
      <c r="C15058" s="51"/>
      <c r="D15058" s="51"/>
    </row>
    <row r="15059" spans="3:4" x14ac:dyDescent="0.35">
      <c r="C15059" s="51"/>
      <c r="D15059" s="51"/>
    </row>
    <row r="15060" spans="3:4" x14ac:dyDescent="0.35">
      <c r="C15060" s="51"/>
      <c r="D15060" s="51"/>
    </row>
    <row r="15061" spans="3:4" x14ac:dyDescent="0.35">
      <c r="C15061" s="51"/>
      <c r="D15061" s="51"/>
    </row>
    <row r="15062" spans="3:4" x14ac:dyDescent="0.35">
      <c r="C15062" s="51"/>
      <c r="D15062" s="51"/>
    </row>
    <row r="15063" spans="3:4" x14ac:dyDescent="0.35">
      <c r="C15063" s="51"/>
      <c r="D15063" s="51"/>
    </row>
    <row r="15064" spans="3:4" x14ac:dyDescent="0.35">
      <c r="C15064" s="51"/>
      <c r="D15064" s="51"/>
    </row>
    <row r="15065" spans="3:4" x14ac:dyDescent="0.35">
      <c r="C15065" s="51"/>
      <c r="D15065" s="51"/>
    </row>
    <row r="15066" spans="3:4" x14ac:dyDescent="0.35">
      <c r="C15066" s="51"/>
      <c r="D15066" s="51"/>
    </row>
    <row r="15067" spans="3:4" x14ac:dyDescent="0.35">
      <c r="C15067" s="51"/>
      <c r="D15067" s="51"/>
    </row>
    <row r="15068" spans="3:4" x14ac:dyDescent="0.35">
      <c r="C15068" s="51"/>
      <c r="D15068" s="51"/>
    </row>
    <row r="15069" spans="3:4" x14ac:dyDescent="0.35">
      <c r="C15069" s="51"/>
      <c r="D15069" s="51"/>
    </row>
    <row r="15070" spans="3:4" x14ac:dyDescent="0.35">
      <c r="C15070" s="51"/>
      <c r="D15070" s="51"/>
    </row>
    <row r="15071" spans="3:4" x14ac:dyDescent="0.35">
      <c r="C15071" s="51"/>
      <c r="D15071" s="51"/>
    </row>
    <row r="15072" spans="3:4" x14ac:dyDescent="0.35">
      <c r="C15072" s="51"/>
      <c r="D15072" s="51"/>
    </row>
    <row r="15073" spans="3:4" x14ac:dyDescent="0.35">
      <c r="C15073" s="51"/>
      <c r="D15073" s="51"/>
    </row>
    <row r="15074" spans="3:4" x14ac:dyDescent="0.35">
      <c r="C15074" s="51"/>
      <c r="D15074" s="51"/>
    </row>
    <row r="15075" spans="3:4" x14ac:dyDescent="0.35">
      <c r="C15075" s="51"/>
      <c r="D15075" s="51"/>
    </row>
    <row r="15076" spans="3:4" x14ac:dyDescent="0.35">
      <c r="C15076" s="51"/>
      <c r="D15076" s="51"/>
    </row>
    <row r="15077" spans="3:4" x14ac:dyDescent="0.35">
      <c r="C15077" s="51"/>
      <c r="D15077" s="51"/>
    </row>
    <row r="15078" spans="3:4" x14ac:dyDescent="0.35">
      <c r="C15078" s="51"/>
      <c r="D15078" s="51"/>
    </row>
    <row r="15079" spans="3:4" x14ac:dyDescent="0.35">
      <c r="C15079" s="51"/>
      <c r="D15079" s="51"/>
    </row>
    <row r="15080" spans="3:4" x14ac:dyDescent="0.35">
      <c r="C15080" s="51"/>
      <c r="D15080" s="51"/>
    </row>
    <row r="15081" spans="3:4" x14ac:dyDescent="0.35">
      <c r="C15081" s="51"/>
      <c r="D15081" s="51"/>
    </row>
    <row r="15082" spans="3:4" x14ac:dyDescent="0.35">
      <c r="C15082" s="51"/>
      <c r="D15082" s="51"/>
    </row>
    <row r="15083" spans="3:4" x14ac:dyDescent="0.35">
      <c r="C15083" s="51"/>
      <c r="D15083" s="51"/>
    </row>
    <row r="15084" spans="3:4" x14ac:dyDescent="0.35">
      <c r="C15084" s="51"/>
      <c r="D15084" s="51"/>
    </row>
    <row r="15085" spans="3:4" x14ac:dyDescent="0.35">
      <c r="C15085" s="51"/>
      <c r="D15085" s="51"/>
    </row>
    <row r="15086" spans="3:4" x14ac:dyDescent="0.35">
      <c r="C15086" s="51"/>
      <c r="D15086" s="51"/>
    </row>
    <row r="15087" spans="3:4" x14ac:dyDescent="0.35">
      <c r="C15087" s="51"/>
      <c r="D15087" s="51"/>
    </row>
    <row r="15088" spans="3:4" x14ac:dyDescent="0.35">
      <c r="C15088" s="51"/>
      <c r="D15088" s="51"/>
    </row>
    <row r="15089" spans="3:4" x14ac:dyDescent="0.35">
      <c r="C15089" s="51"/>
      <c r="D15089" s="51"/>
    </row>
    <row r="15090" spans="3:4" x14ac:dyDescent="0.35">
      <c r="C15090" s="51"/>
      <c r="D15090" s="51"/>
    </row>
    <row r="15091" spans="3:4" x14ac:dyDescent="0.35">
      <c r="C15091" s="51"/>
      <c r="D15091" s="51"/>
    </row>
    <row r="15092" spans="3:4" x14ac:dyDescent="0.35">
      <c r="C15092" s="51"/>
      <c r="D15092" s="51"/>
    </row>
    <row r="15093" spans="3:4" x14ac:dyDescent="0.35">
      <c r="C15093" s="51"/>
      <c r="D15093" s="51"/>
    </row>
    <row r="15094" spans="3:4" x14ac:dyDescent="0.35">
      <c r="C15094" s="51"/>
      <c r="D15094" s="51"/>
    </row>
    <row r="15095" spans="3:4" x14ac:dyDescent="0.35">
      <c r="C15095" s="51"/>
      <c r="D15095" s="51"/>
    </row>
    <row r="15096" spans="3:4" x14ac:dyDescent="0.35">
      <c r="C15096" s="51"/>
      <c r="D15096" s="51"/>
    </row>
    <row r="15097" spans="3:4" x14ac:dyDescent="0.35">
      <c r="C15097" s="51"/>
      <c r="D15097" s="51"/>
    </row>
    <row r="15098" spans="3:4" x14ac:dyDescent="0.35">
      <c r="C15098" s="51"/>
      <c r="D15098" s="51"/>
    </row>
    <row r="15099" spans="3:4" x14ac:dyDescent="0.35">
      <c r="C15099" s="51"/>
      <c r="D15099" s="51"/>
    </row>
    <row r="15100" spans="3:4" x14ac:dyDescent="0.35">
      <c r="C15100" s="51"/>
      <c r="D15100" s="51"/>
    </row>
    <row r="15101" spans="3:4" x14ac:dyDescent="0.35">
      <c r="C15101" s="51"/>
      <c r="D15101" s="51"/>
    </row>
    <row r="15102" spans="3:4" x14ac:dyDescent="0.35">
      <c r="C15102" s="51"/>
      <c r="D15102" s="51"/>
    </row>
    <row r="15103" spans="3:4" x14ac:dyDescent="0.35">
      <c r="C15103" s="51"/>
      <c r="D15103" s="51"/>
    </row>
    <row r="15104" spans="3:4" x14ac:dyDescent="0.35">
      <c r="C15104" s="51"/>
      <c r="D15104" s="51"/>
    </row>
    <row r="15105" spans="3:4" x14ac:dyDescent="0.35">
      <c r="C15105" s="51"/>
      <c r="D15105" s="51"/>
    </row>
    <row r="15106" spans="3:4" x14ac:dyDescent="0.35">
      <c r="C15106" s="51"/>
      <c r="D15106" s="51"/>
    </row>
    <row r="15107" spans="3:4" x14ac:dyDescent="0.35">
      <c r="C15107" s="51"/>
      <c r="D15107" s="51"/>
    </row>
    <row r="15108" spans="3:4" x14ac:dyDescent="0.35">
      <c r="C15108" s="51"/>
      <c r="D15108" s="51"/>
    </row>
    <row r="15109" spans="3:4" x14ac:dyDescent="0.35">
      <c r="C15109" s="51"/>
      <c r="D15109" s="51"/>
    </row>
    <row r="15110" spans="3:4" x14ac:dyDescent="0.35">
      <c r="C15110" s="51"/>
      <c r="D15110" s="51"/>
    </row>
    <row r="15111" spans="3:4" x14ac:dyDescent="0.35">
      <c r="C15111" s="51"/>
      <c r="D15111" s="51"/>
    </row>
    <row r="15112" spans="3:4" x14ac:dyDescent="0.35">
      <c r="C15112" s="51"/>
      <c r="D15112" s="51"/>
    </row>
    <row r="15113" spans="3:4" x14ac:dyDescent="0.35">
      <c r="C15113" s="51"/>
      <c r="D15113" s="51"/>
    </row>
    <row r="15114" spans="3:4" x14ac:dyDescent="0.35">
      <c r="C15114" s="51"/>
      <c r="D15114" s="51"/>
    </row>
    <row r="15115" spans="3:4" x14ac:dyDescent="0.35">
      <c r="C15115" s="51"/>
      <c r="D15115" s="51"/>
    </row>
    <row r="15116" spans="3:4" x14ac:dyDescent="0.35">
      <c r="C15116" s="51"/>
      <c r="D15116" s="51"/>
    </row>
    <row r="15117" spans="3:4" x14ac:dyDescent="0.35">
      <c r="C15117" s="51"/>
      <c r="D15117" s="51"/>
    </row>
    <row r="15118" spans="3:4" x14ac:dyDescent="0.35">
      <c r="C15118" s="51"/>
      <c r="D15118" s="51"/>
    </row>
    <row r="15119" spans="3:4" x14ac:dyDescent="0.35">
      <c r="C15119" s="51"/>
      <c r="D15119" s="51"/>
    </row>
    <row r="15120" spans="3:4" x14ac:dyDescent="0.35">
      <c r="C15120" s="51"/>
      <c r="D15120" s="51"/>
    </row>
    <row r="15121" spans="3:4" x14ac:dyDescent="0.35">
      <c r="C15121" s="51"/>
      <c r="D15121" s="51"/>
    </row>
    <row r="15122" spans="3:4" x14ac:dyDescent="0.35">
      <c r="C15122" s="51"/>
      <c r="D15122" s="51"/>
    </row>
    <row r="15123" spans="3:4" x14ac:dyDescent="0.35">
      <c r="C15123" s="51"/>
      <c r="D15123" s="51"/>
    </row>
    <row r="15124" spans="3:4" x14ac:dyDescent="0.35">
      <c r="C15124" s="51"/>
      <c r="D15124" s="51"/>
    </row>
    <row r="15125" spans="3:4" x14ac:dyDescent="0.35">
      <c r="C15125" s="51"/>
      <c r="D15125" s="51"/>
    </row>
    <row r="15126" spans="3:4" x14ac:dyDescent="0.35">
      <c r="C15126" s="51"/>
      <c r="D15126" s="51"/>
    </row>
    <row r="15127" spans="3:4" x14ac:dyDescent="0.35">
      <c r="C15127" s="51"/>
      <c r="D15127" s="51"/>
    </row>
    <row r="15128" spans="3:4" x14ac:dyDescent="0.35">
      <c r="C15128" s="51"/>
      <c r="D15128" s="51"/>
    </row>
    <row r="15129" spans="3:4" x14ac:dyDescent="0.35">
      <c r="C15129" s="51"/>
      <c r="D15129" s="51"/>
    </row>
    <row r="15130" spans="3:4" x14ac:dyDescent="0.35">
      <c r="C15130" s="51"/>
      <c r="D15130" s="51"/>
    </row>
    <row r="15131" spans="3:4" x14ac:dyDescent="0.35">
      <c r="C15131" s="51"/>
      <c r="D15131" s="51"/>
    </row>
    <row r="15132" spans="3:4" x14ac:dyDescent="0.35">
      <c r="C15132" s="51"/>
      <c r="D15132" s="51"/>
    </row>
    <row r="15133" spans="3:4" x14ac:dyDescent="0.35">
      <c r="C15133" s="51"/>
      <c r="D15133" s="51"/>
    </row>
    <row r="15134" spans="3:4" x14ac:dyDescent="0.35">
      <c r="C15134" s="51"/>
      <c r="D15134" s="51"/>
    </row>
    <row r="15135" spans="3:4" x14ac:dyDescent="0.35">
      <c r="C15135" s="51"/>
      <c r="D15135" s="51"/>
    </row>
    <row r="15136" spans="3:4" x14ac:dyDescent="0.35">
      <c r="C15136" s="51"/>
      <c r="D15136" s="51"/>
    </row>
    <row r="15137" spans="3:4" x14ac:dyDescent="0.35">
      <c r="C15137" s="51"/>
      <c r="D15137" s="51"/>
    </row>
    <row r="15138" spans="3:4" x14ac:dyDescent="0.35">
      <c r="C15138" s="51"/>
      <c r="D15138" s="51"/>
    </row>
    <row r="15139" spans="3:4" x14ac:dyDescent="0.35">
      <c r="C15139" s="51"/>
      <c r="D15139" s="51"/>
    </row>
    <row r="15140" spans="3:4" x14ac:dyDescent="0.35">
      <c r="C15140" s="51"/>
      <c r="D15140" s="51"/>
    </row>
    <row r="15141" spans="3:4" x14ac:dyDescent="0.35">
      <c r="C15141" s="51"/>
      <c r="D15141" s="51"/>
    </row>
    <row r="15142" spans="3:4" x14ac:dyDescent="0.35">
      <c r="C15142" s="51"/>
      <c r="D15142" s="51"/>
    </row>
    <row r="15143" spans="3:4" x14ac:dyDescent="0.35">
      <c r="C15143" s="51"/>
      <c r="D15143" s="51"/>
    </row>
    <row r="15144" spans="3:4" x14ac:dyDescent="0.35">
      <c r="C15144" s="51"/>
      <c r="D15144" s="51"/>
    </row>
    <row r="15145" spans="3:4" x14ac:dyDescent="0.35">
      <c r="C15145" s="51"/>
      <c r="D15145" s="51"/>
    </row>
    <row r="15146" spans="3:4" x14ac:dyDescent="0.35">
      <c r="C15146" s="51"/>
      <c r="D15146" s="51"/>
    </row>
    <row r="15147" spans="3:4" x14ac:dyDescent="0.35">
      <c r="C15147" s="51"/>
      <c r="D15147" s="51"/>
    </row>
    <row r="15148" spans="3:4" x14ac:dyDescent="0.35">
      <c r="C15148" s="51"/>
      <c r="D15148" s="51"/>
    </row>
    <row r="15149" spans="3:4" x14ac:dyDescent="0.35">
      <c r="C15149" s="51"/>
      <c r="D15149" s="51"/>
    </row>
    <row r="15150" spans="3:4" x14ac:dyDescent="0.35">
      <c r="C15150" s="51"/>
      <c r="D15150" s="51"/>
    </row>
    <row r="15151" spans="3:4" x14ac:dyDescent="0.35">
      <c r="C15151" s="51"/>
      <c r="D15151" s="51"/>
    </row>
    <row r="15152" spans="3:4" x14ac:dyDescent="0.35">
      <c r="C15152" s="51"/>
      <c r="D15152" s="51"/>
    </row>
    <row r="15153" spans="3:4" x14ac:dyDescent="0.35">
      <c r="C15153" s="51"/>
      <c r="D15153" s="51"/>
    </row>
    <row r="15154" spans="3:4" x14ac:dyDescent="0.35">
      <c r="C15154" s="51"/>
      <c r="D15154" s="51"/>
    </row>
    <row r="15155" spans="3:4" x14ac:dyDescent="0.35">
      <c r="C15155" s="51"/>
      <c r="D15155" s="51"/>
    </row>
    <row r="15156" spans="3:4" x14ac:dyDescent="0.35">
      <c r="C15156" s="51"/>
      <c r="D15156" s="51"/>
    </row>
    <row r="15157" spans="3:4" x14ac:dyDescent="0.35">
      <c r="C15157" s="51"/>
      <c r="D15157" s="51"/>
    </row>
    <row r="15158" spans="3:4" x14ac:dyDescent="0.35">
      <c r="C15158" s="51"/>
      <c r="D15158" s="51"/>
    </row>
    <row r="15159" spans="3:4" x14ac:dyDescent="0.35">
      <c r="C15159" s="51"/>
      <c r="D15159" s="51"/>
    </row>
    <row r="15160" spans="3:4" x14ac:dyDescent="0.35">
      <c r="C15160" s="51"/>
      <c r="D15160" s="51"/>
    </row>
    <row r="15161" spans="3:4" x14ac:dyDescent="0.35">
      <c r="C15161" s="51"/>
      <c r="D15161" s="51"/>
    </row>
    <row r="15162" spans="3:4" x14ac:dyDescent="0.35">
      <c r="C15162" s="51"/>
      <c r="D15162" s="51"/>
    </row>
    <row r="15163" spans="3:4" x14ac:dyDescent="0.35">
      <c r="C15163" s="51"/>
      <c r="D15163" s="51"/>
    </row>
    <row r="15164" spans="3:4" x14ac:dyDescent="0.35">
      <c r="C15164" s="51"/>
      <c r="D15164" s="51"/>
    </row>
    <row r="15165" spans="3:4" x14ac:dyDescent="0.35">
      <c r="C15165" s="51"/>
      <c r="D15165" s="51"/>
    </row>
    <row r="15166" spans="3:4" x14ac:dyDescent="0.35">
      <c r="C15166" s="51"/>
      <c r="D15166" s="51"/>
    </row>
    <row r="15167" spans="3:4" x14ac:dyDescent="0.35">
      <c r="C15167" s="51"/>
      <c r="D15167" s="51"/>
    </row>
    <row r="15168" spans="3:4" x14ac:dyDescent="0.35">
      <c r="C15168" s="51"/>
      <c r="D15168" s="51"/>
    </row>
    <row r="15169" spans="3:4" x14ac:dyDescent="0.35">
      <c r="C15169" s="51"/>
      <c r="D15169" s="51"/>
    </row>
    <row r="15170" spans="3:4" x14ac:dyDescent="0.35">
      <c r="C15170" s="51"/>
      <c r="D15170" s="51"/>
    </row>
    <row r="15171" spans="3:4" x14ac:dyDescent="0.35">
      <c r="C15171" s="51"/>
      <c r="D15171" s="51"/>
    </row>
    <row r="15172" spans="3:4" x14ac:dyDescent="0.35">
      <c r="C15172" s="51"/>
      <c r="D15172" s="51"/>
    </row>
    <row r="15173" spans="3:4" x14ac:dyDescent="0.35">
      <c r="C15173" s="51"/>
      <c r="D15173" s="51"/>
    </row>
    <row r="15174" spans="3:4" x14ac:dyDescent="0.35">
      <c r="C15174" s="51"/>
      <c r="D15174" s="51"/>
    </row>
    <row r="15175" spans="3:4" x14ac:dyDescent="0.35">
      <c r="C15175" s="51"/>
      <c r="D15175" s="51"/>
    </row>
    <row r="15176" spans="3:4" x14ac:dyDescent="0.35">
      <c r="C15176" s="51"/>
      <c r="D15176" s="51"/>
    </row>
    <row r="15177" spans="3:4" x14ac:dyDescent="0.35">
      <c r="C15177" s="51"/>
      <c r="D15177" s="51"/>
    </row>
    <row r="15178" spans="3:4" x14ac:dyDescent="0.35">
      <c r="C15178" s="51"/>
      <c r="D15178" s="51"/>
    </row>
    <row r="15179" spans="3:4" x14ac:dyDescent="0.35">
      <c r="C15179" s="51"/>
      <c r="D15179" s="51"/>
    </row>
    <row r="15180" spans="3:4" x14ac:dyDescent="0.35">
      <c r="C15180" s="51"/>
      <c r="D15180" s="51"/>
    </row>
    <row r="15181" spans="3:4" x14ac:dyDescent="0.35">
      <c r="C15181" s="51"/>
      <c r="D15181" s="51"/>
    </row>
    <row r="15182" spans="3:4" x14ac:dyDescent="0.35">
      <c r="C15182" s="51"/>
      <c r="D15182" s="51"/>
    </row>
    <row r="15183" spans="3:4" x14ac:dyDescent="0.35">
      <c r="C15183" s="51"/>
      <c r="D15183" s="51"/>
    </row>
    <row r="15184" spans="3:4" x14ac:dyDescent="0.35">
      <c r="C15184" s="51"/>
      <c r="D15184" s="51"/>
    </row>
    <row r="15185" spans="3:4" x14ac:dyDescent="0.35">
      <c r="C15185" s="51"/>
      <c r="D15185" s="51"/>
    </row>
    <row r="15186" spans="3:4" x14ac:dyDescent="0.35">
      <c r="C15186" s="51"/>
      <c r="D15186" s="51"/>
    </row>
    <row r="15187" spans="3:4" x14ac:dyDescent="0.35">
      <c r="C15187" s="51"/>
      <c r="D15187" s="51"/>
    </row>
    <row r="15188" spans="3:4" x14ac:dyDescent="0.35">
      <c r="C15188" s="51"/>
      <c r="D15188" s="51"/>
    </row>
    <row r="15189" spans="3:4" x14ac:dyDescent="0.35">
      <c r="C15189" s="51"/>
      <c r="D15189" s="51"/>
    </row>
    <row r="15190" spans="3:4" x14ac:dyDescent="0.35">
      <c r="C15190" s="51"/>
      <c r="D15190" s="51"/>
    </row>
    <row r="15191" spans="3:4" x14ac:dyDescent="0.35">
      <c r="C15191" s="51"/>
      <c r="D15191" s="51"/>
    </row>
    <row r="15192" spans="3:4" x14ac:dyDescent="0.35">
      <c r="C15192" s="51"/>
      <c r="D15192" s="51"/>
    </row>
    <row r="15193" spans="3:4" x14ac:dyDescent="0.35">
      <c r="C15193" s="51"/>
      <c r="D15193" s="51"/>
    </row>
    <row r="15194" spans="3:4" x14ac:dyDescent="0.35">
      <c r="C15194" s="51"/>
      <c r="D15194" s="51"/>
    </row>
    <row r="15195" spans="3:4" x14ac:dyDescent="0.35">
      <c r="C15195" s="51"/>
      <c r="D15195" s="51"/>
    </row>
    <row r="15196" spans="3:4" x14ac:dyDescent="0.35">
      <c r="C15196" s="51"/>
      <c r="D15196" s="51"/>
    </row>
    <row r="15197" spans="3:4" x14ac:dyDescent="0.35">
      <c r="C15197" s="51"/>
      <c r="D15197" s="51"/>
    </row>
    <row r="15198" spans="3:4" x14ac:dyDescent="0.35">
      <c r="C15198" s="51"/>
      <c r="D15198" s="51"/>
    </row>
    <row r="15199" spans="3:4" x14ac:dyDescent="0.35">
      <c r="C15199" s="51"/>
      <c r="D15199" s="51"/>
    </row>
    <row r="15200" spans="3:4" x14ac:dyDescent="0.35">
      <c r="C15200" s="51"/>
      <c r="D15200" s="51"/>
    </row>
    <row r="15201" spans="3:4" x14ac:dyDescent="0.35">
      <c r="C15201" s="51"/>
      <c r="D15201" s="51"/>
    </row>
    <row r="15202" spans="3:4" x14ac:dyDescent="0.35">
      <c r="C15202" s="51"/>
      <c r="D15202" s="51"/>
    </row>
    <row r="15203" spans="3:4" x14ac:dyDescent="0.35">
      <c r="C15203" s="51"/>
      <c r="D15203" s="51"/>
    </row>
    <row r="15204" spans="3:4" x14ac:dyDescent="0.35">
      <c r="C15204" s="51"/>
      <c r="D15204" s="51"/>
    </row>
    <row r="15205" spans="3:4" x14ac:dyDescent="0.35">
      <c r="C15205" s="51"/>
      <c r="D15205" s="51"/>
    </row>
    <row r="15206" spans="3:4" x14ac:dyDescent="0.35">
      <c r="C15206" s="51"/>
      <c r="D15206" s="51"/>
    </row>
    <row r="15207" spans="3:4" x14ac:dyDescent="0.35">
      <c r="C15207" s="51"/>
      <c r="D15207" s="51"/>
    </row>
    <row r="15208" spans="3:4" x14ac:dyDescent="0.35">
      <c r="C15208" s="51"/>
      <c r="D15208" s="51"/>
    </row>
    <row r="15209" spans="3:4" x14ac:dyDescent="0.35">
      <c r="C15209" s="51"/>
      <c r="D15209" s="51"/>
    </row>
    <row r="15210" spans="3:4" x14ac:dyDescent="0.35">
      <c r="C15210" s="51"/>
      <c r="D15210" s="51"/>
    </row>
    <row r="15211" spans="3:4" x14ac:dyDescent="0.35">
      <c r="C15211" s="51"/>
      <c r="D15211" s="51"/>
    </row>
    <row r="15212" spans="3:4" x14ac:dyDescent="0.35">
      <c r="C15212" s="51"/>
      <c r="D15212" s="51"/>
    </row>
    <row r="15213" spans="3:4" x14ac:dyDescent="0.35">
      <c r="C15213" s="51"/>
      <c r="D15213" s="51"/>
    </row>
    <row r="15214" spans="3:4" x14ac:dyDescent="0.35">
      <c r="C15214" s="51"/>
      <c r="D15214" s="51"/>
    </row>
    <row r="15215" spans="3:4" x14ac:dyDescent="0.35">
      <c r="C15215" s="51"/>
      <c r="D15215" s="51"/>
    </row>
    <row r="15216" spans="3:4" x14ac:dyDescent="0.35">
      <c r="C15216" s="51"/>
      <c r="D15216" s="51"/>
    </row>
    <row r="15217" spans="3:4" x14ac:dyDescent="0.35">
      <c r="C15217" s="51"/>
      <c r="D15217" s="51"/>
    </row>
    <row r="15218" spans="3:4" x14ac:dyDescent="0.35">
      <c r="C15218" s="51"/>
      <c r="D15218" s="51"/>
    </row>
    <row r="15219" spans="3:4" x14ac:dyDescent="0.35">
      <c r="C15219" s="51"/>
      <c r="D15219" s="51"/>
    </row>
    <row r="15220" spans="3:4" x14ac:dyDescent="0.35">
      <c r="C15220" s="51"/>
      <c r="D15220" s="51"/>
    </row>
    <row r="15221" spans="3:4" x14ac:dyDescent="0.35">
      <c r="C15221" s="51"/>
      <c r="D15221" s="51"/>
    </row>
    <row r="15222" spans="3:4" x14ac:dyDescent="0.35">
      <c r="C15222" s="51"/>
      <c r="D15222" s="51"/>
    </row>
    <row r="15223" spans="3:4" x14ac:dyDescent="0.35">
      <c r="C15223" s="51"/>
      <c r="D15223" s="51"/>
    </row>
    <row r="15224" spans="3:4" x14ac:dyDescent="0.35">
      <c r="C15224" s="51"/>
      <c r="D15224" s="51"/>
    </row>
    <row r="15225" spans="3:4" x14ac:dyDescent="0.35">
      <c r="C15225" s="51"/>
      <c r="D15225" s="51"/>
    </row>
    <row r="15226" spans="3:4" x14ac:dyDescent="0.35">
      <c r="C15226" s="51"/>
      <c r="D15226" s="51"/>
    </row>
    <row r="15227" spans="3:4" x14ac:dyDescent="0.35">
      <c r="C15227" s="51"/>
      <c r="D15227" s="51"/>
    </row>
    <row r="15228" spans="3:4" x14ac:dyDescent="0.35">
      <c r="C15228" s="51"/>
      <c r="D15228" s="51"/>
    </row>
    <row r="15229" spans="3:4" x14ac:dyDescent="0.35">
      <c r="C15229" s="51"/>
      <c r="D15229" s="51"/>
    </row>
    <row r="15230" spans="3:4" x14ac:dyDescent="0.35">
      <c r="C15230" s="51"/>
      <c r="D15230" s="51"/>
    </row>
    <row r="15231" spans="3:4" x14ac:dyDescent="0.35">
      <c r="C15231" s="51"/>
      <c r="D15231" s="51"/>
    </row>
    <row r="15232" spans="3:4" x14ac:dyDescent="0.35">
      <c r="C15232" s="51"/>
      <c r="D15232" s="51"/>
    </row>
    <row r="15233" spans="3:4" x14ac:dyDescent="0.35">
      <c r="C15233" s="51"/>
      <c r="D15233" s="51"/>
    </row>
    <row r="15234" spans="3:4" x14ac:dyDescent="0.35">
      <c r="C15234" s="51"/>
      <c r="D15234" s="51"/>
    </row>
    <row r="15235" spans="3:4" x14ac:dyDescent="0.35">
      <c r="C15235" s="51"/>
      <c r="D15235" s="51"/>
    </row>
    <row r="15236" spans="3:4" x14ac:dyDescent="0.35">
      <c r="C15236" s="51"/>
      <c r="D15236" s="51"/>
    </row>
    <row r="15237" spans="3:4" x14ac:dyDescent="0.35">
      <c r="C15237" s="51"/>
      <c r="D15237" s="51"/>
    </row>
    <row r="15238" spans="3:4" x14ac:dyDescent="0.35">
      <c r="C15238" s="51"/>
      <c r="D15238" s="51"/>
    </row>
    <row r="15239" spans="3:4" x14ac:dyDescent="0.35">
      <c r="C15239" s="51"/>
      <c r="D15239" s="51"/>
    </row>
    <row r="15240" spans="3:4" x14ac:dyDescent="0.35">
      <c r="C15240" s="51"/>
      <c r="D15240" s="51"/>
    </row>
    <row r="15241" spans="3:4" x14ac:dyDescent="0.35">
      <c r="C15241" s="51"/>
      <c r="D15241" s="51"/>
    </row>
    <row r="15242" spans="3:4" x14ac:dyDescent="0.35">
      <c r="C15242" s="51"/>
      <c r="D15242" s="51"/>
    </row>
    <row r="15243" spans="3:4" x14ac:dyDescent="0.35">
      <c r="C15243" s="51"/>
      <c r="D15243" s="51"/>
    </row>
    <row r="15244" spans="3:4" x14ac:dyDescent="0.35">
      <c r="C15244" s="51"/>
      <c r="D15244" s="51"/>
    </row>
    <row r="15245" spans="3:4" x14ac:dyDescent="0.35">
      <c r="C15245" s="51"/>
      <c r="D15245" s="51"/>
    </row>
    <row r="15246" spans="3:4" x14ac:dyDescent="0.35">
      <c r="C15246" s="51"/>
      <c r="D15246" s="51"/>
    </row>
    <row r="15247" spans="3:4" x14ac:dyDescent="0.35">
      <c r="C15247" s="51"/>
      <c r="D15247" s="51"/>
    </row>
    <row r="15248" spans="3:4" x14ac:dyDescent="0.35">
      <c r="C15248" s="51"/>
      <c r="D15248" s="51"/>
    </row>
    <row r="15249" spans="3:4" x14ac:dyDescent="0.35">
      <c r="C15249" s="51"/>
      <c r="D15249" s="51"/>
    </row>
    <row r="15250" spans="3:4" x14ac:dyDescent="0.35">
      <c r="C15250" s="51"/>
      <c r="D15250" s="51"/>
    </row>
    <row r="15251" spans="3:4" x14ac:dyDescent="0.35">
      <c r="C15251" s="51"/>
      <c r="D15251" s="51"/>
    </row>
    <row r="15252" spans="3:4" x14ac:dyDescent="0.35">
      <c r="C15252" s="51"/>
      <c r="D15252" s="51"/>
    </row>
    <row r="15253" spans="3:4" x14ac:dyDescent="0.35">
      <c r="C15253" s="51"/>
      <c r="D15253" s="51"/>
    </row>
    <row r="15254" spans="3:4" x14ac:dyDescent="0.35">
      <c r="C15254" s="51"/>
      <c r="D15254" s="51"/>
    </row>
    <row r="15255" spans="3:4" x14ac:dyDescent="0.35">
      <c r="C15255" s="51"/>
      <c r="D15255" s="51"/>
    </row>
    <row r="15256" spans="3:4" x14ac:dyDescent="0.35">
      <c r="C15256" s="51"/>
      <c r="D15256" s="51"/>
    </row>
    <row r="15257" spans="3:4" x14ac:dyDescent="0.35">
      <c r="C15257" s="51"/>
      <c r="D15257" s="51"/>
    </row>
    <row r="15258" spans="3:4" x14ac:dyDescent="0.35">
      <c r="C15258" s="51"/>
      <c r="D15258" s="51"/>
    </row>
    <row r="15259" spans="3:4" x14ac:dyDescent="0.35">
      <c r="C15259" s="51"/>
      <c r="D15259" s="51"/>
    </row>
    <row r="15260" spans="3:4" x14ac:dyDescent="0.35">
      <c r="C15260" s="51"/>
      <c r="D15260" s="51"/>
    </row>
    <row r="15261" spans="3:4" x14ac:dyDescent="0.35">
      <c r="C15261" s="51"/>
      <c r="D15261" s="51"/>
    </row>
    <row r="15262" spans="3:4" x14ac:dyDescent="0.35">
      <c r="C15262" s="51"/>
      <c r="D15262" s="51"/>
    </row>
    <row r="15263" spans="3:4" x14ac:dyDescent="0.35">
      <c r="C15263" s="51"/>
      <c r="D15263" s="51"/>
    </row>
    <row r="15264" spans="3:4" x14ac:dyDescent="0.35">
      <c r="C15264" s="51"/>
      <c r="D15264" s="51"/>
    </row>
    <row r="15265" spans="3:4" x14ac:dyDescent="0.35">
      <c r="C15265" s="51"/>
      <c r="D15265" s="51"/>
    </row>
    <row r="15266" spans="3:4" x14ac:dyDescent="0.35">
      <c r="C15266" s="51"/>
      <c r="D15266" s="51"/>
    </row>
    <row r="15267" spans="3:4" x14ac:dyDescent="0.35">
      <c r="C15267" s="51"/>
      <c r="D15267" s="51"/>
    </row>
    <row r="15268" spans="3:4" x14ac:dyDescent="0.35">
      <c r="C15268" s="51"/>
      <c r="D15268" s="51"/>
    </row>
    <row r="15269" spans="3:4" x14ac:dyDescent="0.35">
      <c r="C15269" s="51"/>
      <c r="D15269" s="51"/>
    </row>
    <row r="15270" spans="3:4" x14ac:dyDescent="0.35">
      <c r="C15270" s="51"/>
      <c r="D15270" s="51"/>
    </row>
    <row r="15271" spans="3:4" x14ac:dyDescent="0.35">
      <c r="C15271" s="51"/>
      <c r="D15271" s="51"/>
    </row>
    <row r="15272" spans="3:4" x14ac:dyDescent="0.35">
      <c r="C15272" s="51"/>
      <c r="D15272" s="51"/>
    </row>
    <row r="15273" spans="3:4" x14ac:dyDescent="0.35">
      <c r="C15273" s="51"/>
      <c r="D15273" s="51"/>
    </row>
    <row r="15274" spans="3:4" x14ac:dyDescent="0.35">
      <c r="C15274" s="51"/>
      <c r="D15274" s="51"/>
    </row>
    <row r="15275" spans="3:4" x14ac:dyDescent="0.35">
      <c r="C15275" s="51"/>
      <c r="D15275" s="51"/>
    </row>
    <row r="15276" spans="3:4" x14ac:dyDescent="0.35">
      <c r="C15276" s="51"/>
      <c r="D15276" s="51"/>
    </row>
    <row r="15277" spans="3:4" x14ac:dyDescent="0.35">
      <c r="C15277" s="51"/>
      <c r="D15277" s="51"/>
    </row>
    <row r="15278" spans="3:4" x14ac:dyDescent="0.35">
      <c r="C15278" s="51"/>
      <c r="D15278" s="51"/>
    </row>
    <row r="15279" spans="3:4" x14ac:dyDescent="0.35">
      <c r="C15279" s="51"/>
      <c r="D15279" s="51"/>
    </row>
    <row r="15280" spans="3:4" x14ac:dyDescent="0.35">
      <c r="C15280" s="51"/>
      <c r="D15280" s="51"/>
    </row>
    <row r="15281" spans="3:4" x14ac:dyDescent="0.35">
      <c r="C15281" s="51"/>
      <c r="D15281" s="51"/>
    </row>
    <row r="15282" spans="3:4" x14ac:dyDescent="0.35">
      <c r="C15282" s="51"/>
      <c r="D15282" s="51"/>
    </row>
    <row r="15283" spans="3:4" x14ac:dyDescent="0.35">
      <c r="C15283" s="51"/>
      <c r="D15283" s="51"/>
    </row>
    <row r="15284" spans="3:4" x14ac:dyDescent="0.35">
      <c r="C15284" s="51"/>
      <c r="D15284" s="51"/>
    </row>
    <row r="15285" spans="3:4" x14ac:dyDescent="0.35">
      <c r="C15285" s="51"/>
      <c r="D15285" s="51"/>
    </row>
    <row r="15286" spans="3:4" x14ac:dyDescent="0.35">
      <c r="C15286" s="51"/>
      <c r="D15286" s="51"/>
    </row>
    <row r="15287" spans="3:4" x14ac:dyDescent="0.35">
      <c r="C15287" s="51"/>
      <c r="D15287" s="51"/>
    </row>
    <row r="15288" spans="3:4" x14ac:dyDescent="0.35">
      <c r="C15288" s="51"/>
      <c r="D15288" s="51"/>
    </row>
    <row r="15289" spans="3:4" x14ac:dyDescent="0.35">
      <c r="C15289" s="51"/>
      <c r="D15289" s="51"/>
    </row>
    <row r="15290" spans="3:4" x14ac:dyDescent="0.35">
      <c r="C15290" s="51"/>
      <c r="D15290" s="51"/>
    </row>
    <row r="15291" spans="3:4" x14ac:dyDescent="0.35">
      <c r="C15291" s="51"/>
      <c r="D15291" s="51"/>
    </row>
    <row r="15292" spans="3:4" x14ac:dyDescent="0.35">
      <c r="C15292" s="51"/>
      <c r="D15292" s="51"/>
    </row>
    <row r="15293" spans="3:4" x14ac:dyDescent="0.35">
      <c r="C15293" s="51"/>
      <c r="D15293" s="51"/>
    </row>
    <row r="15294" spans="3:4" x14ac:dyDescent="0.35">
      <c r="C15294" s="51"/>
      <c r="D15294" s="51"/>
    </row>
    <row r="15295" spans="3:4" x14ac:dyDescent="0.35">
      <c r="C15295" s="51"/>
      <c r="D15295" s="51"/>
    </row>
    <row r="15296" spans="3:4" x14ac:dyDescent="0.35">
      <c r="C15296" s="51"/>
      <c r="D15296" s="51"/>
    </row>
    <row r="15297" spans="3:4" x14ac:dyDescent="0.35">
      <c r="C15297" s="51"/>
      <c r="D15297" s="51"/>
    </row>
    <row r="15298" spans="3:4" x14ac:dyDescent="0.35">
      <c r="C15298" s="51"/>
      <c r="D15298" s="51"/>
    </row>
    <row r="15299" spans="3:4" x14ac:dyDescent="0.35">
      <c r="C15299" s="51"/>
      <c r="D15299" s="51"/>
    </row>
    <row r="15300" spans="3:4" x14ac:dyDescent="0.35">
      <c r="C15300" s="51"/>
      <c r="D15300" s="51"/>
    </row>
    <row r="15301" spans="3:4" x14ac:dyDescent="0.35">
      <c r="C15301" s="51"/>
      <c r="D15301" s="51"/>
    </row>
    <row r="15302" spans="3:4" x14ac:dyDescent="0.35">
      <c r="C15302" s="51"/>
      <c r="D15302" s="51"/>
    </row>
    <row r="15303" spans="3:4" x14ac:dyDescent="0.35">
      <c r="C15303" s="51"/>
      <c r="D15303" s="51"/>
    </row>
    <row r="15304" spans="3:4" x14ac:dyDescent="0.35">
      <c r="C15304" s="51"/>
      <c r="D15304" s="51"/>
    </row>
    <row r="15305" spans="3:4" x14ac:dyDescent="0.35">
      <c r="C15305" s="51"/>
      <c r="D15305" s="51"/>
    </row>
    <row r="15306" spans="3:4" x14ac:dyDescent="0.35">
      <c r="C15306" s="51"/>
      <c r="D15306" s="51"/>
    </row>
    <row r="15307" spans="3:4" x14ac:dyDescent="0.35">
      <c r="C15307" s="51"/>
      <c r="D15307" s="51"/>
    </row>
    <row r="15308" spans="3:4" x14ac:dyDescent="0.35">
      <c r="C15308" s="51"/>
      <c r="D15308" s="51"/>
    </row>
    <row r="15309" spans="3:4" x14ac:dyDescent="0.35">
      <c r="C15309" s="51"/>
      <c r="D15309" s="51"/>
    </row>
    <row r="15310" spans="3:4" x14ac:dyDescent="0.35">
      <c r="C15310" s="51"/>
      <c r="D15310" s="51"/>
    </row>
    <row r="15311" spans="3:4" x14ac:dyDescent="0.35">
      <c r="C15311" s="51"/>
      <c r="D15311" s="51"/>
    </row>
    <row r="15312" spans="3:4" x14ac:dyDescent="0.35">
      <c r="C15312" s="51"/>
      <c r="D15312" s="51"/>
    </row>
    <row r="15313" spans="3:4" x14ac:dyDescent="0.35">
      <c r="C15313" s="51"/>
      <c r="D15313" s="51"/>
    </row>
    <row r="15314" spans="3:4" x14ac:dyDescent="0.35">
      <c r="C15314" s="51"/>
      <c r="D15314" s="51"/>
    </row>
    <row r="15315" spans="3:4" x14ac:dyDescent="0.35">
      <c r="C15315" s="51"/>
      <c r="D15315" s="51"/>
    </row>
    <row r="15316" spans="3:4" x14ac:dyDescent="0.35">
      <c r="C15316" s="51"/>
      <c r="D15316" s="51"/>
    </row>
    <row r="15317" spans="3:4" x14ac:dyDescent="0.35">
      <c r="C15317" s="51"/>
      <c r="D15317" s="51"/>
    </row>
    <row r="15318" spans="3:4" x14ac:dyDescent="0.35">
      <c r="C15318" s="51"/>
      <c r="D15318" s="51"/>
    </row>
    <row r="15319" spans="3:4" x14ac:dyDescent="0.35">
      <c r="C15319" s="51"/>
      <c r="D15319" s="51"/>
    </row>
    <row r="15320" spans="3:4" x14ac:dyDescent="0.35">
      <c r="C15320" s="51"/>
      <c r="D15320" s="51"/>
    </row>
    <row r="15321" spans="3:4" x14ac:dyDescent="0.35">
      <c r="C15321" s="51"/>
      <c r="D15321" s="51"/>
    </row>
    <row r="15322" spans="3:4" x14ac:dyDescent="0.35">
      <c r="C15322" s="51"/>
      <c r="D15322" s="51"/>
    </row>
    <row r="15323" spans="3:4" x14ac:dyDescent="0.35">
      <c r="C15323" s="51"/>
      <c r="D15323" s="51"/>
    </row>
    <row r="15324" spans="3:4" x14ac:dyDescent="0.35">
      <c r="C15324" s="51"/>
      <c r="D15324" s="51"/>
    </row>
    <row r="15325" spans="3:4" x14ac:dyDescent="0.35">
      <c r="C15325" s="51"/>
      <c r="D15325" s="51"/>
    </row>
    <row r="15326" spans="3:4" x14ac:dyDescent="0.35">
      <c r="C15326" s="51"/>
      <c r="D15326" s="51"/>
    </row>
    <row r="15327" spans="3:4" x14ac:dyDescent="0.35">
      <c r="C15327" s="51"/>
      <c r="D15327" s="51"/>
    </row>
    <row r="15328" spans="3:4" x14ac:dyDescent="0.35">
      <c r="C15328" s="51"/>
      <c r="D15328" s="51"/>
    </row>
    <row r="15329" spans="3:4" x14ac:dyDescent="0.35">
      <c r="C15329" s="51"/>
      <c r="D15329" s="51"/>
    </row>
    <row r="15330" spans="3:4" x14ac:dyDescent="0.35">
      <c r="C15330" s="51"/>
      <c r="D15330" s="51"/>
    </row>
    <row r="15331" spans="3:4" x14ac:dyDescent="0.35">
      <c r="C15331" s="51"/>
      <c r="D15331" s="51"/>
    </row>
    <row r="15332" spans="3:4" x14ac:dyDescent="0.35">
      <c r="C15332" s="51"/>
      <c r="D15332" s="51"/>
    </row>
    <row r="15333" spans="3:4" x14ac:dyDescent="0.35">
      <c r="C15333" s="51"/>
      <c r="D15333" s="51"/>
    </row>
    <row r="15334" spans="3:4" x14ac:dyDescent="0.35">
      <c r="C15334" s="51"/>
      <c r="D15334" s="51"/>
    </row>
    <row r="15335" spans="3:4" x14ac:dyDescent="0.35">
      <c r="C15335" s="51"/>
      <c r="D15335" s="51"/>
    </row>
    <row r="15336" spans="3:4" x14ac:dyDescent="0.35">
      <c r="C15336" s="51"/>
      <c r="D15336" s="51"/>
    </row>
    <row r="15337" spans="3:4" x14ac:dyDescent="0.35">
      <c r="C15337" s="51"/>
      <c r="D15337" s="51"/>
    </row>
    <row r="15338" spans="3:4" x14ac:dyDescent="0.35">
      <c r="C15338" s="51"/>
      <c r="D15338" s="51"/>
    </row>
    <row r="15339" spans="3:4" x14ac:dyDescent="0.35">
      <c r="C15339" s="51"/>
      <c r="D15339" s="51"/>
    </row>
    <row r="15340" spans="3:4" x14ac:dyDescent="0.35">
      <c r="C15340" s="51"/>
      <c r="D15340" s="51"/>
    </row>
    <row r="15341" spans="3:4" x14ac:dyDescent="0.35">
      <c r="C15341" s="51"/>
      <c r="D15341" s="51"/>
    </row>
    <row r="15342" spans="3:4" x14ac:dyDescent="0.35">
      <c r="C15342" s="51"/>
      <c r="D15342" s="51"/>
    </row>
    <row r="15343" spans="3:4" x14ac:dyDescent="0.35">
      <c r="C15343" s="51"/>
      <c r="D15343" s="51"/>
    </row>
    <row r="15344" spans="3:4" x14ac:dyDescent="0.35">
      <c r="C15344" s="51"/>
      <c r="D15344" s="51"/>
    </row>
    <row r="15345" spans="3:4" x14ac:dyDescent="0.35">
      <c r="C15345" s="51"/>
      <c r="D15345" s="51"/>
    </row>
    <row r="15346" spans="3:4" x14ac:dyDescent="0.35">
      <c r="C15346" s="51"/>
      <c r="D15346" s="51"/>
    </row>
    <row r="15347" spans="3:4" x14ac:dyDescent="0.35">
      <c r="C15347" s="51"/>
      <c r="D15347" s="51"/>
    </row>
    <row r="15348" spans="3:4" x14ac:dyDescent="0.35">
      <c r="C15348" s="51"/>
      <c r="D15348" s="51"/>
    </row>
    <row r="15349" spans="3:4" x14ac:dyDescent="0.35">
      <c r="C15349" s="51"/>
      <c r="D15349" s="51"/>
    </row>
    <row r="15350" spans="3:4" x14ac:dyDescent="0.35">
      <c r="C15350" s="51"/>
      <c r="D15350" s="51"/>
    </row>
    <row r="15351" spans="3:4" x14ac:dyDescent="0.35">
      <c r="C15351" s="51"/>
      <c r="D15351" s="51"/>
    </row>
    <row r="15352" spans="3:4" x14ac:dyDescent="0.35">
      <c r="C15352" s="51"/>
      <c r="D15352" s="51"/>
    </row>
    <row r="15353" spans="3:4" x14ac:dyDescent="0.35">
      <c r="C15353" s="51"/>
      <c r="D15353" s="51"/>
    </row>
    <row r="15354" spans="3:4" x14ac:dyDescent="0.35">
      <c r="C15354" s="51"/>
      <c r="D15354" s="51"/>
    </row>
    <row r="15355" spans="3:4" x14ac:dyDescent="0.35">
      <c r="C15355" s="51"/>
      <c r="D15355" s="51"/>
    </row>
    <row r="15356" spans="3:4" x14ac:dyDescent="0.35">
      <c r="C15356" s="51"/>
      <c r="D15356" s="51"/>
    </row>
    <row r="15357" spans="3:4" x14ac:dyDescent="0.35">
      <c r="C15357" s="51"/>
      <c r="D15357" s="51"/>
    </row>
    <row r="15358" spans="3:4" x14ac:dyDescent="0.35">
      <c r="C15358" s="51"/>
      <c r="D15358" s="51"/>
    </row>
    <row r="15359" spans="3:4" x14ac:dyDescent="0.35">
      <c r="C15359" s="51"/>
      <c r="D15359" s="51"/>
    </row>
    <row r="15360" spans="3:4" x14ac:dyDescent="0.35">
      <c r="C15360" s="51"/>
      <c r="D15360" s="51"/>
    </row>
    <row r="15361" spans="3:4" x14ac:dyDescent="0.35">
      <c r="C15361" s="51"/>
      <c r="D15361" s="51"/>
    </row>
    <row r="15362" spans="3:4" x14ac:dyDescent="0.35">
      <c r="C15362" s="51"/>
      <c r="D15362" s="51"/>
    </row>
    <row r="15363" spans="3:4" x14ac:dyDescent="0.35">
      <c r="C15363" s="51"/>
      <c r="D15363" s="51"/>
    </row>
    <row r="15364" spans="3:4" x14ac:dyDescent="0.35">
      <c r="C15364" s="51"/>
      <c r="D15364" s="51"/>
    </row>
    <row r="15365" spans="3:4" x14ac:dyDescent="0.35">
      <c r="C15365" s="51"/>
      <c r="D15365" s="51"/>
    </row>
    <row r="15366" spans="3:4" x14ac:dyDescent="0.35">
      <c r="C15366" s="51"/>
      <c r="D15366" s="51"/>
    </row>
    <row r="15367" spans="3:4" x14ac:dyDescent="0.35">
      <c r="C15367" s="51"/>
      <c r="D15367" s="51"/>
    </row>
    <row r="15368" spans="3:4" x14ac:dyDescent="0.35">
      <c r="C15368" s="51"/>
      <c r="D15368" s="51"/>
    </row>
    <row r="15369" spans="3:4" x14ac:dyDescent="0.35">
      <c r="C15369" s="51"/>
      <c r="D15369" s="51"/>
    </row>
    <row r="15370" spans="3:4" x14ac:dyDescent="0.35">
      <c r="C15370" s="51"/>
      <c r="D15370" s="51"/>
    </row>
    <row r="15371" spans="3:4" x14ac:dyDescent="0.35">
      <c r="C15371" s="51"/>
      <c r="D15371" s="51"/>
    </row>
    <row r="15372" spans="3:4" x14ac:dyDescent="0.35">
      <c r="C15372" s="51"/>
      <c r="D15372" s="51"/>
    </row>
    <row r="15373" spans="3:4" x14ac:dyDescent="0.35">
      <c r="C15373" s="51"/>
      <c r="D15373" s="51"/>
    </row>
    <row r="15374" spans="3:4" x14ac:dyDescent="0.35">
      <c r="C15374" s="51"/>
      <c r="D15374" s="51"/>
    </row>
    <row r="15375" spans="3:4" x14ac:dyDescent="0.35">
      <c r="C15375" s="51"/>
      <c r="D15375" s="51"/>
    </row>
    <row r="15376" spans="3:4" x14ac:dyDescent="0.35">
      <c r="C15376" s="51"/>
      <c r="D15376" s="51"/>
    </row>
    <row r="15377" spans="3:4" x14ac:dyDescent="0.35">
      <c r="C15377" s="51"/>
      <c r="D15377" s="51"/>
    </row>
    <row r="15378" spans="3:4" x14ac:dyDescent="0.35">
      <c r="C15378" s="51"/>
      <c r="D15378" s="51"/>
    </row>
    <row r="15379" spans="3:4" x14ac:dyDescent="0.35">
      <c r="C15379" s="51"/>
      <c r="D15379" s="51"/>
    </row>
    <row r="15380" spans="3:4" x14ac:dyDescent="0.35">
      <c r="C15380" s="51"/>
      <c r="D15380" s="51"/>
    </row>
    <row r="15381" spans="3:4" x14ac:dyDescent="0.35">
      <c r="C15381" s="51"/>
      <c r="D15381" s="51"/>
    </row>
    <row r="15382" spans="3:4" x14ac:dyDescent="0.35">
      <c r="C15382" s="51"/>
      <c r="D15382" s="51"/>
    </row>
    <row r="15383" spans="3:4" x14ac:dyDescent="0.35">
      <c r="C15383" s="51"/>
      <c r="D15383" s="51"/>
    </row>
    <row r="15384" spans="3:4" x14ac:dyDescent="0.35">
      <c r="C15384" s="51"/>
      <c r="D15384" s="51"/>
    </row>
    <row r="15385" spans="3:4" x14ac:dyDescent="0.35">
      <c r="C15385" s="51"/>
      <c r="D15385" s="51"/>
    </row>
    <row r="15386" spans="3:4" x14ac:dyDescent="0.35">
      <c r="C15386" s="51"/>
      <c r="D15386" s="51"/>
    </row>
    <row r="15387" spans="3:4" x14ac:dyDescent="0.35">
      <c r="C15387" s="51"/>
      <c r="D15387" s="51"/>
    </row>
    <row r="15388" spans="3:4" x14ac:dyDescent="0.35">
      <c r="C15388" s="51"/>
      <c r="D15388" s="51"/>
    </row>
    <row r="15389" spans="3:4" x14ac:dyDescent="0.35">
      <c r="C15389" s="51"/>
      <c r="D15389" s="51"/>
    </row>
    <row r="15390" spans="3:4" x14ac:dyDescent="0.35">
      <c r="C15390" s="51"/>
      <c r="D15390" s="51"/>
    </row>
    <row r="15391" spans="3:4" x14ac:dyDescent="0.35">
      <c r="C15391" s="51"/>
      <c r="D15391" s="51"/>
    </row>
    <row r="15392" spans="3:4" x14ac:dyDescent="0.35">
      <c r="C15392" s="51"/>
      <c r="D15392" s="51"/>
    </row>
    <row r="15393" spans="3:4" x14ac:dyDescent="0.35">
      <c r="C15393" s="51"/>
      <c r="D15393" s="51"/>
    </row>
    <row r="15394" spans="3:4" x14ac:dyDescent="0.35">
      <c r="C15394" s="51"/>
      <c r="D15394" s="51"/>
    </row>
    <row r="15395" spans="3:4" x14ac:dyDescent="0.35">
      <c r="C15395" s="51"/>
      <c r="D15395" s="51"/>
    </row>
    <row r="15396" spans="3:4" x14ac:dyDescent="0.35">
      <c r="C15396" s="51"/>
      <c r="D15396" s="51"/>
    </row>
    <row r="15397" spans="3:4" x14ac:dyDescent="0.35">
      <c r="C15397" s="51"/>
      <c r="D15397" s="51"/>
    </row>
    <row r="15398" spans="3:4" x14ac:dyDescent="0.35">
      <c r="C15398" s="51"/>
      <c r="D15398" s="51"/>
    </row>
    <row r="15399" spans="3:4" x14ac:dyDescent="0.35">
      <c r="C15399" s="51"/>
      <c r="D15399" s="51"/>
    </row>
    <row r="15400" spans="3:4" x14ac:dyDescent="0.35">
      <c r="C15400" s="51"/>
      <c r="D15400" s="51"/>
    </row>
    <row r="15401" spans="3:4" x14ac:dyDescent="0.35">
      <c r="C15401" s="51"/>
      <c r="D15401" s="51"/>
    </row>
    <row r="15402" spans="3:4" x14ac:dyDescent="0.35">
      <c r="C15402" s="51"/>
      <c r="D15402" s="51"/>
    </row>
    <row r="15403" spans="3:4" x14ac:dyDescent="0.35">
      <c r="C15403" s="51"/>
      <c r="D15403" s="51"/>
    </row>
    <row r="15404" spans="3:4" x14ac:dyDescent="0.35">
      <c r="C15404" s="51"/>
      <c r="D15404" s="51"/>
    </row>
    <row r="15405" spans="3:4" x14ac:dyDescent="0.35">
      <c r="C15405" s="51"/>
      <c r="D15405" s="51"/>
    </row>
    <row r="15406" spans="3:4" x14ac:dyDescent="0.35">
      <c r="C15406" s="51"/>
      <c r="D15406" s="51"/>
    </row>
    <row r="15407" spans="3:4" x14ac:dyDescent="0.35">
      <c r="C15407" s="51"/>
      <c r="D15407" s="51"/>
    </row>
    <row r="15408" spans="3:4" x14ac:dyDescent="0.35">
      <c r="C15408" s="51"/>
      <c r="D15408" s="51"/>
    </row>
    <row r="15409" spans="3:4" x14ac:dyDescent="0.35">
      <c r="C15409" s="51"/>
      <c r="D15409" s="51"/>
    </row>
    <row r="15410" spans="3:4" x14ac:dyDescent="0.35">
      <c r="C15410" s="51"/>
      <c r="D15410" s="51"/>
    </row>
    <row r="15411" spans="3:4" x14ac:dyDescent="0.35">
      <c r="C15411" s="51"/>
      <c r="D15411" s="51"/>
    </row>
    <row r="15412" spans="3:4" x14ac:dyDescent="0.35">
      <c r="C15412" s="51"/>
      <c r="D15412" s="51"/>
    </row>
    <row r="15413" spans="3:4" x14ac:dyDescent="0.35">
      <c r="C15413" s="51"/>
      <c r="D15413" s="51"/>
    </row>
    <row r="15414" spans="3:4" x14ac:dyDescent="0.35">
      <c r="C15414" s="51"/>
      <c r="D15414" s="51"/>
    </row>
    <row r="15415" spans="3:4" x14ac:dyDescent="0.35">
      <c r="C15415" s="51"/>
      <c r="D15415" s="51"/>
    </row>
    <row r="15416" spans="3:4" x14ac:dyDescent="0.35">
      <c r="C15416" s="51"/>
      <c r="D15416" s="51"/>
    </row>
    <row r="15417" spans="3:4" x14ac:dyDescent="0.35">
      <c r="C15417" s="51"/>
      <c r="D15417" s="51"/>
    </row>
    <row r="15418" spans="3:4" x14ac:dyDescent="0.35">
      <c r="C15418" s="51"/>
      <c r="D15418" s="51"/>
    </row>
    <row r="15419" spans="3:4" x14ac:dyDescent="0.35">
      <c r="C15419" s="51"/>
      <c r="D15419" s="51"/>
    </row>
    <row r="15420" spans="3:4" x14ac:dyDescent="0.35">
      <c r="C15420" s="51"/>
      <c r="D15420" s="51"/>
    </row>
    <row r="15421" spans="3:4" x14ac:dyDescent="0.35">
      <c r="C15421" s="51"/>
      <c r="D15421" s="51"/>
    </row>
    <row r="15422" spans="3:4" x14ac:dyDescent="0.35">
      <c r="C15422" s="51"/>
      <c r="D15422" s="51"/>
    </row>
    <row r="15423" spans="3:4" x14ac:dyDescent="0.35">
      <c r="C15423" s="51"/>
      <c r="D15423" s="51"/>
    </row>
    <row r="15424" spans="3:4" x14ac:dyDescent="0.35">
      <c r="C15424" s="51"/>
      <c r="D15424" s="51"/>
    </row>
    <row r="15425" spans="3:4" x14ac:dyDescent="0.35">
      <c r="C15425" s="51"/>
      <c r="D15425" s="51"/>
    </row>
    <row r="15426" spans="3:4" x14ac:dyDescent="0.35">
      <c r="C15426" s="51"/>
      <c r="D15426" s="51"/>
    </row>
    <row r="15427" spans="3:4" x14ac:dyDescent="0.35">
      <c r="C15427" s="51"/>
      <c r="D15427" s="51"/>
    </row>
    <row r="15428" spans="3:4" x14ac:dyDescent="0.35">
      <c r="C15428" s="51"/>
      <c r="D15428" s="51"/>
    </row>
    <row r="15429" spans="3:4" x14ac:dyDescent="0.35">
      <c r="C15429" s="51"/>
      <c r="D15429" s="51"/>
    </row>
    <row r="15430" spans="3:4" x14ac:dyDescent="0.35">
      <c r="C15430" s="51"/>
      <c r="D15430" s="51"/>
    </row>
    <row r="15431" spans="3:4" x14ac:dyDescent="0.35">
      <c r="C15431" s="51"/>
      <c r="D15431" s="51"/>
    </row>
    <row r="15432" spans="3:4" x14ac:dyDescent="0.35">
      <c r="C15432" s="51"/>
      <c r="D15432" s="51"/>
    </row>
    <row r="15433" spans="3:4" x14ac:dyDescent="0.35">
      <c r="C15433" s="51"/>
      <c r="D15433" s="51"/>
    </row>
    <row r="15434" spans="3:4" x14ac:dyDescent="0.35">
      <c r="C15434" s="51"/>
      <c r="D15434" s="51"/>
    </row>
    <row r="15435" spans="3:4" x14ac:dyDescent="0.35">
      <c r="C15435" s="51"/>
      <c r="D15435" s="51"/>
    </row>
    <row r="15436" spans="3:4" x14ac:dyDescent="0.35">
      <c r="C15436" s="51"/>
      <c r="D15436" s="51"/>
    </row>
    <row r="15437" spans="3:4" x14ac:dyDescent="0.35">
      <c r="C15437" s="51"/>
      <c r="D15437" s="51"/>
    </row>
    <row r="15438" spans="3:4" x14ac:dyDescent="0.35">
      <c r="C15438" s="51"/>
      <c r="D15438" s="51"/>
    </row>
    <row r="15439" spans="3:4" x14ac:dyDescent="0.35">
      <c r="C15439" s="51"/>
      <c r="D15439" s="51"/>
    </row>
    <row r="15440" spans="3:4" x14ac:dyDescent="0.35">
      <c r="C15440" s="51"/>
      <c r="D15440" s="51"/>
    </row>
    <row r="15441" spans="3:4" x14ac:dyDescent="0.35">
      <c r="C15441" s="51"/>
      <c r="D15441" s="51"/>
    </row>
    <row r="15442" spans="3:4" x14ac:dyDescent="0.35">
      <c r="C15442" s="51"/>
      <c r="D15442" s="51"/>
    </row>
    <row r="15443" spans="3:4" x14ac:dyDescent="0.35">
      <c r="C15443" s="51"/>
      <c r="D15443" s="51"/>
    </row>
    <row r="15444" spans="3:4" x14ac:dyDescent="0.35">
      <c r="C15444" s="51"/>
      <c r="D15444" s="51"/>
    </row>
    <row r="15445" spans="3:4" x14ac:dyDescent="0.35">
      <c r="C15445" s="51"/>
      <c r="D15445" s="51"/>
    </row>
    <row r="15446" spans="3:4" x14ac:dyDescent="0.35">
      <c r="C15446" s="51"/>
      <c r="D15446" s="51"/>
    </row>
    <row r="15447" spans="3:4" x14ac:dyDescent="0.35">
      <c r="C15447" s="51"/>
      <c r="D15447" s="51"/>
    </row>
    <row r="15448" spans="3:4" x14ac:dyDescent="0.35">
      <c r="C15448" s="51"/>
      <c r="D15448" s="51"/>
    </row>
    <row r="15449" spans="3:4" x14ac:dyDescent="0.35">
      <c r="C15449" s="51"/>
      <c r="D15449" s="51"/>
    </row>
    <row r="15450" spans="3:4" x14ac:dyDescent="0.35">
      <c r="C15450" s="51"/>
      <c r="D15450" s="51"/>
    </row>
    <row r="15451" spans="3:4" x14ac:dyDescent="0.35">
      <c r="C15451" s="51"/>
      <c r="D15451" s="51"/>
    </row>
    <row r="15452" spans="3:4" x14ac:dyDescent="0.35">
      <c r="C15452" s="51"/>
      <c r="D15452" s="51"/>
    </row>
    <row r="15453" spans="3:4" x14ac:dyDescent="0.35">
      <c r="C15453" s="51"/>
      <c r="D15453" s="51"/>
    </row>
    <row r="15454" spans="3:4" x14ac:dyDescent="0.35">
      <c r="C15454" s="51"/>
      <c r="D15454" s="51"/>
    </row>
    <row r="15455" spans="3:4" x14ac:dyDescent="0.35">
      <c r="C15455" s="51"/>
      <c r="D15455" s="51"/>
    </row>
    <row r="15456" spans="3:4" x14ac:dyDescent="0.35">
      <c r="C15456" s="51"/>
      <c r="D15456" s="51"/>
    </row>
    <row r="15457" spans="3:4" x14ac:dyDescent="0.35">
      <c r="C15457" s="51"/>
      <c r="D15457" s="51"/>
    </row>
    <row r="15458" spans="3:4" x14ac:dyDescent="0.35">
      <c r="C15458" s="51"/>
      <c r="D15458" s="51"/>
    </row>
    <row r="15459" spans="3:4" x14ac:dyDescent="0.35">
      <c r="C15459" s="51"/>
      <c r="D15459" s="51"/>
    </row>
    <row r="15460" spans="3:4" x14ac:dyDescent="0.35">
      <c r="C15460" s="51"/>
      <c r="D15460" s="51"/>
    </row>
    <row r="15461" spans="3:4" x14ac:dyDescent="0.35">
      <c r="C15461" s="51"/>
      <c r="D15461" s="51"/>
    </row>
    <row r="15462" spans="3:4" x14ac:dyDescent="0.35">
      <c r="C15462" s="51"/>
      <c r="D15462" s="51"/>
    </row>
    <row r="15463" spans="3:4" x14ac:dyDescent="0.35">
      <c r="C15463" s="51"/>
      <c r="D15463" s="51"/>
    </row>
    <row r="15464" spans="3:4" x14ac:dyDescent="0.35">
      <c r="C15464" s="51"/>
      <c r="D15464" s="51"/>
    </row>
    <row r="15465" spans="3:4" x14ac:dyDescent="0.35">
      <c r="C15465" s="51"/>
      <c r="D15465" s="51"/>
    </row>
    <row r="15466" spans="3:4" x14ac:dyDescent="0.35">
      <c r="C15466" s="51"/>
      <c r="D15466" s="51"/>
    </row>
    <row r="15467" spans="3:4" x14ac:dyDescent="0.35">
      <c r="C15467" s="51"/>
      <c r="D15467" s="51"/>
    </row>
    <row r="15468" spans="3:4" x14ac:dyDescent="0.35">
      <c r="C15468" s="51"/>
      <c r="D15468" s="51"/>
    </row>
    <row r="15469" spans="3:4" x14ac:dyDescent="0.35">
      <c r="C15469" s="51"/>
      <c r="D15469" s="51"/>
    </row>
    <row r="15470" spans="3:4" x14ac:dyDescent="0.35">
      <c r="C15470" s="51"/>
      <c r="D15470" s="51"/>
    </row>
    <row r="15471" spans="3:4" x14ac:dyDescent="0.35">
      <c r="C15471" s="51"/>
      <c r="D15471" s="51"/>
    </row>
    <row r="15472" spans="3:4" x14ac:dyDescent="0.35">
      <c r="C15472" s="51"/>
      <c r="D15472" s="51"/>
    </row>
    <row r="15473" spans="3:4" x14ac:dyDescent="0.35">
      <c r="C15473" s="51"/>
      <c r="D15473" s="51"/>
    </row>
    <row r="15474" spans="3:4" x14ac:dyDescent="0.35">
      <c r="C15474" s="51"/>
      <c r="D15474" s="51"/>
    </row>
    <row r="15475" spans="3:4" x14ac:dyDescent="0.35">
      <c r="C15475" s="51"/>
      <c r="D15475" s="51"/>
    </row>
    <row r="15476" spans="3:4" x14ac:dyDescent="0.35">
      <c r="C15476" s="51"/>
      <c r="D15476" s="51"/>
    </row>
    <row r="15477" spans="3:4" x14ac:dyDescent="0.35">
      <c r="C15477" s="51"/>
      <c r="D15477" s="51"/>
    </row>
    <row r="15478" spans="3:4" x14ac:dyDescent="0.35">
      <c r="C15478" s="51"/>
      <c r="D15478" s="51"/>
    </row>
    <row r="15479" spans="3:4" x14ac:dyDescent="0.35">
      <c r="C15479" s="51"/>
      <c r="D15479" s="51"/>
    </row>
    <row r="15480" spans="3:4" x14ac:dyDescent="0.35">
      <c r="C15480" s="51"/>
      <c r="D15480" s="51"/>
    </row>
    <row r="15481" spans="3:4" x14ac:dyDescent="0.35">
      <c r="C15481" s="51"/>
      <c r="D15481" s="51"/>
    </row>
    <row r="15482" spans="3:4" x14ac:dyDescent="0.35">
      <c r="C15482" s="51"/>
      <c r="D15482" s="51"/>
    </row>
    <row r="15483" spans="3:4" x14ac:dyDescent="0.35">
      <c r="C15483" s="51"/>
      <c r="D15483" s="51"/>
    </row>
    <row r="15484" spans="3:4" x14ac:dyDescent="0.35">
      <c r="C15484" s="51"/>
      <c r="D15484" s="51"/>
    </row>
    <row r="15485" spans="3:4" x14ac:dyDescent="0.35">
      <c r="C15485" s="51"/>
      <c r="D15485" s="51"/>
    </row>
    <row r="15486" spans="3:4" x14ac:dyDescent="0.35">
      <c r="C15486" s="51"/>
      <c r="D15486" s="51"/>
    </row>
    <row r="15487" spans="3:4" x14ac:dyDescent="0.35">
      <c r="C15487" s="51"/>
      <c r="D15487" s="51"/>
    </row>
    <row r="15488" spans="3:4" x14ac:dyDescent="0.35">
      <c r="C15488" s="51"/>
      <c r="D15488" s="51"/>
    </row>
    <row r="15489" spans="3:4" x14ac:dyDescent="0.35">
      <c r="C15489" s="51"/>
      <c r="D15489" s="51"/>
    </row>
    <row r="15490" spans="3:4" x14ac:dyDescent="0.35">
      <c r="C15490" s="51"/>
      <c r="D15490" s="51"/>
    </row>
    <row r="15491" spans="3:4" x14ac:dyDescent="0.35">
      <c r="C15491" s="51"/>
      <c r="D15491" s="51"/>
    </row>
    <row r="15492" spans="3:4" x14ac:dyDescent="0.35">
      <c r="C15492" s="51"/>
      <c r="D15492" s="51"/>
    </row>
    <row r="15493" spans="3:4" x14ac:dyDescent="0.35">
      <c r="C15493" s="51"/>
      <c r="D15493" s="51"/>
    </row>
    <row r="15494" spans="3:4" x14ac:dyDescent="0.35">
      <c r="C15494" s="51"/>
      <c r="D15494" s="51"/>
    </row>
    <row r="15495" spans="3:4" x14ac:dyDescent="0.35">
      <c r="C15495" s="51"/>
      <c r="D15495" s="51"/>
    </row>
    <row r="15496" spans="3:4" x14ac:dyDescent="0.35">
      <c r="C15496" s="51"/>
      <c r="D15496" s="51"/>
    </row>
    <row r="15497" spans="3:4" x14ac:dyDescent="0.35">
      <c r="C15497" s="51"/>
      <c r="D15497" s="51"/>
    </row>
    <row r="15498" spans="3:4" x14ac:dyDescent="0.35">
      <c r="C15498" s="51"/>
      <c r="D15498" s="51"/>
    </row>
    <row r="15499" spans="3:4" x14ac:dyDescent="0.35">
      <c r="C15499" s="51"/>
      <c r="D15499" s="51"/>
    </row>
    <row r="15500" spans="3:4" x14ac:dyDescent="0.35">
      <c r="C15500" s="51"/>
      <c r="D15500" s="51"/>
    </row>
    <row r="15501" spans="3:4" x14ac:dyDescent="0.35">
      <c r="C15501" s="51"/>
      <c r="D15501" s="51"/>
    </row>
    <row r="15502" spans="3:4" x14ac:dyDescent="0.35">
      <c r="C15502" s="51"/>
      <c r="D15502" s="51"/>
    </row>
    <row r="15503" spans="3:4" x14ac:dyDescent="0.35">
      <c r="C15503" s="51"/>
      <c r="D15503" s="51"/>
    </row>
    <row r="15504" spans="3:4" x14ac:dyDescent="0.35">
      <c r="C15504" s="51"/>
      <c r="D15504" s="51"/>
    </row>
    <row r="15505" spans="3:4" x14ac:dyDescent="0.35">
      <c r="C15505" s="51"/>
      <c r="D15505" s="51"/>
    </row>
    <row r="15506" spans="3:4" x14ac:dyDescent="0.35">
      <c r="C15506" s="51"/>
      <c r="D15506" s="51"/>
    </row>
    <row r="15507" spans="3:4" x14ac:dyDescent="0.35">
      <c r="C15507" s="51"/>
      <c r="D15507" s="51"/>
    </row>
    <row r="15508" spans="3:4" x14ac:dyDescent="0.35">
      <c r="C15508" s="51"/>
      <c r="D15508" s="51"/>
    </row>
    <row r="15509" spans="3:4" x14ac:dyDescent="0.35">
      <c r="C15509" s="51"/>
      <c r="D15509" s="51"/>
    </row>
    <row r="15510" spans="3:4" x14ac:dyDescent="0.35">
      <c r="C15510" s="51"/>
      <c r="D15510" s="51"/>
    </row>
    <row r="15511" spans="3:4" x14ac:dyDescent="0.35">
      <c r="C15511" s="51"/>
      <c r="D15511" s="51"/>
    </row>
    <row r="15512" spans="3:4" x14ac:dyDescent="0.35">
      <c r="C15512" s="51"/>
      <c r="D15512" s="51"/>
    </row>
    <row r="15513" spans="3:4" x14ac:dyDescent="0.35">
      <c r="C15513" s="51"/>
      <c r="D15513" s="51"/>
    </row>
    <row r="15514" spans="3:4" x14ac:dyDescent="0.35">
      <c r="C15514" s="51"/>
      <c r="D15514" s="51"/>
    </row>
    <row r="15515" spans="3:4" x14ac:dyDescent="0.35">
      <c r="C15515" s="51"/>
      <c r="D15515" s="51"/>
    </row>
    <row r="15516" spans="3:4" x14ac:dyDescent="0.35">
      <c r="C15516" s="51"/>
      <c r="D15516" s="51"/>
    </row>
    <row r="15517" spans="3:4" x14ac:dyDescent="0.35">
      <c r="C15517" s="51"/>
      <c r="D15517" s="51"/>
    </row>
    <row r="15518" spans="3:4" x14ac:dyDescent="0.35">
      <c r="C15518" s="51"/>
      <c r="D15518" s="51"/>
    </row>
    <row r="15519" spans="3:4" x14ac:dyDescent="0.35">
      <c r="C15519" s="51"/>
      <c r="D15519" s="51"/>
    </row>
    <row r="15520" spans="3:4" x14ac:dyDescent="0.35">
      <c r="C15520" s="51"/>
      <c r="D15520" s="51"/>
    </row>
    <row r="15521" spans="3:4" x14ac:dyDescent="0.35">
      <c r="C15521" s="51"/>
      <c r="D15521" s="51"/>
    </row>
    <row r="15522" spans="3:4" x14ac:dyDescent="0.35">
      <c r="C15522" s="51"/>
      <c r="D15522" s="51"/>
    </row>
    <row r="15523" spans="3:4" x14ac:dyDescent="0.35">
      <c r="C15523" s="51"/>
      <c r="D15523" s="51"/>
    </row>
    <row r="15524" spans="3:4" x14ac:dyDescent="0.35">
      <c r="C15524" s="51"/>
      <c r="D15524" s="51"/>
    </row>
    <row r="15525" spans="3:4" x14ac:dyDescent="0.35">
      <c r="C15525" s="51"/>
      <c r="D15525" s="51"/>
    </row>
    <row r="15526" spans="3:4" x14ac:dyDescent="0.35">
      <c r="C15526" s="51"/>
      <c r="D15526" s="51"/>
    </row>
    <row r="15527" spans="3:4" x14ac:dyDescent="0.35">
      <c r="C15527" s="51"/>
      <c r="D15527" s="51"/>
    </row>
    <row r="15528" spans="3:4" x14ac:dyDescent="0.35">
      <c r="C15528" s="51"/>
      <c r="D15528" s="51"/>
    </row>
    <row r="15529" spans="3:4" x14ac:dyDescent="0.35">
      <c r="C15529" s="51"/>
      <c r="D15529" s="51"/>
    </row>
    <row r="15530" spans="3:4" x14ac:dyDescent="0.35">
      <c r="C15530" s="51"/>
      <c r="D15530" s="51"/>
    </row>
    <row r="15531" spans="3:4" x14ac:dyDescent="0.35">
      <c r="C15531" s="51"/>
      <c r="D15531" s="51"/>
    </row>
    <row r="15532" spans="3:4" x14ac:dyDescent="0.35">
      <c r="C15532" s="51"/>
      <c r="D15532" s="51"/>
    </row>
    <row r="15533" spans="3:4" x14ac:dyDescent="0.35">
      <c r="C15533" s="51"/>
      <c r="D15533" s="51"/>
    </row>
    <row r="15534" spans="3:4" x14ac:dyDescent="0.35">
      <c r="C15534" s="51"/>
      <c r="D15534" s="51"/>
    </row>
    <row r="15535" spans="3:4" x14ac:dyDescent="0.35">
      <c r="C15535" s="51"/>
      <c r="D15535" s="51"/>
    </row>
    <row r="15536" spans="3:4" x14ac:dyDescent="0.35">
      <c r="C15536" s="51"/>
      <c r="D15536" s="51"/>
    </row>
    <row r="15537" spans="3:4" x14ac:dyDescent="0.35">
      <c r="C15537" s="51"/>
      <c r="D15537" s="51"/>
    </row>
    <row r="15538" spans="3:4" x14ac:dyDescent="0.35">
      <c r="C15538" s="51"/>
      <c r="D15538" s="51"/>
    </row>
    <row r="15539" spans="3:4" x14ac:dyDescent="0.35">
      <c r="C15539" s="51"/>
      <c r="D15539" s="51"/>
    </row>
    <row r="15540" spans="3:4" x14ac:dyDescent="0.35">
      <c r="C15540" s="51"/>
      <c r="D15540" s="51"/>
    </row>
    <row r="15541" spans="3:4" x14ac:dyDescent="0.35">
      <c r="C15541" s="51"/>
      <c r="D15541" s="51"/>
    </row>
    <row r="15542" spans="3:4" x14ac:dyDescent="0.35">
      <c r="C15542" s="51"/>
      <c r="D15542" s="51"/>
    </row>
    <row r="15543" spans="3:4" x14ac:dyDescent="0.35">
      <c r="C15543" s="51"/>
      <c r="D15543" s="51"/>
    </row>
    <row r="15544" spans="3:4" x14ac:dyDescent="0.35">
      <c r="C15544" s="51"/>
      <c r="D15544" s="51"/>
    </row>
    <row r="15545" spans="3:4" x14ac:dyDescent="0.35">
      <c r="C15545" s="51"/>
      <c r="D15545" s="51"/>
    </row>
    <row r="15546" spans="3:4" x14ac:dyDescent="0.35">
      <c r="C15546" s="51"/>
      <c r="D15546" s="51"/>
    </row>
    <row r="15547" spans="3:4" x14ac:dyDescent="0.35">
      <c r="C15547" s="51"/>
      <c r="D15547" s="51"/>
    </row>
    <row r="15548" spans="3:4" x14ac:dyDescent="0.35">
      <c r="C15548" s="51"/>
      <c r="D15548" s="51"/>
    </row>
    <row r="15549" spans="3:4" x14ac:dyDescent="0.35">
      <c r="C15549" s="51"/>
      <c r="D15549" s="51"/>
    </row>
    <row r="15550" spans="3:4" x14ac:dyDescent="0.35">
      <c r="C15550" s="51"/>
      <c r="D15550" s="51"/>
    </row>
    <row r="15551" spans="3:4" x14ac:dyDescent="0.35">
      <c r="C15551" s="51"/>
      <c r="D15551" s="51"/>
    </row>
    <row r="15552" spans="3:4" x14ac:dyDescent="0.35">
      <c r="C15552" s="51"/>
      <c r="D15552" s="51"/>
    </row>
    <row r="15553" spans="3:4" x14ac:dyDescent="0.35">
      <c r="C15553" s="51"/>
      <c r="D15553" s="51"/>
    </row>
    <row r="15554" spans="3:4" x14ac:dyDescent="0.35">
      <c r="C15554" s="51"/>
      <c r="D15554" s="51"/>
    </row>
    <row r="15555" spans="3:4" x14ac:dyDescent="0.35">
      <c r="C15555" s="51"/>
      <c r="D15555" s="51"/>
    </row>
    <row r="15556" spans="3:4" x14ac:dyDescent="0.35">
      <c r="C15556" s="51"/>
      <c r="D15556" s="51"/>
    </row>
    <row r="15557" spans="3:4" x14ac:dyDescent="0.35">
      <c r="C15557" s="51"/>
      <c r="D15557" s="51"/>
    </row>
    <row r="15558" spans="3:4" x14ac:dyDescent="0.35">
      <c r="C15558" s="51"/>
      <c r="D15558" s="51"/>
    </row>
    <row r="15559" spans="3:4" x14ac:dyDescent="0.35">
      <c r="C15559" s="51"/>
      <c r="D15559" s="51"/>
    </row>
    <row r="15560" spans="3:4" x14ac:dyDescent="0.35">
      <c r="C15560" s="51"/>
      <c r="D15560" s="51"/>
    </row>
    <row r="15561" spans="3:4" x14ac:dyDescent="0.35">
      <c r="C15561" s="51"/>
      <c r="D15561" s="51"/>
    </row>
    <row r="15562" spans="3:4" x14ac:dyDescent="0.35">
      <c r="C15562" s="51"/>
      <c r="D15562" s="51"/>
    </row>
    <row r="15563" spans="3:4" x14ac:dyDescent="0.35">
      <c r="C15563" s="51"/>
      <c r="D15563" s="51"/>
    </row>
    <row r="15564" spans="3:4" x14ac:dyDescent="0.35">
      <c r="C15564" s="51"/>
      <c r="D15564" s="51"/>
    </row>
    <row r="15565" spans="3:4" x14ac:dyDescent="0.35">
      <c r="C15565" s="51"/>
      <c r="D15565" s="51"/>
    </row>
    <row r="15566" spans="3:4" x14ac:dyDescent="0.35">
      <c r="C15566" s="51"/>
      <c r="D15566" s="51"/>
    </row>
    <row r="15567" spans="3:4" x14ac:dyDescent="0.35">
      <c r="C15567" s="51"/>
      <c r="D15567" s="51"/>
    </row>
    <row r="15568" spans="3:4" x14ac:dyDescent="0.35">
      <c r="C15568" s="51"/>
      <c r="D15568" s="51"/>
    </row>
    <row r="15569" spans="3:4" x14ac:dyDescent="0.35">
      <c r="C15569" s="51"/>
      <c r="D15569" s="51"/>
    </row>
    <row r="15570" spans="3:4" x14ac:dyDescent="0.35">
      <c r="C15570" s="51"/>
      <c r="D15570" s="51"/>
    </row>
    <row r="15571" spans="3:4" x14ac:dyDescent="0.35">
      <c r="C15571" s="51"/>
      <c r="D15571" s="51"/>
    </row>
    <row r="15572" spans="3:4" x14ac:dyDescent="0.35">
      <c r="C15572" s="51"/>
      <c r="D15572" s="51"/>
    </row>
    <row r="15573" spans="3:4" x14ac:dyDescent="0.35">
      <c r="C15573" s="51"/>
      <c r="D15573" s="51"/>
    </row>
    <row r="15574" spans="3:4" x14ac:dyDescent="0.35">
      <c r="C15574" s="51"/>
      <c r="D15574" s="51"/>
    </row>
    <row r="15575" spans="3:4" x14ac:dyDescent="0.35">
      <c r="C15575" s="51"/>
      <c r="D15575" s="51"/>
    </row>
    <row r="15576" spans="3:4" x14ac:dyDescent="0.35">
      <c r="C15576" s="51"/>
      <c r="D15576" s="51"/>
    </row>
    <row r="15577" spans="3:4" x14ac:dyDescent="0.35">
      <c r="C15577" s="51"/>
      <c r="D15577" s="51"/>
    </row>
    <row r="15578" spans="3:4" x14ac:dyDescent="0.35">
      <c r="C15578" s="51"/>
      <c r="D15578" s="51"/>
    </row>
    <row r="15579" spans="3:4" x14ac:dyDescent="0.35">
      <c r="C15579" s="51"/>
      <c r="D15579" s="51"/>
    </row>
    <row r="15580" spans="3:4" x14ac:dyDescent="0.35">
      <c r="C15580" s="51"/>
      <c r="D15580" s="51"/>
    </row>
    <row r="15581" spans="3:4" x14ac:dyDescent="0.35">
      <c r="C15581" s="51"/>
      <c r="D15581" s="51"/>
    </row>
    <row r="15582" spans="3:4" x14ac:dyDescent="0.35">
      <c r="C15582" s="51"/>
      <c r="D15582" s="51"/>
    </row>
    <row r="15583" spans="3:4" x14ac:dyDescent="0.35">
      <c r="C15583" s="51"/>
      <c r="D15583" s="51"/>
    </row>
    <row r="15584" spans="3:4" x14ac:dyDescent="0.35">
      <c r="C15584" s="51"/>
      <c r="D15584" s="51"/>
    </row>
    <row r="15585" spans="3:4" x14ac:dyDescent="0.35">
      <c r="C15585" s="51"/>
      <c r="D15585" s="51"/>
    </row>
    <row r="15586" spans="3:4" x14ac:dyDescent="0.35">
      <c r="C15586" s="51"/>
      <c r="D15586" s="51"/>
    </row>
    <row r="15587" spans="3:4" x14ac:dyDescent="0.35">
      <c r="C15587" s="51"/>
      <c r="D15587" s="51"/>
    </row>
    <row r="15588" spans="3:4" x14ac:dyDescent="0.35">
      <c r="C15588" s="51"/>
      <c r="D15588" s="51"/>
    </row>
    <row r="15589" spans="3:4" x14ac:dyDescent="0.35">
      <c r="C15589" s="51"/>
      <c r="D15589" s="51"/>
    </row>
    <row r="15590" spans="3:4" x14ac:dyDescent="0.35">
      <c r="C15590" s="51"/>
      <c r="D15590" s="51"/>
    </row>
    <row r="15591" spans="3:4" x14ac:dyDescent="0.35">
      <c r="C15591" s="51"/>
      <c r="D15591" s="51"/>
    </row>
    <row r="15592" spans="3:4" x14ac:dyDescent="0.35">
      <c r="C15592" s="51"/>
      <c r="D15592" s="51"/>
    </row>
    <row r="15593" spans="3:4" x14ac:dyDescent="0.35">
      <c r="C15593" s="51"/>
      <c r="D15593" s="51"/>
    </row>
    <row r="15594" spans="3:4" x14ac:dyDescent="0.35">
      <c r="C15594" s="51"/>
      <c r="D15594" s="51"/>
    </row>
    <row r="15595" spans="3:4" x14ac:dyDescent="0.35">
      <c r="C15595" s="51"/>
      <c r="D15595" s="51"/>
    </row>
    <row r="15596" spans="3:4" x14ac:dyDescent="0.35">
      <c r="C15596" s="51"/>
      <c r="D15596" s="51"/>
    </row>
    <row r="15597" spans="3:4" x14ac:dyDescent="0.35">
      <c r="C15597" s="51"/>
      <c r="D15597" s="51"/>
    </row>
    <row r="15598" spans="3:4" x14ac:dyDescent="0.35">
      <c r="C15598" s="51"/>
      <c r="D15598" s="51"/>
    </row>
    <row r="15599" spans="3:4" x14ac:dyDescent="0.35">
      <c r="C15599" s="51"/>
      <c r="D15599" s="51"/>
    </row>
    <row r="15600" spans="3:4" x14ac:dyDescent="0.35">
      <c r="C15600" s="51"/>
      <c r="D15600" s="51"/>
    </row>
    <row r="15601" spans="3:4" x14ac:dyDescent="0.35">
      <c r="C15601" s="51"/>
      <c r="D15601" s="51"/>
    </row>
    <row r="15602" spans="3:4" x14ac:dyDescent="0.35">
      <c r="C15602" s="51"/>
      <c r="D15602" s="51"/>
    </row>
    <row r="15603" spans="3:4" x14ac:dyDescent="0.35">
      <c r="C15603" s="51"/>
      <c r="D15603" s="51"/>
    </row>
    <row r="15604" spans="3:4" x14ac:dyDescent="0.35">
      <c r="C15604" s="51"/>
      <c r="D15604" s="51"/>
    </row>
    <row r="15605" spans="3:4" x14ac:dyDescent="0.35">
      <c r="C15605" s="51"/>
      <c r="D15605" s="51"/>
    </row>
    <row r="15606" spans="3:4" x14ac:dyDescent="0.35">
      <c r="C15606" s="51"/>
      <c r="D15606" s="51"/>
    </row>
    <row r="15607" spans="3:4" x14ac:dyDescent="0.35">
      <c r="C15607" s="51"/>
      <c r="D15607" s="51"/>
    </row>
    <row r="15608" spans="3:4" x14ac:dyDescent="0.35">
      <c r="C15608" s="51"/>
      <c r="D15608" s="51"/>
    </row>
    <row r="15609" spans="3:4" x14ac:dyDescent="0.35">
      <c r="C15609" s="51"/>
      <c r="D15609" s="51"/>
    </row>
    <row r="15610" spans="3:4" x14ac:dyDescent="0.35">
      <c r="C15610" s="51"/>
      <c r="D15610" s="51"/>
    </row>
    <row r="15611" spans="3:4" x14ac:dyDescent="0.35">
      <c r="C15611" s="51"/>
      <c r="D15611" s="51"/>
    </row>
    <row r="15612" spans="3:4" x14ac:dyDescent="0.35">
      <c r="C15612" s="51"/>
      <c r="D15612" s="51"/>
    </row>
    <row r="15613" spans="3:4" x14ac:dyDescent="0.35">
      <c r="C15613" s="51"/>
      <c r="D15613" s="51"/>
    </row>
    <row r="15614" spans="3:4" x14ac:dyDescent="0.35">
      <c r="C15614" s="51"/>
      <c r="D15614" s="51"/>
    </row>
    <row r="15615" spans="3:4" x14ac:dyDescent="0.35">
      <c r="C15615" s="51"/>
      <c r="D15615" s="51"/>
    </row>
    <row r="15616" spans="3:4" x14ac:dyDescent="0.35">
      <c r="C15616" s="51"/>
      <c r="D15616" s="51"/>
    </row>
    <row r="15617" spans="3:4" x14ac:dyDescent="0.35">
      <c r="C15617" s="51"/>
      <c r="D15617" s="51"/>
    </row>
    <row r="15618" spans="3:4" x14ac:dyDescent="0.35">
      <c r="C15618" s="51"/>
      <c r="D15618" s="51"/>
    </row>
    <row r="15619" spans="3:4" x14ac:dyDescent="0.35">
      <c r="C15619" s="51"/>
      <c r="D15619" s="51"/>
    </row>
    <row r="15620" spans="3:4" x14ac:dyDescent="0.35">
      <c r="C15620" s="51"/>
      <c r="D15620" s="51"/>
    </row>
    <row r="15621" spans="3:4" x14ac:dyDescent="0.35">
      <c r="C15621" s="51"/>
      <c r="D15621" s="51"/>
    </row>
    <row r="15622" spans="3:4" x14ac:dyDescent="0.35">
      <c r="C15622" s="51"/>
      <c r="D15622" s="51"/>
    </row>
    <row r="15623" spans="3:4" x14ac:dyDescent="0.35">
      <c r="C15623" s="51"/>
      <c r="D15623" s="51"/>
    </row>
    <row r="15624" spans="3:4" x14ac:dyDescent="0.35">
      <c r="C15624" s="51"/>
      <c r="D15624" s="51"/>
    </row>
    <row r="15625" spans="3:4" x14ac:dyDescent="0.35">
      <c r="C15625" s="51"/>
      <c r="D15625" s="51"/>
    </row>
    <row r="15626" spans="3:4" x14ac:dyDescent="0.35">
      <c r="C15626" s="51"/>
      <c r="D15626" s="51"/>
    </row>
    <row r="15627" spans="3:4" x14ac:dyDescent="0.35">
      <c r="C15627" s="51"/>
      <c r="D15627" s="51"/>
    </row>
    <row r="15628" spans="3:4" x14ac:dyDescent="0.35">
      <c r="C15628" s="51"/>
      <c r="D15628" s="51"/>
    </row>
    <row r="15629" spans="3:4" x14ac:dyDescent="0.35">
      <c r="C15629" s="51"/>
      <c r="D15629" s="51"/>
    </row>
    <row r="15630" spans="3:4" x14ac:dyDescent="0.35">
      <c r="C15630" s="51"/>
      <c r="D15630" s="51"/>
    </row>
    <row r="15631" spans="3:4" x14ac:dyDescent="0.35">
      <c r="C15631" s="51"/>
      <c r="D15631" s="51"/>
    </row>
    <row r="15632" spans="3:4" x14ac:dyDescent="0.35">
      <c r="C15632" s="51"/>
      <c r="D15632" s="51"/>
    </row>
    <row r="15633" spans="3:4" x14ac:dyDescent="0.35">
      <c r="C15633" s="51"/>
      <c r="D15633" s="51"/>
    </row>
    <row r="15634" spans="3:4" x14ac:dyDescent="0.35">
      <c r="C15634" s="51"/>
      <c r="D15634" s="51"/>
    </row>
    <row r="15635" spans="3:4" x14ac:dyDescent="0.35">
      <c r="C15635" s="51"/>
      <c r="D15635" s="51"/>
    </row>
    <row r="15636" spans="3:4" x14ac:dyDescent="0.35">
      <c r="C15636" s="51"/>
      <c r="D15636" s="51"/>
    </row>
    <row r="15637" spans="3:4" x14ac:dyDescent="0.35">
      <c r="C15637" s="51"/>
      <c r="D15637" s="51"/>
    </row>
    <row r="15638" spans="3:4" x14ac:dyDescent="0.35">
      <c r="C15638" s="51"/>
      <c r="D15638" s="51"/>
    </row>
    <row r="15639" spans="3:4" x14ac:dyDescent="0.35">
      <c r="C15639" s="51"/>
      <c r="D15639" s="51"/>
    </row>
    <row r="15640" spans="3:4" x14ac:dyDescent="0.35">
      <c r="C15640" s="51"/>
      <c r="D15640" s="51"/>
    </row>
    <row r="15641" spans="3:4" x14ac:dyDescent="0.35">
      <c r="C15641" s="51"/>
      <c r="D15641" s="51"/>
    </row>
    <row r="15642" spans="3:4" x14ac:dyDescent="0.35">
      <c r="C15642" s="51"/>
      <c r="D15642" s="51"/>
    </row>
    <row r="15643" spans="3:4" x14ac:dyDescent="0.35">
      <c r="C15643" s="51"/>
      <c r="D15643" s="51"/>
    </row>
    <row r="15644" spans="3:4" x14ac:dyDescent="0.35">
      <c r="C15644" s="51"/>
      <c r="D15644" s="51"/>
    </row>
    <row r="15645" spans="3:4" x14ac:dyDescent="0.35">
      <c r="C15645" s="51"/>
      <c r="D15645" s="51"/>
    </row>
    <row r="15646" spans="3:4" x14ac:dyDescent="0.35">
      <c r="C15646" s="51"/>
      <c r="D15646" s="51"/>
    </row>
    <row r="15647" spans="3:4" x14ac:dyDescent="0.35">
      <c r="C15647" s="51"/>
      <c r="D15647" s="51"/>
    </row>
    <row r="15648" spans="3:4" x14ac:dyDescent="0.35">
      <c r="C15648" s="51"/>
      <c r="D15648" s="51"/>
    </row>
    <row r="15649" spans="3:4" x14ac:dyDescent="0.35">
      <c r="C15649" s="51"/>
      <c r="D15649" s="51"/>
    </row>
    <row r="15650" spans="3:4" x14ac:dyDescent="0.35">
      <c r="C15650" s="51"/>
      <c r="D15650" s="51"/>
    </row>
    <row r="15651" spans="3:4" x14ac:dyDescent="0.35">
      <c r="C15651" s="51"/>
      <c r="D15651" s="51"/>
    </row>
    <row r="15652" spans="3:4" x14ac:dyDescent="0.35">
      <c r="C15652" s="51"/>
      <c r="D15652" s="51"/>
    </row>
    <row r="15653" spans="3:4" x14ac:dyDescent="0.35">
      <c r="C15653" s="51"/>
      <c r="D15653" s="51"/>
    </row>
    <row r="15654" spans="3:4" x14ac:dyDescent="0.35">
      <c r="C15654" s="51"/>
      <c r="D15654" s="51"/>
    </row>
    <row r="15655" spans="3:4" x14ac:dyDescent="0.35">
      <c r="C15655" s="51"/>
      <c r="D15655" s="51"/>
    </row>
    <row r="15656" spans="3:4" x14ac:dyDescent="0.35">
      <c r="C15656" s="51"/>
      <c r="D15656" s="51"/>
    </row>
    <row r="15657" spans="3:4" x14ac:dyDescent="0.35">
      <c r="C15657" s="51"/>
      <c r="D15657" s="51"/>
    </row>
    <row r="15658" spans="3:4" x14ac:dyDescent="0.35">
      <c r="C15658" s="51"/>
      <c r="D15658" s="51"/>
    </row>
    <row r="15659" spans="3:4" x14ac:dyDescent="0.35">
      <c r="C15659" s="51"/>
      <c r="D15659" s="51"/>
    </row>
    <row r="15660" spans="3:4" x14ac:dyDescent="0.35">
      <c r="C15660" s="51"/>
      <c r="D15660" s="51"/>
    </row>
    <row r="15661" spans="3:4" x14ac:dyDescent="0.35">
      <c r="C15661" s="51"/>
      <c r="D15661" s="51"/>
    </row>
    <row r="15662" spans="3:4" x14ac:dyDescent="0.35">
      <c r="C15662" s="51"/>
      <c r="D15662" s="51"/>
    </row>
    <row r="15663" spans="3:4" x14ac:dyDescent="0.35">
      <c r="C15663" s="51"/>
      <c r="D15663" s="51"/>
    </row>
    <row r="15664" spans="3:4" x14ac:dyDescent="0.35">
      <c r="C15664" s="51"/>
      <c r="D15664" s="51"/>
    </row>
    <row r="15665" spans="3:4" x14ac:dyDescent="0.35">
      <c r="C15665" s="51"/>
      <c r="D15665" s="51"/>
    </row>
    <row r="15666" spans="3:4" x14ac:dyDescent="0.35">
      <c r="C15666" s="51"/>
      <c r="D15666" s="51"/>
    </row>
    <row r="15667" spans="3:4" x14ac:dyDescent="0.35">
      <c r="C15667" s="51"/>
      <c r="D15667" s="51"/>
    </row>
    <row r="15668" spans="3:4" x14ac:dyDescent="0.35">
      <c r="C15668" s="51"/>
      <c r="D15668" s="51"/>
    </row>
    <row r="15669" spans="3:4" x14ac:dyDescent="0.35">
      <c r="C15669" s="51"/>
      <c r="D15669" s="51"/>
    </row>
    <row r="15670" spans="3:4" x14ac:dyDescent="0.35">
      <c r="C15670" s="51"/>
      <c r="D15670" s="51"/>
    </row>
    <row r="15671" spans="3:4" x14ac:dyDescent="0.35">
      <c r="C15671" s="51"/>
      <c r="D15671" s="51"/>
    </row>
    <row r="15672" spans="3:4" x14ac:dyDescent="0.35">
      <c r="C15672" s="51"/>
      <c r="D15672" s="51"/>
    </row>
    <row r="15673" spans="3:4" x14ac:dyDescent="0.35">
      <c r="C15673" s="51"/>
      <c r="D15673" s="51"/>
    </row>
    <row r="15674" spans="3:4" x14ac:dyDescent="0.35">
      <c r="C15674" s="51"/>
      <c r="D15674" s="51"/>
    </row>
    <row r="15675" spans="3:4" x14ac:dyDescent="0.35">
      <c r="C15675" s="51"/>
      <c r="D15675" s="51"/>
    </row>
    <row r="15676" spans="3:4" x14ac:dyDescent="0.35">
      <c r="C15676" s="51"/>
      <c r="D15676" s="51"/>
    </row>
    <row r="15677" spans="3:4" x14ac:dyDescent="0.35">
      <c r="C15677" s="51"/>
      <c r="D15677" s="51"/>
    </row>
    <row r="15678" spans="3:4" x14ac:dyDescent="0.35">
      <c r="C15678" s="51"/>
      <c r="D15678" s="51"/>
    </row>
    <row r="15679" spans="3:4" x14ac:dyDescent="0.35">
      <c r="C15679" s="51"/>
      <c r="D15679" s="51"/>
    </row>
    <row r="15680" spans="3:4" x14ac:dyDescent="0.35">
      <c r="C15680" s="51"/>
      <c r="D15680" s="51"/>
    </row>
    <row r="15681" spans="3:4" x14ac:dyDescent="0.35">
      <c r="C15681" s="51"/>
      <c r="D15681" s="51"/>
    </row>
    <row r="15682" spans="3:4" x14ac:dyDescent="0.35">
      <c r="C15682" s="51"/>
      <c r="D15682" s="51"/>
    </row>
    <row r="15683" spans="3:4" x14ac:dyDescent="0.35">
      <c r="C15683" s="51"/>
      <c r="D15683" s="51"/>
    </row>
    <row r="15684" spans="3:4" x14ac:dyDescent="0.35">
      <c r="C15684" s="51"/>
      <c r="D15684" s="51"/>
    </row>
    <row r="15685" spans="3:4" x14ac:dyDescent="0.35">
      <c r="C15685" s="51"/>
      <c r="D15685" s="51"/>
    </row>
    <row r="15686" spans="3:4" x14ac:dyDescent="0.35">
      <c r="C15686" s="51"/>
      <c r="D15686" s="51"/>
    </row>
    <row r="15687" spans="3:4" x14ac:dyDescent="0.35">
      <c r="C15687" s="51"/>
      <c r="D15687" s="51"/>
    </row>
    <row r="15688" spans="3:4" x14ac:dyDescent="0.35">
      <c r="C15688" s="51"/>
      <c r="D15688" s="51"/>
    </row>
    <row r="15689" spans="3:4" x14ac:dyDescent="0.35">
      <c r="C15689" s="51"/>
      <c r="D15689" s="51"/>
    </row>
    <row r="15690" spans="3:4" x14ac:dyDescent="0.35">
      <c r="C15690" s="51"/>
      <c r="D15690" s="51"/>
    </row>
    <row r="15691" spans="3:4" x14ac:dyDescent="0.35">
      <c r="C15691" s="51"/>
      <c r="D15691" s="51"/>
    </row>
    <row r="15692" spans="3:4" x14ac:dyDescent="0.35">
      <c r="C15692" s="51"/>
      <c r="D15692" s="51"/>
    </row>
    <row r="15693" spans="3:4" x14ac:dyDescent="0.35">
      <c r="C15693" s="51"/>
      <c r="D15693" s="51"/>
    </row>
    <row r="15694" spans="3:4" x14ac:dyDescent="0.35">
      <c r="C15694" s="51"/>
      <c r="D15694" s="51"/>
    </row>
    <row r="15695" spans="3:4" x14ac:dyDescent="0.35">
      <c r="C15695" s="51"/>
      <c r="D15695" s="51"/>
    </row>
    <row r="15696" spans="3:4" x14ac:dyDescent="0.35">
      <c r="C15696" s="51"/>
      <c r="D15696" s="51"/>
    </row>
    <row r="15697" spans="3:4" x14ac:dyDescent="0.35">
      <c r="C15697" s="51"/>
      <c r="D15697" s="51"/>
    </row>
    <row r="15698" spans="3:4" x14ac:dyDescent="0.35">
      <c r="C15698" s="51"/>
      <c r="D15698" s="51"/>
    </row>
    <row r="15699" spans="3:4" x14ac:dyDescent="0.35">
      <c r="C15699" s="51"/>
      <c r="D15699" s="51"/>
    </row>
    <row r="15700" spans="3:4" x14ac:dyDescent="0.35">
      <c r="C15700" s="51"/>
      <c r="D15700" s="51"/>
    </row>
    <row r="15701" spans="3:4" x14ac:dyDescent="0.35">
      <c r="C15701" s="51"/>
      <c r="D15701" s="51"/>
    </row>
    <row r="15702" spans="3:4" x14ac:dyDescent="0.35">
      <c r="C15702" s="51"/>
      <c r="D15702" s="51"/>
    </row>
    <row r="15703" spans="3:4" x14ac:dyDescent="0.35">
      <c r="C15703" s="51"/>
      <c r="D15703" s="51"/>
    </row>
    <row r="15704" spans="3:4" x14ac:dyDescent="0.35">
      <c r="C15704" s="51"/>
      <c r="D15704" s="51"/>
    </row>
    <row r="15705" spans="3:4" x14ac:dyDescent="0.35">
      <c r="C15705" s="51"/>
      <c r="D15705" s="51"/>
    </row>
    <row r="15706" spans="3:4" x14ac:dyDescent="0.35">
      <c r="C15706" s="51"/>
      <c r="D15706" s="51"/>
    </row>
    <row r="15707" spans="3:4" x14ac:dyDescent="0.35">
      <c r="C15707" s="51"/>
      <c r="D15707" s="51"/>
    </row>
    <row r="15708" spans="3:4" x14ac:dyDescent="0.35">
      <c r="C15708" s="51"/>
      <c r="D15708" s="51"/>
    </row>
    <row r="15709" spans="3:4" x14ac:dyDescent="0.35">
      <c r="C15709" s="51"/>
      <c r="D15709" s="51"/>
    </row>
    <row r="15710" spans="3:4" x14ac:dyDescent="0.35">
      <c r="C15710" s="51"/>
      <c r="D15710" s="51"/>
    </row>
    <row r="15711" spans="3:4" x14ac:dyDescent="0.35">
      <c r="C15711" s="51"/>
      <c r="D15711" s="51"/>
    </row>
    <row r="15712" spans="3:4" x14ac:dyDescent="0.35">
      <c r="C15712" s="51"/>
      <c r="D15712" s="51"/>
    </row>
    <row r="15713" spans="3:4" x14ac:dyDescent="0.35">
      <c r="C15713" s="51"/>
      <c r="D15713" s="51"/>
    </row>
    <row r="15714" spans="3:4" x14ac:dyDescent="0.35">
      <c r="C15714" s="51"/>
      <c r="D15714" s="51"/>
    </row>
    <row r="15715" spans="3:4" x14ac:dyDescent="0.35">
      <c r="C15715" s="51"/>
      <c r="D15715" s="51"/>
    </row>
    <row r="15716" spans="3:4" x14ac:dyDescent="0.35">
      <c r="C15716" s="51"/>
      <c r="D15716" s="51"/>
    </row>
    <row r="15717" spans="3:4" x14ac:dyDescent="0.35">
      <c r="C15717" s="51"/>
      <c r="D15717" s="51"/>
    </row>
    <row r="15718" spans="3:4" x14ac:dyDescent="0.35">
      <c r="C15718" s="51"/>
      <c r="D15718" s="51"/>
    </row>
    <row r="15719" spans="3:4" x14ac:dyDescent="0.35">
      <c r="C15719" s="51"/>
      <c r="D15719" s="51"/>
    </row>
    <row r="15720" spans="3:4" x14ac:dyDescent="0.35">
      <c r="C15720" s="51"/>
      <c r="D15720" s="51"/>
    </row>
    <row r="15721" spans="3:4" x14ac:dyDescent="0.35">
      <c r="C15721" s="51"/>
      <c r="D15721" s="51"/>
    </row>
    <row r="15722" spans="3:4" x14ac:dyDescent="0.35">
      <c r="C15722" s="51"/>
      <c r="D15722" s="51"/>
    </row>
    <row r="15723" spans="3:4" x14ac:dyDescent="0.35">
      <c r="C15723" s="51"/>
      <c r="D15723" s="51"/>
    </row>
    <row r="15724" spans="3:4" x14ac:dyDescent="0.35">
      <c r="C15724" s="51"/>
      <c r="D15724" s="51"/>
    </row>
    <row r="15725" spans="3:4" x14ac:dyDescent="0.35">
      <c r="C15725" s="51"/>
      <c r="D15725" s="51"/>
    </row>
    <row r="15726" spans="3:4" x14ac:dyDescent="0.35">
      <c r="C15726" s="51"/>
      <c r="D15726" s="51"/>
    </row>
    <row r="15727" spans="3:4" x14ac:dyDescent="0.35">
      <c r="C15727" s="51"/>
      <c r="D15727" s="51"/>
    </row>
    <row r="15728" spans="3:4" x14ac:dyDescent="0.35">
      <c r="C15728" s="51"/>
      <c r="D15728" s="51"/>
    </row>
    <row r="15729" spans="3:4" x14ac:dyDescent="0.35">
      <c r="C15729" s="51"/>
      <c r="D15729" s="51"/>
    </row>
    <row r="15730" spans="3:4" x14ac:dyDescent="0.35">
      <c r="C15730" s="51"/>
      <c r="D15730" s="51"/>
    </row>
    <row r="15731" spans="3:4" x14ac:dyDescent="0.35">
      <c r="C15731" s="51"/>
      <c r="D15731" s="51"/>
    </row>
    <row r="15732" spans="3:4" x14ac:dyDescent="0.35">
      <c r="C15732" s="51"/>
      <c r="D15732" s="51"/>
    </row>
    <row r="15733" spans="3:4" x14ac:dyDescent="0.35">
      <c r="C15733" s="51"/>
      <c r="D15733" s="51"/>
    </row>
    <row r="15734" spans="3:4" x14ac:dyDescent="0.35">
      <c r="C15734" s="51"/>
      <c r="D15734" s="51"/>
    </row>
    <row r="15735" spans="3:4" x14ac:dyDescent="0.35">
      <c r="C15735" s="51"/>
      <c r="D15735" s="51"/>
    </row>
    <row r="15736" spans="3:4" x14ac:dyDescent="0.35">
      <c r="C15736" s="51"/>
      <c r="D15736" s="51"/>
    </row>
    <row r="15737" spans="3:4" x14ac:dyDescent="0.35">
      <c r="C15737" s="51"/>
      <c r="D15737" s="51"/>
    </row>
    <row r="15738" spans="3:4" x14ac:dyDescent="0.35">
      <c r="C15738" s="51"/>
      <c r="D15738" s="51"/>
    </row>
    <row r="15739" spans="3:4" x14ac:dyDescent="0.35">
      <c r="C15739" s="51"/>
      <c r="D15739" s="51"/>
    </row>
    <row r="15740" spans="3:4" x14ac:dyDescent="0.35">
      <c r="C15740" s="51"/>
      <c r="D15740" s="51"/>
    </row>
    <row r="15741" spans="3:4" x14ac:dyDescent="0.35">
      <c r="C15741" s="51"/>
      <c r="D15741" s="51"/>
    </row>
    <row r="15742" spans="3:4" x14ac:dyDescent="0.35">
      <c r="C15742" s="51"/>
      <c r="D15742" s="51"/>
    </row>
    <row r="15743" spans="3:4" x14ac:dyDescent="0.35">
      <c r="C15743" s="51"/>
      <c r="D15743" s="51"/>
    </row>
    <row r="15744" spans="3:4" x14ac:dyDescent="0.35">
      <c r="C15744" s="51"/>
      <c r="D15744" s="51"/>
    </row>
    <row r="15745" spans="3:4" x14ac:dyDescent="0.35">
      <c r="C15745" s="51"/>
      <c r="D15745" s="51"/>
    </row>
    <row r="15746" spans="3:4" x14ac:dyDescent="0.35">
      <c r="C15746" s="51"/>
      <c r="D15746" s="51"/>
    </row>
    <row r="15747" spans="3:4" x14ac:dyDescent="0.35">
      <c r="C15747" s="51"/>
      <c r="D15747" s="51"/>
    </row>
    <row r="15748" spans="3:4" x14ac:dyDescent="0.35">
      <c r="C15748" s="51"/>
      <c r="D15748" s="51"/>
    </row>
    <row r="15749" spans="3:4" x14ac:dyDescent="0.35">
      <c r="C15749" s="51"/>
      <c r="D15749" s="51"/>
    </row>
    <row r="15750" spans="3:4" x14ac:dyDescent="0.35">
      <c r="C15750" s="51"/>
      <c r="D15750" s="51"/>
    </row>
    <row r="15751" spans="3:4" x14ac:dyDescent="0.35">
      <c r="C15751" s="51"/>
      <c r="D15751" s="51"/>
    </row>
    <row r="15752" spans="3:4" x14ac:dyDescent="0.35">
      <c r="C15752" s="51"/>
      <c r="D15752" s="51"/>
    </row>
    <row r="15753" spans="3:4" x14ac:dyDescent="0.35">
      <c r="C15753" s="51"/>
      <c r="D15753" s="51"/>
    </row>
    <row r="15754" spans="3:4" x14ac:dyDescent="0.35">
      <c r="C15754" s="51"/>
      <c r="D15754" s="51"/>
    </row>
    <row r="15755" spans="3:4" x14ac:dyDescent="0.35">
      <c r="C15755" s="51"/>
      <c r="D15755" s="51"/>
    </row>
    <row r="15756" spans="3:4" x14ac:dyDescent="0.35">
      <c r="C15756" s="51"/>
      <c r="D15756" s="51"/>
    </row>
    <row r="15757" spans="3:4" x14ac:dyDescent="0.35">
      <c r="C15757" s="51"/>
      <c r="D15757" s="51"/>
    </row>
    <row r="15758" spans="3:4" x14ac:dyDescent="0.35">
      <c r="C15758" s="51"/>
      <c r="D15758" s="51"/>
    </row>
    <row r="15759" spans="3:4" x14ac:dyDescent="0.35">
      <c r="C15759" s="51"/>
      <c r="D15759" s="51"/>
    </row>
    <row r="15760" spans="3:4" x14ac:dyDescent="0.35">
      <c r="C15760" s="51"/>
      <c r="D15760" s="51"/>
    </row>
    <row r="15761" spans="3:4" x14ac:dyDescent="0.35">
      <c r="C15761" s="51"/>
      <c r="D15761" s="51"/>
    </row>
    <row r="15762" spans="3:4" x14ac:dyDescent="0.35">
      <c r="C15762" s="51"/>
      <c r="D15762" s="51"/>
    </row>
    <row r="15763" spans="3:4" x14ac:dyDescent="0.35">
      <c r="C15763" s="51"/>
      <c r="D15763" s="51"/>
    </row>
    <row r="15764" spans="3:4" x14ac:dyDescent="0.35">
      <c r="C15764" s="51"/>
      <c r="D15764" s="51"/>
    </row>
    <row r="15765" spans="3:4" x14ac:dyDescent="0.35">
      <c r="C15765" s="51"/>
      <c r="D15765" s="51"/>
    </row>
    <row r="15766" spans="3:4" x14ac:dyDescent="0.35">
      <c r="C15766" s="51"/>
      <c r="D15766" s="51"/>
    </row>
    <row r="15767" spans="3:4" x14ac:dyDescent="0.35">
      <c r="C15767" s="51"/>
      <c r="D15767" s="51"/>
    </row>
    <row r="15768" spans="3:4" x14ac:dyDescent="0.35">
      <c r="C15768" s="51"/>
      <c r="D15768" s="51"/>
    </row>
    <row r="15769" spans="3:4" x14ac:dyDescent="0.35">
      <c r="C15769" s="51"/>
      <c r="D15769" s="51"/>
    </row>
    <row r="15770" spans="3:4" x14ac:dyDescent="0.35">
      <c r="C15770" s="51"/>
      <c r="D15770" s="51"/>
    </row>
    <row r="15771" spans="3:4" x14ac:dyDescent="0.35">
      <c r="C15771" s="51"/>
      <c r="D15771" s="51"/>
    </row>
    <row r="15772" spans="3:4" x14ac:dyDescent="0.35">
      <c r="C15772" s="51"/>
      <c r="D15772" s="51"/>
    </row>
    <row r="15773" spans="3:4" x14ac:dyDescent="0.35">
      <c r="C15773" s="51"/>
      <c r="D15773" s="51"/>
    </row>
    <row r="15774" spans="3:4" x14ac:dyDescent="0.35">
      <c r="C15774" s="51"/>
      <c r="D15774" s="51"/>
    </row>
    <row r="15775" spans="3:4" x14ac:dyDescent="0.35">
      <c r="C15775" s="51"/>
      <c r="D15775" s="51"/>
    </row>
    <row r="15776" spans="3:4" x14ac:dyDescent="0.35">
      <c r="C15776" s="51"/>
      <c r="D15776" s="51"/>
    </row>
    <row r="15777" spans="3:4" x14ac:dyDescent="0.35">
      <c r="C15777" s="51"/>
      <c r="D15777" s="51"/>
    </row>
    <row r="15778" spans="3:4" x14ac:dyDescent="0.35">
      <c r="C15778" s="51"/>
      <c r="D15778" s="51"/>
    </row>
    <row r="15779" spans="3:4" x14ac:dyDescent="0.35">
      <c r="C15779" s="51"/>
      <c r="D15779" s="51"/>
    </row>
    <row r="15780" spans="3:4" x14ac:dyDescent="0.35">
      <c r="C15780" s="51"/>
      <c r="D15780" s="51"/>
    </row>
    <row r="15781" spans="3:4" x14ac:dyDescent="0.35">
      <c r="C15781" s="51"/>
      <c r="D15781" s="51"/>
    </row>
    <row r="15782" spans="3:4" x14ac:dyDescent="0.35">
      <c r="C15782" s="51"/>
      <c r="D15782" s="51"/>
    </row>
    <row r="15783" spans="3:4" x14ac:dyDescent="0.35">
      <c r="C15783" s="51"/>
      <c r="D15783" s="51"/>
    </row>
    <row r="15784" spans="3:4" x14ac:dyDescent="0.35">
      <c r="C15784" s="51"/>
      <c r="D15784" s="51"/>
    </row>
    <row r="15785" spans="3:4" x14ac:dyDescent="0.35">
      <c r="C15785" s="51"/>
      <c r="D15785" s="51"/>
    </row>
    <row r="15786" spans="3:4" x14ac:dyDescent="0.35">
      <c r="C15786" s="51"/>
      <c r="D15786" s="51"/>
    </row>
    <row r="15787" spans="3:4" x14ac:dyDescent="0.35">
      <c r="C15787" s="51"/>
      <c r="D15787" s="51"/>
    </row>
    <row r="15788" spans="3:4" x14ac:dyDescent="0.35">
      <c r="C15788" s="51"/>
      <c r="D15788" s="51"/>
    </row>
    <row r="15789" spans="3:4" x14ac:dyDescent="0.35">
      <c r="C15789" s="51"/>
      <c r="D15789" s="51"/>
    </row>
    <row r="15790" spans="3:4" x14ac:dyDescent="0.35">
      <c r="C15790" s="51"/>
      <c r="D15790" s="51"/>
    </row>
    <row r="15791" spans="3:4" x14ac:dyDescent="0.35">
      <c r="C15791" s="51"/>
      <c r="D15791" s="51"/>
    </row>
    <row r="15792" spans="3:4" x14ac:dyDescent="0.35">
      <c r="C15792" s="51"/>
      <c r="D15792" s="51"/>
    </row>
    <row r="15793" spans="3:4" x14ac:dyDescent="0.35">
      <c r="C15793" s="51"/>
      <c r="D15793" s="51"/>
    </row>
    <row r="15794" spans="3:4" x14ac:dyDescent="0.35">
      <c r="C15794" s="51"/>
      <c r="D15794" s="51"/>
    </row>
    <row r="15795" spans="3:4" x14ac:dyDescent="0.35">
      <c r="C15795" s="51"/>
      <c r="D15795" s="51"/>
    </row>
    <row r="15796" spans="3:4" x14ac:dyDescent="0.35">
      <c r="C15796" s="51"/>
      <c r="D15796" s="51"/>
    </row>
    <row r="15797" spans="3:4" x14ac:dyDescent="0.35">
      <c r="C15797" s="51"/>
      <c r="D15797" s="51"/>
    </row>
    <row r="15798" spans="3:4" x14ac:dyDescent="0.35">
      <c r="C15798" s="51"/>
      <c r="D15798" s="51"/>
    </row>
    <row r="15799" spans="3:4" x14ac:dyDescent="0.35">
      <c r="C15799" s="51"/>
      <c r="D15799" s="51"/>
    </row>
    <row r="15800" spans="3:4" x14ac:dyDescent="0.35">
      <c r="C15800" s="51"/>
      <c r="D15800" s="51"/>
    </row>
    <row r="15801" spans="3:4" x14ac:dyDescent="0.35">
      <c r="C15801" s="51"/>
      <c r="D15801" s="51"/>
    </row>
    <row r="15802" spans="3:4" x14ac:dyDescent="0.35">
      <c r="C15802" s="51"/>
      <c r="D15802" s="51"/>
    </row>
    <row r="15803" spans="3:4" x14ac:dyDescent="0.35">
      <c r="C15803" s="51"/>
      <c r="D15803" s="51"/>
    </row>
    <row r="15804" spans="3:4" x14ac:dyDescent="0.35">
      <c r="C15804" s="51"/>
      <c r="D15804" s="51"/>
    </row>
    <row r="15805" spans="3:4" x14ac:dyDescent="0.35">
      <c r="C15805" s="51"/>
      <c r="D15805" s="51"/>
    </row>
    <row r="15806" spans="3:4" x14ac:dyDescent="0.35">
      <c r="C15806" s="51"/>
      <c r="D15806" s="51"/>
    </row>
    <row r="15807" spans="3:4" x14ac:dyDescent="0.35">
      <c r="C15807" s="51"/>
      <c r="D15807" s="51"/>
    </row>
    <row r="15808" spans="3:4" x14ac:dyDescent="0.35">
      <c r="C15808" s="51"/>
      <c r="D15808" s="51"/>
    </row>
    <row r="15809" spans="3:4" x14ac:dyDescent="0.35">
      <c r="C15809" s="51"/>
      <c r="D15809" s="51"/>
    </row>
    <row r="15810" spans="3:4" x14ac:dyDescent="0.35">
      <c r="C15810" s="51"/>
      <c r="D15810" s="51"/>
    </row>
    <row r="15811" spans="3:4" x14ac:dyDescent="0.35">
      <c r="C15811" s="51"/>
      <c r="D15811" s="51"/>
    </row>
    <row r="15812" spans="3:4" x14ac:dyDescent="0.35">
      <c r="C15812" s="51"/>
      <c r="D15812" s="51"/>
    </row>
    <row r="15813" spans="3:4" x14ac:dyDescent="0.35">
      <c r="C15813" s="51"/>
      <c r="D15813" s="51"/>
    </row>
    <row r="15814" spans="3:4" x14ac:dyDescent="0.35">
      <c r="C15814" s="51"/>
      <c r="D15814" s="51"/>
    </row>
    <row r="15815" spans="3:4" x14ac:dyDescent="0.35">
      <c r="C15815" s="51"/>
      <c r="D15815" s="51"/>
    </row>
    <row r="15816" spans="3:4" x14ac:dyDescent="0.35">
      <c r="C15816" s="51"/>
      <c r="D15816" s="51"/>
    </row>
    <row r="15817" spans="3:4" x14ac:dyDescent="0.35">
      <c r="C15817" s="51"/>
      <c r="D15817" s="51"/>
    </row>
    <row r="15818" spans="3:4" x14ac:dyDescent="0.35">
      <c r="C15818" s="51"/>
      <c r="D15818" s="51"/>
    </row>
    <row r="15819" spans="3:4" x14ac:dyDescent="0.35">
      <c r="C15819" s="51"/>
      <c r="D15819" s="51"/>
    </row>
    <row r="15820" spans="3:4" x14ac:dyDescent="0.35">
      <c r="C15820" s="51"/>
      <c r="D15820" s="51"/>
    </row>
    <row r="15821" spans="3:4" x14ac:dyDescent="0.35">
      <c r="C15821" s="51"/>
      <c r="D15821" s="51"/>
    </row>
    <row r="15822" spans="3:4" x14ac:dyDescent="0.35">
      <c r="C15822" s="51"/>
      <c r="D15822" s="51"/>
    </row>
    <row r="15823" spans="3:4" x14ac:dyDescent="0.35">
      <c r="C15823" s="51"/>
      <c r="D15823" s="51"/>
    </row>
    <row r="15824" spans="3:4" x14ac:dyDescent="0.35">
      <c r="C15824" s="51"/>
      <c r="D15824" s="51"/>
    </row>
    <row r="15825" spans="3:4" x14ac:dyDescent="0.35">
      <c r="C15825" s="51"/>
      <c r="D15825" s="51"/>
    </row>
    <row r="15826" spans="3:4" x14ac:dyDescent="0.35">
      <c r="C15826" s="51"/>
      <c r="D15826" s="51"/>
    </row>
    <row r="15827" spans="3:4" x14ac:dyDescent="0.35">
      <c r="C15827" s="51"/>
      <c r="D15827" s="51"/>
    </row>
    <row r="15828" spans="3:4" x14ac:dyDescent="0.35">
      <c r="C15828" s="51"/>
      <c r="D15828" s="51"/>
    </row>
    <row r="15829" spans="3:4" x14ac:dyDescent="0.35">
      <c r="C15829" s="51"/>
      <c r="D15829" s="51"/>
    </row>
    <row r="15830" spans="3:4" x14ac:dyDescent="0.35">
      <c r="C15830" s="51"/>
      <c r="D15830" s="51"/>
    </row>
    <row r="15831" spans="3:4" x14ac:dyDescent="0.35">
      <c r="C15831" s="51"/>
      <c r="D15831" s="51"/>
    </row>
    <row r="15832" spans="3:4" x14ac:dyDescent="0.35">
      <c r="C15832" s="51"/>
      <c r="D15832" s="51"/>
    </row>
    <row r="15833" spans="3:4" x14ac:dyDescent="0.35">
      <c r="C15833" s="51"/>
      <c r="D15833" s="51"/>
    </row>
    <row r="15834" spans="3:4" x14ac:dyDescent="0.35">
      <c r="C15834" s="51"/>
      <c r="D15834" s="51"/>
    </row>
    <row r="15835" spans="3:4" x14ac:dyDescent="0.35">
      <c r="C15835" s="51"/>
      <c r="D15835" s="51"/>
    </row>
    <row r="15836" spans="3:4" x14ac:dyDescent="0.35">
      <c r="C15836" s="51"/>
      <c r="D15836" s="51"/>
    </row>
    <row r="15837" spans="3:4" x14ac:dyDescent="0.35">
      <c r="C15837" s="51"/>
      <c r="D15837" s="51"/>
    </row>
    <row r="15838" spans="3:4" x14ac:dyDescent="0.35">
      <c r="C15838" s="51"/>
      <c r="D15838" s="51"/>
    </row>
    <row r="15839" spans="3:4" x14ac:dyDescent="0.35">
      <c r="C15839" s="51"/>
      <c r="D15839" s="51"/>
    </row>
    <row r="15840" spans="3:4" x14ac:dyDescent="0.35">
      <c r="C15840" s="51"/>
      <c r="D15840" s="51"/>
    </row>
    <row r="15841" spans="3:4" x14ac:dyDescent="0.35">
      <c r="C15841" s="51"/>
      <c r="D15841" s="51"/>
    </row>
    <row r="15842" spans="3:4" x14ac:dyDescent="0.35">
      <c r="C15842" s="51"/>
      <c r="D15842" s="51"/>
    </row>
    <row r="15843" spans="3:4" x14ac:dyDescent="0.35">
      <c r="C15843" s="51"/>
      <c r="D15843" s="51"/>
    </row>
    <row r="15844" spans="3:4" x14ac:dyDescent="0.35">
      <c r="C15844" s="51"/>
      <c r="D15844" s="51"/>
    </row>
    <row r="15845" spans="3:4" x14ac:dyDescent="0.35">
      <c r="C15845" s="51"/>
      <c r="D15845" s="51"/>
    </row>
    <row r="15846" spans="3:4" x14ac:dyDescent="0.35">
      <c r="C15846" s="51"/>
      <c r="D15846" s="51"/>
    </row>
    <row r="15847" spans="3:4" x14ac:dyDescent="0.35">
      <c r="C15847" s="51"/>
      <c r="D15847" s="51"/>
    </row>
    <row r="15848" spans="3:4" x14ac:dyDescent="0.35">
      <c r="C15848" s="51"/>
      <c r="D15848" s="51"/>
    </row>
    <row r="15849" spans="3:4" x14ac:dyDescent="0.35">
      <c r="C15849" s="51"/>
      <c r="D15849" s="51"/>
    </row>
    <row r="15850" spans="3:4" x14ac:dyDescent="0.35">
      <c r="C15850" s="51"/>
      <c r="D15850" s="51"/>
    </row>
    <row r="15851" spans="3:4" x14ac:dyDescent="0.35">
      <c r="C15851" s="51"/>
      <c r="D15851" s="51"/>
    </row>
    <row r="15852" spans="3:4" x14ac:dyDescent="0.35">
      <c r="C15852" s="51"/>
      <c r="D15852" s="51"/>
    </row>
    <row r="15853" spans="3:4" x14ac:dyDescent="0.35">
      <c r="C15853" s="51"/>
      <c r="D15853" s="51"/>
    </row>
    <row r="15854" spans="3:4" x14ac:dyDescent="0.35">
      <c r="C15854" s="51"/>
      <c r="D15854" s="51"/>
    </row>
    <row r="15855" spans="3:4" x14ac:dyDescent="0.35">
      <c r="C15855" s="51"/>
      <c r="D15855" s="51"/>
    </row>
    <row r="15856" spans="3:4" x14ac:dyDescent="0.35">
      <c r="C15856" s="51"/>
      <c r="D15856" s="51"/>
    </row>
    <row r="15857" spans="3:4" x14ac:dyDescent="0.35">
      <c r="C15857" s="51"/>
      <c r="D15857" s="51"/>
    </row>
    <row r="15858" spans="3:4" x14ac:dyDescent="0.35">
      <c r="C15858" s="51"/>
      <c r="D15858" s="51"/>
    </row>
    <row r="15859" spans="3:4" x14ac:dyDescent="0.35">
      <c r="C15859" s="51"/>
      <c r="D15859" s="51"/>
    </row>
    <row r="15860" spans="3:4" x14ac:dyDescent="0.35">
      <c r="C15860" s="51"/>
      <c r="D15860" s="51"/>
    </row>
    <row r="15861" spans="3:4" x14ac:dyDescent="0.35">
      <c r="C15861" s="51"/>
      <c r="D15861" s="51"/>
    </row>
    <row r="15862" spans="3:4" x14ac:dyDescent="0.35">
      <c r="C15862" s="51"/>
      <c r="D15862" s="51"/>
    </row>
    <row r="15863" spans="3:4" x14ac:dyDescent="0.35">
      <c r="C15863" s="51"/>
      <c r="D15863" s="51"/>
    </row>
    <row r="15864" spans="3:4" x14ac:dyDescent="0.35">
      <c r="C15864" s="51"/>
      <c r="D15864" s="51"/>
    </row>
    <row r="15865" spans="3:4" x14ac:dyDescent="0.35">
      <c r="C15865" s="51"/>
      <c r="D15865" s="51"/>
    </row>
    <row r="15866" spans="3:4" x14ac:dyDescent="0.35">
      <c r="C15866" s="51"/>
      <c r="D15866" s="51"/>
    </row>
    <row r="15867" spans="3:4" x14ac:dyDescent="0.35">
      <c r="C15867" s="51"/>
      <c r="D15867" s="51"/>
    </row>
    <row r="15868" spans="3:4" x14ac:dyDescent="0.35">
      <c r="C15868" s="51"/>
      <c r="D15868" s="51"/>
    </row>
    <row r="15869" spans="3:4" x14ac:dyDescent="0.35">
      <c r="C15869" s="51"/>
      <c r="D15869" s="51"/>
    </row>
    <row r="15870" spans="3:4" x14ac:dyDescent="0.35">
      <c r="C15870" s="51"/>
      <c r="D15870" s="51"/>
    </row>
    <row r="15871" spans="3:4" x14ac:dyDescent="0.35">
      <c r="C15871" s="51"/>
      <c r="D15871" s="51"/>
    </row>
    <row r="15872" spans="3:4" x14ac:dyDescent="0.35">
      <c r="C15872" s="51"/>
      <c r="D15872" s="51"/>
    </row>
    <row r="15873" spans="3:4" x14ac:dyDescent="0.35">
      <c r="C15873" s="51"/>
      <c r="D15873" s="51"/>
    </row>
    <row r="15874" spans="3:4" x14ac:dyDescent="0.35">
      <c r="C15874" s="51"/>
      <c r="D15874" s="51"/>
    </row>
    <row r="15875" spans="3:4" x14ac:dyDescent="0.35">
      <c r="C15875" s="51"/>
      <c r="D15875" s="51"/>
    </row>
    <row r="15876" spans="3:4" x14ac:dyDescent="0.35">
      <c r="C15876" s="51"/>
      <c r="D15876" s="51"/>
    </row>
    <row r="15877" spans="3:4" x14ac:dyDescent="0.35">
      <c r="C15877" s="51"/>
      <c r="D15877" s="51"/>
    </row>
    <row r="15878" spans="3:4" x14ac:dyDescent="0.35">
      <c r="C15878" s="51"/>
      <c r="D15878" s="51"/>
    </row>
    <row r="15879" spans="3:4" x14ac:dyDescent="0.35">
      <c r="C15879" s="51"/>
      <c r="D15879" s="51"/>
    </row>
    <row r="15880" spans="3:4" x14ac:dyDescent="0.35">
      <c r="C15880" s="51"/>
      <c r="D15880" s="51"/>
    </row>
    <row r="15881" spans="3:4" x14ac:dyDescent="0.35">
      <c r="C15881" s="51"/>
      <c r="D15881" s="51"/>
    </row>
    <row r="15882" spans="3:4" x14ac:dyDescent="0.35">
      <c r="C15882" s="51"/>
      <c r="D15882" s="51"/>
    </row>
    <row r="15883" spans="3:4" x14ac:dyDescent="0.35">
      <c r="C15883" s="51"/>
      <c r="D15883" s="51"/>
    </row>
    <row r="15884" spans="3:4" x14ac:dyDescent="0.35">
      <c r="C15884" s="51"/>
      <c r="D15884" s="51"/>
    </row>
    <row r="15885" spans="3:4" x14ac:dyDescent="0.35">
      <c r="C15885" s="51"/>
      <c r="D15885" s="51"/>
    </row>
    <row r="15886" spans="3:4" x14ac:dyDescent="0.35">
      <c r="C15886" s="51"/>
      <c r="D15886" s="51"/>
    </row>
    <row r="15887" spans="3:4" x14ac:dyDescent="0.35">
      <c r="C15887" s="51"/>
      <c r="D15887" s="51"/>
    </row>
    <row r="15888" spans="3:4" x14ac:dyDescent="0.35">
      <c r="C15888" s="51"/>
      <c r="D15888" s="51"/>
    </row>
    <row r="15889" spans="3:4" x14ac:dyDescent="0.35">
      <c r="C15889" s="51"/>
      <c r="D15889" s="51"/>
    </row>
    <row r="15890" spans="3:4" x14ac:dyDescent="0.35">
      <c r="C15890" s="51"/>
      <c r="D15890" s="51"/>
    </row>
    <row r="15891" spans="3:4" x14ac:dyDescent="0.35">
      <c r="C15891" s="51"/>
      <c r="D15891" s="51"/>
    </row>
    <row r="15892" spans="3:4" x14ac:dyDescent="0.35">
      <c r="C15892" s="51"/>
      <c r="D15892" s="51"/>
    </row>
    <row r="15893" spans="3:4" x14ac:dyDescent="0.35">
      <c r="C15893" s="51"/>
      <c r="D15893" s="51"/>
    </row>
    <row r="15894" spans="3:4" x14ac:dyDescent="0.35">
      <c r="C15894" s="51"/>
      <c r="D15894" s="51"/>
    </row>
    <row r="15895" spans="3:4" x14ac:dyDescent="0.35">
      <c r="C15895" s="51"/>
      <c r="D15895" s="51"/>
    </row>
    <row r="15896" spans="3:4" x14ac:dyDescent="0.35">
      <c r="C15896" s="51"/>
      <c r="D15896" s="51"/>
    </row>
    <row r="15897" spans="3:4" x14ac:dyDescent="0.35">
      <c r="C15897" s="51"/>
      <c r="D15897" s="51"/>
    </row>
    <row r="15898" spans="3:4" x14ac:dyDescent="0.35">
      <c r="C15898" s="51"/>
      <c r="D15898" s="51"/>
    </row>
    <row r="15899" spans="3:4" x14ac:dyDescent="0.35">
      <c r="C15899" s="51"/>
      <c r="D15899" s="51"/>
    </row>
    <row r="15900" spans="3:4" x14ac:dyDescent="0.35">
      <c r="C15900" s="51"/>
      <c r="D15900" s="51"/>
    </row>
    <row r="15901" spans="3:4" x14ac:dyDescent="0.35">
      <c r="C15901" s="51"/>
      <c r="D15901" s="51"/>
    </row>
    <row r="15902" spans="3:4" x14ac:dyDescent="0.35">
      <c r="C15902" s="51"/>
      <c r="D15902" s="51"/>
    </row>
    <row r="15903" spans="3:4" x14ac:dyDescent="0.35">
      <c r="C15903" s="51"/>
      <c r="D15903" s="51"/>
    </row>
    <row r="15904" spans="3:4" x14ac:dyDescent="0.35">
      <c r="C15904" s="51"/>
      <c r="D15904" s="51"/>
    </row>
    <row r="15905" spans="3:4" x14ac:dyDescent="0.35">
      <c r="C15905" s="51"/>
      <c r="D15905" s="51"/>
    </row>
    <row r="15906" spans="3:4" x14ac:dyDescent="0.35">
      <c r="C15906" s="51"/>
      <c r="D15906" s="51"/>
    </row>
    <row r="15907" spans="3:4" x14ac:dyDescent="0.35">
      <c r="C15907" s="51"/>
      <c r="D15907" s="51"/>
    </row>
    <row r="15908" spans="3:4" x14ac:dyDescent="0.35">
      <c r="C15908" s="51"/>
      <c r="D15908" s="51"/>
    </row>
    <row r="15909" spans="3:4" x14ac:dyDescent="0.35">
      <c r="C15909" s="51"/>
      <c r="D15909" s="51"/>
    </row>
    <row r="15910" spans="3:4" x14ac:dyDescent="0.35">
      <c r="C15910" s="51"/>
      <c r="D15910" s="51"/>
    </row>
    <row r="15911" spans="3:4" x14ac:dyDescent="0.35">
      <c r="C15911" s="51"/>
      <c r="D15911" s="51"/>
    </row>
    <row r="15912" spans="3:4" x14ac:dyDescent="0.35">
      <c r="C15912" s="51"/>
      <c r="D15912" s="51"/>
    </row>
    <row r="15913" spans="3:4" x14ac:dyDescent="0.35">
      <c r="C15913" s="51"/>
      <c r="D15913" s="51"/>
    </row>
    <row r="15914" spans="3:4" x14ac:dyDescent="0.35">
      <c r="C15914" s="51"/>
      <c r="D15914" s="51"/>
    </row>
    <row r="15915" spans="3:4" x14ac:dyDescent="0.35">
      <c r="C15915" s="51"/>
      <c r="D15915" s="51"/>
    </row>
    <row r="15916" spans="3:4" x14ac:dyDescent="0.35">
      <c r="C15916" s="51"/>
      <c r="D15916" s="51"/>
    </row>
    <row r="15917" spans="3:4" x14ac:dyDescent="0.35">
      <c r="C15917" s="51"/>
      <c r="D15917" s="51"/>
    </row>
    <row r="15918" spans="3:4" x14ac:dyDescent="0.35">
      <c r="C15918" s="51"/>
      <c r="D15918" s="51"/>
    </row>
    <row r="15919" spans="3:4" x14ac:dyDescent="0.35">
      <c r="C15919" s="51"/>
      <c r="D15919" s="51"/>
    </row>
    <row r="15920" spans="3:4" x14ac:dyDescent="0.35">
      <c r="C15920" s="51"/>
      <c r="D15920" s="51"/>
    </row>
    <row r="15921" spans="3:4" x14ac:dyDescent="0.35">
      <c r="C15921" s="51"/>
      <c r="D15921" s="51"/>
    </row>
    <row r="15922" spans="3:4" x14ac:dyDescent="0.35">
      <c r="C15922" s="51"/>
      <c r="D15922" s="51"/>
    </row>
    <row r="15923" spans="3:4" x14ac:dyDescent="0.35">
      <c r="C15923" s="51"/>
      <c r="D15923" s="51"/>
    </row>
    <row r="15924" spans="3:4" x14ac:dyDescent="0.35">
      <c r="C15924" s="51"/>
      <c r="D15924" s="51"/>
    </row>
    <row r="15925" spans="3:4" x14ac:dyDescent="0.35">
      <c r="C15925" s="51"/>
      <c r="D15925" s="51"/>
    </row>
    <row r="15926" spans="3:4" x14ac:dyDescent="0.35">
      <c r="C15926" s="51"/>
      <c r="D15926" s="51"/>
    </row>
    <row r="15927" spans="3:4" x14ac:dyDescent="0.35">
      <c r="C15927" s="51"/>
      <c r="D15927" s="51"/>
    </row>
    <row r="15928" spans="3:4" x14ac:dyDescent="0.35">
      <c r="C15928" s="51"/>
      <c r="D15928" s="51"/>
    </row>
    <row r="15929" spans="3:4" x14ac:dyDescent="0.35">
      <c r="C15929" s="51"/>
      <c r="D15929" s="51"/>
    </row>
    <row r="15930" spans="3:4" x14ac:dyDescent="0.35">
      <c r="C15930" s="51"/>
      <c r="D15930" s="51"/>
    </row>
    <row r="15931" spans="3:4" x14ac:dyDescent="0.35">
      <c r="C15931" s="51"/>
      <c r="D15931" s="51"/>
    </row>
    <row r="15932" spans="3:4" x14ac:dyDescent="0.35">
      <c r="C15932" s="51"/>
      <c r="D15932" s="51"/>
    </row>
    <row r="15933" spans="3:4" x14ac:dyDescent="0.35">
      <c r="C15933" s="51"/>
      <c r="D15933" s="51"/>
    </row>
    <row r="15934" spans="3:4" x14ac:dyDescent="0.35">
      <c r="C15934" s="51"/>
      <c r="D15934" s="51"/>
    </row>
    <row r="15935" spans="3:4" x14ac:dyDescent="0.35">
      <c r="C15935" s="51"/>
      <c r="D15935" s="51"/>
    </row>
    <row r="15936" spans="3:4" x14ac:dyDescent="0.35">
      <c r="C15936" s="51"/>
      <c r="D15936" s="51"/>
    </row>
    <row r="15937" spans="3:4" x14ac:dyDescent="0.35">
      <c r="C15937" s="51"/>
      <c r="D15937" s="51"/>
    </row>
    <row r="15938" spans="3:4" x14ac:dyDescent="0.35">
      <c r="C15938" s="51"/>
      <c r="D15938" s="51"/>
    </row>
    <row r="15939" spans="3:4" x14ac:dyDescent="0.35">
      <c r="C15939" s="51"/>
      <c r="D15939" s="51"/>
    </row>
    <row r="15940" spans="3:4" x14ac:dyDescent="0.35">
      <c r="C15940" s="51"/>
      <c r="D15940" s="51"/>
    </row>
    <row r="15941" spans="3:4" x14ac:dyDescent="0.35">
      <c r="C15941" s="51"/>
      <c r="D15941" s="51"/>
    </row>
    <row r="15942" spans="3:4" x14ac:dyDescent="0.35">
      <c r="C15942" s="51"/>
      <c r="D15942" s="51"/>
    </row>
    <row r="15943" spans="3:4" x14ac:dyDescent="0.35">
      <c r="C15943" s="51"/>
      <c r="D15943" s="51"/>
    </row>
    <row r="15944" spans="3:4" x14ac:dyDescent="0.35">
      <c r="C15944" s="51"/>
      <c r="D15944" s="51"/>
    </row>
    <row r="15945" spans="3:4" x14ac:dyDescent="0.35">
      <c r="C15945" s="51"/>
      <c r="D15945" s="51"/>
    </row>
    <row r="15946" spans="3:4" x14ac:dyDescent="0.35">
      <c r="C15946" s="51"/>
      <c r="D15946" s="51"/>
    </row>
    <row r="15947" spans="3:4" x14ac:dyDescent="0.35">
      <c r="C15947" s="51"/>
      <c r="D15947" s="51"/>
    </row>
    <row r="15948" spans="3:4" x14ac:dyDescent="0.35">
      <c r="C15948" s="51"/>
      <c r="D15948" s="51"/>
    </row>
    <row r="15949" spans="3:4" x14ac:dyDescent="0.35">
      <c r="C15949" s="51"/>
      <c r="D15949" s="51"/>
    </row>
    <row r="15950" spans="3:4" x14ac:dyDescent="0.35">
      <c r="C15950" s="51"/>
      <c r="D15950" s="51"/>
    </row>
    <row r="15951" spans="3:4" x14ac:dyDescent="0.35">
      <c r="C15951" s="51"/>
      <c r="D15951" s="51"/>
    </row>
    <row r="15952" spans="3:4" x14ac:dyDescent="0.35">
      <c r="C15952" s="51"/>
      <c r="D15952" s="51"/>
    </row>
    <row r="15953" spans="3:4" x14ac:dyDescent="0.35">
      <c r="C15953" s="51"/>
      <c r="D15953" s="51"/>
    </row>
    <row r="15954" spans="3:4" x14ac:dyDescent="0.35">
      <c r="C15954" s="51"/>
      <c r="D15954" s="51"/>
    </row>
    <row r="15955" spans="3:4" x14ac:dyDescent="0.35">
      <c r="C15955" s="51"/>
      <c r="D15955" s="51"/>
    </row>
    <row r="15956" spans="3:4" x14ac:dyDescent="0.35">
      <c r="C15956" s="51"/>
      <c r="D15956" s="51"/>
    </row>
    <row r="15957" spans="3:4" x14ac:dyDescent="0.35">
      <c r="C15957" s="51"/>
      <c r="D15957" s="51"/>
    </row>
    <row r="15958" spans="3:4" x14ac:dyDescent="0.35">
      <c r="C15958" s="51"/>
      <c r="D15958" s="51"/>
    </row>
    <row r="15959" spans="3:4" x14ac:dyDescent="0.35">
      <c r="C15959" s="51"/>
      <c r="D15959" s="51"/>
    </row>
    <row r="15960" spans="3:4" x14ac:dyDescent="0.35">
      <c r="C15960" s="51"/>
      <c r="D15960" s="51"/>
    </row>
    <row r="15961" spans="3:4" x14ac:dyDescent="0.35">
      <c r="C15961" s="51"/>
      <c r="D15961" s="51"/>
    </row>
    <row r="15962" spans="3:4" x14ac:dyDescent="0.35">
      <c r="C15962" s="51"/>
      <c r="D15962" s="51"/>
    </row>
    <row r="15963" spans="3:4" x14ac:dyDescent="0.35">
      <c r="C15963" s="51"/>
      <c r="D15963" s="51"/>
    </row>
    <row r="15964" spans="3:4" x14ac:dyDescent="0.35">
      <c r="C15964" s="51"/>
      <c r="D15964" s="51"/>
    </row>
    <row r="15965" spans="3:4" x14ac:dyDescent="0.35">
      <c r="C15965" s="51"/>
      <c r="D15965" s="51"/>
    </row>
    <row r="15966" spans="3:4" x14ac:dyDescent="0.35">
      <c r="C15966" s="51"/>
      <c r="D15966" s="51"/>
    </row>
    <row r="15967" spans="3:4" x14ac:dyDescent="0.35">
      <c r="C15967" s="51"/>
      <c r="D15967" s="51"/>
    </row>
    <row r="15968" spans="3:4" x14ac:dyDescent="0.35">
      <c r="C15968" s="51"/>
      <c r="D15968" s="51"/>
    </row>
    <row r="15969" spans="3:4" x14ac:dyDescent="0.35">
      <c r="C15969" s="51"/>
      <c r="D15969" s="51"/>
    </row>
    <row r="15970" spans="3:4" x14ac:dyDescent="0.35">
      <c r="C15970" s="51"/>
      <c r="D15970" s="51"/>
    </row>
    <row r="15971" spans="3:4" x14ac:dyDescent="0.35">
      <c r="C15971" s="51"/>
      <c r="D15971" s="51"/>
    </row>
    <row r="15972" spans="3:4" x14ac:dyDescent="0.35">
      <c r="C15972" s="51"/>
      <c r="D15972" s="51"/>
    </row>
    <row r="15973" spans="3:4" x14ac:dyDescent="0.35">
      <c r="C15973" s="51"/>
      <c r="D15973" s="51"/>
    </row>
    <row r="15974" spans="3:4" x14ac:dyDescent="0.35">
      <c r="C15974" s="51"/>
      <c r="D15974" s="51"/>
    </row>
    <row r="15975" spans="3:4" x14ac:dyDescent="0.35">
      <c r="C15975" s="51"/>
      <c r="D15975" s="51"/>
    </row>
    <row r="15976" spans="3:4" x14ac:dyDescent="0.35">
      <c r="C15976" s="51"/>
      <c r="D15976" s="51"/>
    </row>
    <row r="15977" spans="3:4" x14ac:dyDescent="0.35">
      <c r="C15977" s="51"/>
      <c r="D15977" s="51"/>
    </row>
    <row r="15978" spans="3:4" x14ac:dyDescent="0.35">
      <c r="C15978" s="51"/>
      <c r="D15978" s="51"/>
    </row>
    <row r="15979" spans="3:4" x14ac:dyDescent="0.35">
      <c r="C15979" s="51"/>
      <c r="D15979" s="51"/>
    </row>
    <row r="15980" spans="3:4" x14ac:dyDescent="0.35">
      <c r="C15980" s="51"/>
      <c r="D15980" s="51"/>
    </row>
    <row r="15981" spans="3:4" x14ac:dyDescent="0.35">
      <c r="C15981" s="51"/>
      <c r="D15981" s="51"/>
    </row>
    <row r="15982" spans="3:4" x14ac:dyDescent="0.35">
      <c r="C15982" s="51"/>
      <c r="D15982" s="51"/>
    </row>
    <row r="15983" spans="3:4" x14ac:dyDescent="0.35">
      <c r="C15983" s="51"/>
      <c r="D15983" s="51"/>
    </row>
    <row r="15984" spans="3:4" x14ac:dyDescent="0.35">
      <c r="C15984" s="51"/>
      <c r="D15984" s="51"/>
    </row>
    <row r="15985" spans="3:4" x14ac:dyDescent="0.35">
      <c r="C15985" s="51"/>
      <c r="D15985" s="51"/>
    </row>
    <row r="15986" spans="3:4" x14ac:dyDescent="0.35">
      <c r="C15986" s="51"/>
      <c r="D15986" s="51"/>
    </row>
    <row r="15987" spans="3:4" x14ac:dyDescent="0.35">
      <c r="C15987" s="51"/>
      <c r="D15987" s="51"/>
    </row>
    <row r="15988" spans="3:4" x14ac:dyDescent="0.35">
      <c r="C15988" s="51"/>
      <c r="D15988" s="51"/>
    </row>
    <row r="15989" spans="3:4" x14ac:dyDescent="0.35">
      <c r="C15989" s="51"/>
      <c r="D15989" s="51"/>
    </row>
    <row r="15990" spans="3:4" x14ac:dyDescent="0.35">
      <c r="C15990" s="51"/>
      <c r="D15990" s="51"/>
    </row>
    <row r="15991" spans="3:4" x14ac:dyDescent="0.35">
      <c r="C15991" s="51"/>
      <c r="D15991" s="51"/>
    </row>
    <row r="15992" spans="3:4" x14ac:dyDescent="0.35">
      <c r="C15992" s="51"/>
      <c r="D15992" s="51"/>
    </row>
    <row r="15993" spans="3:4" x14ac:dyDescent="0.35">
      <c r="C15993" s="51"/>
      <c r="D15993" s="51"/>
    </row>
    <row r="15994" spans="3:4" x14ac:dyDescent="0.35">
      <c r="C15994" s="51"/>
      <c r="D15994" s="51"/>
    </row>
    <row r="15995" spans="3:4" x14ac:dyDescent="0.35">
      <c r="C15995" s="51"/>
      <c r="D15995" s="51"/>
    </row>
    <row r="15996" spans="3:4" x14ac:dyDescent="0.35">
      <c r="C15996" s="51"/>
      <c r="D15996" s="51"/>
    </row>
    <row r="15997" spans="3:4" x14ac:dyDescent="0.35">
      <c r="C15997" s="51"/>
      <c r="D15997" s="51"/>
    </row>
    <row r="15998" spans="3:4" x14ac:dyDescent="0.35">
      <c r="C15998" s="51"/>
      <c r="D15998" s="51"/>
    </row>
    <row r="15999" spans="3:4" x14ac:dyDescent="0.35">
      <c r="C15999" s="51"/>
      <c r="D15999" s="51"/>
    </row>
    <row r="16000" spans="3:4" x14ac:dyDescent="0.35">
      <c r="C16000" s="51"/>
      <c r="D16000" s="51"/>
    </row>
    <row r="16001" spans="3:4" x14ac:dyDescent="0.35">
      <c r="C16001" s="51"/>
      <c r="D16001" s="51"/>
    </row>
    <row r="16002" spans="3:4" x14ac:dyDescent="0.35">
      <c r="C16002" s="51"/>
      <c r="D16002" s="51"/>
    </row>
    <row r="16003" spans="3:4" x14ac:dyDescent="0.35">
      <c r="C16003" s="51"/>
      <c r="D16003" s="51"/>
    </row>
    <row r="16004" spans="3:4" x14ac:dyDescent="0.35">
      <c r="C16004" s="51"/>
      <c r="D16004" s="51"/>
    </row>
    <row r="16005" spans="3:4" x14ac:dyDescent="0.35">
      <c r="C16005" s="51"/>
      <c r="D16005" s="51"/>
    </row>
    <row r="16006" spans="3:4" x14ac:dyDescent="0.35">
      <c r="C16006" s="51"/>
      <c r="D16006" s="51"/>
    </row>
    <row r="16007" spans="3:4" x14ac:dyDescent="0.35">
      <c r="C16007" s="51"/>
      <c r="D16007" s="51"/>
    </row>
    <row r="16008" spans="3:4" x14ac:dyDescent="0.35">
      <c r="C16008" s="51"/>
      <c r="D16008" s="51"/>
    </row>
    <row r="16009" spans="3:4" x14ac:dyDescent="0.35">
      <c r="C16009" s="51"/>
      <c r="D16009" s="51"/>
    </row>
    <row r="16010" spans="3:4" x14ac:dyDescent="0.35">
      <c r="C16010" s="51"/>
      <c r="D16010" s="51"/>
    </row>
    <row r="16011" spans="3:4" x14ac:dyDescent="0.35">
      <c r="C16011" s="51"/>
      <c r="D16011" s="51"/>
    </row>
    <row r="16012" spans="3:4" x14ac:dyDescent="0.35">
      <c r="C16012" s="51"/>
      <c r="D16012" s="51"/>
    </row>
    <row r="16013" spans="3:4" x14ac:dyDescent="0.35">
      <c r="C16013" s="51"/>
      <c r="D16013" s="51"/>
    </row>
    <row r="16014" spans="3:4" x14ac:dyDescent="0.35">
      <c r="C16014" s="51"/>
      <c r="D16014" s="51"/>
    </row>
    <row r="16015" spans="3:4" x14ac:dyDescent="0.35">
      <c r="C16015" s="51"/>
      <c r="D16015" s="51"/>
    </row>
    <row r="16016" spans="3:4" x14ac:dyDescent="0.35">
      <c r="C16016" s="51"/>
      <c r="D16016" s="51"/>
    </row>
    <row r="16017" spans="3:4" x14ac:dyDescent="0.35">
      <c r="C16017" s="51"/>
      <c r="D16017" s="51"/>
    </row>
    <row r="16018" spans="3:4" x14ac:dyDescent="0.35">
      <c r="C16018" s="51"/>
      <c r="D16018" s="51"/>
    </row>
    <row r="16019" spans="3:4" x14ac:dyDescent="0.35">
      <c r="C16019" s="51"/>
      <c r="D16019" s="51"/>
    </row>
    <row r="16020" spans="3:4" x14ac:dyDescent="0.35">
      <c r="C16020" s="51"/>
      <c r="D16020" s="51"/>
    </row>
    <row r="16021" spans="3:4" x14ac:dyDescent="0.35">
      <c r="C16021" s="51"/>
      <c r="D16021" s="51"/>
    </row>
    <row r="16022" spans="3:4" x14ac:dyDescent="0.35">
      <c r="C16022" s="51"/>
      <c r="D16022" s="51"/>
    </row>
    <row r="16023" spans="3:4" x14ac:dyDescent="0.35">
      <c r="C16023" s="51"/>
      <c r="D16023" s="51"/>
    </row>
    <row r="16024" spans="3:4" x14ac:dyDescent="0.35">
      <c r="C16024" s="51"/>
      <c r="D16024" s="51"/>
    </row>
    <row r="16025" spans="3:4" x14ac:dyDescent="0.35">
      <c r="C16025" s="51"/>
      <c r="D16025" s="51"/>
    </row>
    <row r="16026" spans="3:4" x14ac:dyDescent="0.35">
      <c r="C16026" s="51"/>
      <c r="D16026" s="51"/>
    </row>
    <row r="16027" spans="3:4" x14ac:dyDescent="0.35">
      <c r="C16027" s="51"/>
      <c r="D16027" s="51"/>
    </row>
    <row r="16028" spans="3:4" x14ac:dyDescent="0.35">
      <c r="C16028" s="51"/>
      <c r="D16028" s="51"/>
    </row>
    <row r="16029" spans="3:4" x14ac:dyDescent="0.35">
      <c r="C16029" s="51"/>
      <c r="D16029" s="51"/>
    </row>
    <row r="16030" spans="3:4" x14ac:dyDescent="0.35">
      <c r="C16030" s="51"/>
      <c r="D16030" s="51"/>
    </row>
    <row r="16031" spans="3:4" x14ac:dyDescent="0.35">
      <c r="C16031" s="51"/>
      <c r="D16031" s="51"/>
    </row>
    <row r="16032" spans="3:4" x14ac:dyDescent="0.35">
      <c r="C16032" s="51"/>
      <c r="D16032" s="51"/>
    </row>
    <row r="16033" spans="3:4" x14ac:dyDescent="0.35">
      <c r="C16033" s="51"/>
      <c r="D16033" s="51"/>
    </row>
    <row r="16034" spans="3:4" x14ac:dyDescent="0.35">
      <c r="C16034" s="51"/>
      <c r="D16034" s="51"/>
    </row>
    <row r="16035" spans="3:4" x14ac:dyDescent="0.35">
      <c r="C16035" s="51"/>
      <c r="D16035" s="51"/>
    </row>
    <row r="16036" spans="3:4" x14ac:dyDescent="0.35">
      <c r="C16036" s="51"/>
      <c r="D16036" s="51"/>
    </row>
    <row r="16037" spans="3:4" x14ac:dyDescent="0.35">
      <c r="C16037" s="51"/>
      <c r="D16037" s="51"/>
    </row>
    <row r="16038" spans="3:4" x14ac:dyDescent="0.35">
      <c r="C16038" s="51"/>
      <c r="D16038" s="51"/>
    </row>
    <row r="16039" spans="3:4" x14ac:dyDescent="0.35">
      <c r="C16039" s="51"/>
      <c r="D16039" s="51"/>
    </row>
    <row r="16040" spans="3:4" x14ac:dyDescent="0.35">
      <c r="C16040" s="51"/>
      <c r="D16040" s="51"/>
    </row>
    <row r="16041" spans="3:4" x14ac:dyDescent="0.35">
      <c r="C16041" s="51"/>
      <c r="D16041" s="51"/>
    </row>
    <row r="16042" spans="3:4" x14ac:dyDescent="0.35">
      <c r="C16042" s="51"/>
      <c r="D16042" s="51"/>
    </row>
    <row r="16043" spans="3:4" x14ac:dyDescent="0.35">
      <c r="C16043" s="51"/>
      <c r="D16043" s="51"/>
    </row>
    <row r="16044" spans="3:4" x14ac:dyDescent="0.35">
      <c r="C16044" s="51"/>
      <c r="D16044" s="51"/>
    </row>
    <row r="16045" spans="3:4" x14ac:dyDescent="0.35">
      <c r="C16045" s="51"/>
      <c r="D16045" s="51"/>
    </row>
    <row r="16046" spans="3:4" x14ac:dyDescent="0.35">
      <c r="C16046" s="51"/>
      <c r="D16046" s="51"/>
    </row>
    <row r="16047" spans="3:4" x14ac:dyDescent="0.35">
      <c r="C16047" s="51"/>
      <c r="D16047" s="51"/>
    </row>
    <row r="16048" spans="3:4" x14ac:dyDescent="0.35">
      <c r="C16048" s="51"/>
      <c r="D16048" s="51"/>
    </row>
    <row r="16049" spans="3:4" x14ac:dyDescent="0.35">
      <c r="C16049" s="51"/>
      <c r="D16049" s="51"/>
    </row>
    <row r="16050" spans="3:4" x14ac:dyDescent="0.35">
      <c r="C16050" s="51"/>
      <c r="D16050" s="51"/>
    </row>
    <row r="16051" spans="3:4" x14ac:dyDescent="0.35">
      <c r="C16051" s="51"/>
      <c r="D16051" s="51"/>
    </row>
    <row r="16052" spans="3:4" x14ac:dyDescent="0.35">
      <c r="C16052" s="51"/>
      <c r="D16052" s="51"/>
    </row>
    <row r="16053" spans="3:4" x14ac:dyDescent="0.35">
      <c r="C16053" s="51"/>
      <c r="D16053" s="51"/>
    </row>
    <row r="16054" spans="3:4" x14ac:dyDescent="0.35">
      <c r="C16054" s="51"/>
      <c r="D16054" s="51"/>
    </row>
    <row r="16055" spans="3:4" x14ac:dyDescent="0.35">
      <c r="C16055" s="51"/>
      <c r="D16055" s="51"/>
    </row>
    <row r="16056" spans="3:4" x14ac:dyDescent="0.35">
      <c r="C16056" s="51"/>
      <c r="D16056" s="51"/>
    </row>
    <row r="16057" spans="3:4" x14ac:dyDescent="0.35">
      <c r="C16057" s="51"/>
      <c r="D16057" s="51"/>
    </row>
    <row r="16058" spans="3:4" x14ac:dyDescent="0.35">
      <c r="C16058" s="51"/>
      <c r="D16058" s="51"/>
    </row>
    <row r="16059" spans="3:4" x14ac:dyDescent="0.35">
      <c r="C16059" s="51"/>
      <c r="D16059" s="51"/>
    </row>
    <row r="16060" spans="3:4" x14ac:dyDescent="0.35">
      <c r="C16060" s="51"/>
      <c r="D16060" s="51"/>
    </row>
    <row r="16061" spans="3:4" x14ac:dyDescent="0.35">
      <c r="C16061" s="51"/>
      <c r="D16061" s="51"/>
    </row>
    <row r="16062" spans="3:4" x14ac:dyDescent="0.35">
      <c r="C16062" s="51"/>
      <c r="D16062" s="51"/>
    </row>
    <row r="16063" spans="3:4" x14ac:dyDescent="0.35">
      <c r="C16063" s="51"/>
      <c r="D16063" s="51"/>
    </row>
    <row r="16064" spans="3:4" x14ac:dyDescent="0.35">
      <c r="C16064" s="51"/>
      <c r="D16064" s="51"/>
    </row>
    <row r="16065" spans="3:4" x14ac:dyDescent="0.35">
      <c r="C16065" s="51"/>
      <c r="D16065" s="51"/>
    </row>
    <row r="16066" spans="3:4" x14ac:dyDescent="0.35">
      <c r="C16066" s="51"/>
      <c r="D16066" s="51"/>
    </row>
    <row r="16067" spans="3:4" x14ac:dyDescent="0.35">
      <c r="C16067" s="51"/>
      <c r="D16067" s="51"/>
    </row>
    <row r="16068" spans="3:4" x14ac:dyDescent="0.35">
      <c r="C16068" s="51"/>
      <c r="D16068" s="51"/>
    </row>
    <row r="16069" spans="3:4" x14ac:dyDescent="0.35">
      <c r="C16069" s="51"/>
      <c r="D16069" s="51"/>
    </row>
    <row r="16070" spans="3:4" x14ac:dyDescent="0.35">
      <c r="C16070" s="51"/>
      <c r="D16070" s="51"/>
    </row>
    <row r="16071" spans="3:4" x14ac:dyDescent="0.35">
      <c r="C16071" s="51"/>
      <c r="D16071" s="51"/>
    </row>
    <row r="16072" spans="3:4" x14ac:dyDescent="0.35">
      <c r="C16072" s="51"/>
      <c r="D16072" s="51"/>
    </row>
    <row r="16073" spans="3:4" x14ac:dyDescent="0.35">
      <c r="C16073" s="51"/>
      <c r="D16073" s="51"/>
    </row>
    <row r="16074" spans="3:4" x14ac:dyDescent="0.35">
      <c r="C16074" s="51"/>
      <c r="D16074" s="51"/>
    </row>
    <row r="16075" spans="3:4" x14ac:dyDescent="0.35">
      <c r="C16075" s="51"/>
      <c r="D16075" s="51"/>
    </row>
    <row r="16076" spans="3:4" x14ac:dyDescent="0.35">
      <c r="C16076" s="51"/>
      <c r="D16076" s="51"/>
    </row>
    <row r="16077" spans="3:4" x14ac:dyDescent="0.35">
      <c r="C16077" s="51"/>
      <c r="D16077" s="51"/>
    </row>
    <row r="16078" spans="3:4" x14ac:dyDescent="0.35">
      <c r="C16078" s="51"/>
      <c r="D16078" s="51"/>
    </row>
    <row r="16079" spans="3:4" x14ac:dyDescent="0.35">
      <c r="C16079" s="51"/>
      <c r="D16079" s="51"/>
    </row>
    <row r="16080" spans="3:4" x14ac:dyDescent="0.35">
      <c r="C16080" s="51"/>
      <c r="D16080" s="51"/>
    </row>
    <row r="16081" spans="3:4" x14ac:dyDescent="0.35">
      <c r="C16081" s="51"/>
      <c r="D16081" s="51"/>
    </row>
    <row r="16082" spans="3:4" x14ac:dyDescent="0.35">
      <c r="C16082" s="51"/>
      <c r="D16082" s="51"/>
    </row>
    <row r="16083" spans="3:4" x14ac:dyDescent="0.35">
      <c r="C16083" s="51"/>
      <c r="D16083" s="51"/>
    </row>
    <row r="16084" spans="3:4" x14ac:dyDescent="0.35">
      <c r="C16084" s="51"/>
      <c r="D16084" s="51"/>
    </row>
    <row r="16085" spans="3:4" x14ac:dyDescent="0.35">
      <c r="C16085" s="51"/>
      <c r="D16085" s="51"/>
    </row>
    <row r="16086" spans="3:4" x14ac:dyDescent="0.35">
      <c r="C16086" s="51"/>
      <c r="D16086" s="51"/>
    </row>
    <row r="16087" spans="3:4" x14ac:dyDescent="0.35">
      <c r="C16087" s="51"/>
      <c r="D16087" s="51"/>
    </row>
    <row r="16088" spans="3:4" x14ac:dyDescent="0.35">
      <c r="C16088" s="51"/>
      <c r="D16088" s="51"/>
    </row>
    <row r="16089" spans="3:4" x14ac:dyDescent="0.35">
      <c r="C16089" s="51"/>
      <c r="D16089" s="51"/>
    </row>
    <row r="16090" spans="3:4" x14ac:dyDescent="0.35">
      <c r="C16090" s="51"/>
      <c r="D16090" s="51"/>
    </row>
    <row r="16091" spans="3:4" x14ac:dyDescent="0.35">
      <c r="C16091" s="51"/>
      <c r="D16091" s="51"/>
    </row>
    <row r="16092" spans="3:4" x14ac:dyDescent="0.35">
      <c r="C16092" s="51"/>
      <c r="D16092" s="51"/>
    </row>
    <row r="16093" spans="3:4" x14ac:dyDescent="0.35">
      <c r="C16093" s="51"/>
      <c r="D16093" s="51"/>
    </row>
    <row r="16094" spans="3:4" x14ac:dyDescent="0.35">
      <c r="C16094" s="51"/>
      <c r="D16094" s="51"/>
    </row>
    <row r="16095" spans="3:4" x14ac:dyDescent="0.35">
      <c r="C16095" s="51"/>
      <c r="D16095" s="51"/>
    </row>
    <row r="16096" spans="3:4" x14ac:dyDescent="0.35">
      <c r="C16096" s="51"/>
      <c r="D16096" s="51"/>
    </row>
    <row r="16097" spans="3:4" x14ac:dyDescent="0.35">
      <c r="C16097" s="51"/>
      <c r="D16097" s="51"/>
    </row>
    <row r="16098" spans="3:4" x14ac:dyDescent="0.35">
      <c r="C16098" s="51"/>
      <c r="D16098" s="51"/>
    </row>
    <row r="16099" spans="3:4" x14ac:dyDescent="0.35">
      <c r="C16099" s="51"/>
      <c r="D16099" s="51"/>
    </row>
    <row r="16100" spans="3:4" x14ac:dyDescent="0.35">
      <c r="C16100" s="51"/>
      <c r="D16100" s="51"/>
    </row>
    <row r="16101" spans="3:4" x14ac:dyDescent="0.35">
      <c r="C16101" s="51"/>
      <c r="D16101" s="51"/>
    </row>
    <row r="16102" spans="3:4" x14ac:dyDescent="0.35">
      <c r="C16102" s="51"/>
      <c r="D16102" s="51"/>
    </row>
    <row r="16103" spans="3:4" x14ac:dyDescent="0.35">
      <c r="C16103" s="51"/>
      <c r="D16103" s="51"/>
    </row>
    <row r="16104" spans="3:4" x14ac:dyDescent="0.35">
      <c r="C16104" s="51"/>
      <c r="D16104" s="51"/>
    </row>
    <row r="16105" spans="3:4" x14ac:dyDescent="0.35">
      <c r="C16105" s="51"/>
      <c r="D16105" s="51"/>
    </row>
    <row r="16106" spans="3:4" x14ac:dyDescent="0.35">
      <c r="C16106" s="51"/>
      <c r="D16106" s="51"/>
    </row>
    <row r="16107" spans="3:4" x14ac:dyDescent="0.35">
      <c r="C16107" s="51"/>
      <c r="D16107" s="51"/>
    </row>
    <row r="16108" spans="3:4" x14ac:dyDescent="0.35">
      <c r="C16108" s="51"/>
      <c r="D16108" s="51"/>
    </row>
    <row r="16109" spans="3:4" x14ac:dyDescent="0.35">
      <c r="C16109" s="51"/>
      <c r="D16109" s="51"/>
    </row>
    <row r="16110" spans="3:4" x14ac:dyDescent="0.35">
      <c r="C16110" s="51"/>
      <c r="D16110" s="51"/>
    </row>
    <row r="16111" spans="3:4" x14ac:dyDescent="0.35">
      <c r="C16111" s="51"/>
      <c r="D16111" s="51"/>
    </row>
    <row r="16112" spans="3:4" x14ac:dyDescent="0.35">
      <c r="C16112" s="51"/>
      <c r="D16112" s="51"/>
    </row>
    <row r="16113" spans="3:4" x14ac:dyDescent="0.35">
      <c r="C16113" s="51"/>
      <c r="D16113" s="51"/>
    </row>
    <row r="16114" spans="3:4" x14ac:dyDescent="0.35">
      <c r="C16114" s="51"/>
      <c r="D16114" s="51"/>
    </row>
    <row r="16115" spans="3:4" x14ac:dyDescent="0.35">
      <c r="C16115" s="51"/>
      <c r="D16115" s="51"/>
    </row>
    <row r="16116" spans="3:4" x14ac:dyDescent="0.35">
      <c r="C16116" s="51"/>
      <c r="D16116" s="51"/>
    </row>
    <row r="16117" spans="3:4" x14ac:dyDescent="0.35">
      <c r="C16117" s="51"/>
      <c r="D16117" s="51"/>
    </row>
    <row r="16118" spans="3:4" x14ac:dyDescent="0.35">
      <c r="C16118" s="51"/>
      <c r="D16118" s="51"/>
    </row>
    <row r="16119" spans="3:4" x14ac:dyDescent="0.35">
      <c r="C16119" s="51"/>
      <c r="D16119" s="51"/>
    </row>
    <row r="16120" spans="3:4" x14ac:dyDescent="0.35">
      <c r="C16120" s="51"/>
      <c r="D16120" s="51"/>
    </row>
    <row r="16121" spans="3:4" x14ac:dyDescent="0.35">
      <c r="C16121" s="51"/>
      <c r="D16121" s="51"/>
    </row>
    <row r="16122" spans="3:4" x14ac:dyDescent="0.35">
      <c r="C16122" s="51"/>
      <c r="D16122" s="51"/>
    </row>
    <row r="16123" spans="3:4" x14ac:dyDescent="0.35">
      <c r="C16123" s="51"/>
      <c r="D16123" s="51"/>
    </row>
    <row r="16124" spans="3:4" x14ac:dyDescent="0.35">
      <c r="C16124" s="51"/>
      <c r="D16124" s="51"/>
    </row>
    <row r="16125" spans="3:4" x14ac:dyDescent="0.35">
      <c r="C16125" s="51"/>
      <c r="D16125" s="51"/>
    </row>
    <row r="16126" spans="3:4" x14ac:dyDescent="0.35">
      <c r="C16126" s="51"/>
      <c r="D16126" s="51"/>
    </row>
    <row r="16127" spans="3:4" x14ac:dyDescent="0.35">
      <c r="C16127" s="51"/>
      <c r="D16127" s="51"/>
    </row>
    <row r="16128" spans="3:4" x14ac:dyDescent="0.35">
      <c r="C16128" s="51"/>
      <c r="D16128" s="51"/>
    </row>
    <row r="16129" spans="3:4" x14ac:dyDescent="0.35">
      <c r="C16129" s="51"/>
      <c r="D16129" s="51"/>
    </row>
    <row r="16130" spans="3:4" x14ac:dyDescent="0.35">
      <c r="C16130" s="51"/>
      <c r="D16130" s="51"/>
    </row>
    <row r="16131" spans="3:4" x14ac:dyDescent="0.35">
      <c r="C16131" s="51"/>
      <c r="D16131" s="51"/>
    </row>
    <row r="16132" spans="3:4" x14ac:dyDescent="0.35">
      <c r="C16132" s="51"/>
      <c r="D16132" s="51"/>
    </row>
    <row r="16133" spans="3:4" x14ac:dyDescent="0.35">
      <c r="C16133" s="51"/>
      <c r="D16133" s="51"/>
    </row>
    <row r="16134" spans="3:4" x14ac:dyDescent="0.35">
      <c r="C16134" s="51"/>
      <c r="D16134" s="51"/>
    </row>
    <row r="16135" spans="3:4" x14ac:dyDescent="0.35">
      <c r="C16135" s="51"/>
      <c r="D16135" s="51"/>
    </row>
    <row r="16136" spans="3:4" x14ac:dyDescent="0.35">
      <c r="C16136" s="51"/>
      <c r="D16136" s="51"/>
    </row>
    <row r="16137" spans="3:4" x14ac:dyDescent="0.35">
      <c r="C16137" s="51"/>
      <c r="D16137" s="51"/>
    </row>
    <row r="16138" spans="3:4" x14ac:dyDescent="0.35">
      <c r="C16138" s="51"/>
      <c r="D16138" s="51"/>
    </row>
    <row r="16139" spans="3:4" x14ac:dyDescent="0.35">
      <c r="C16139" s="51"/>
      <c r="D16139" s="51"/>
    </row>
    <row r="16140" spans="3:4" x14ac:dyDescent="0.35">
      <c r="C16140" s="51"/>
      <c r="D16140" s="51"/>
    </row>
    <row r="16141" spans="3:4" x14ac:dyDescent="0.35">
      <c r="C16141" s="51"/>
      <c r="D16141" s="51"/>
    </row>
    <row r="16142" spans="3:4" x14ac:dyDescent="0.35">
      <c r="C16142" s="51"/>
      <c r="D16142" s="51"/>
    </row>
    <row r="16143" spans="3:4" x14ac:dyDescent="0.35">
      <c r="C16143" s="51"/>
      <c r="D16143" s="51"/>
    </row>
    <row r="16144" spans="3:4" x14ac:dyDescent="0.35">
      <c r="C16144" s="51"/>
      <c r="D16144" s="51"/>
    </row>
    <row r="16145" spans="3:4" x14ac:dyDescent="0.35">
      <c r="C16145" s="51"/>
      <c r="D16145" s="51"/>
    </row>
    <row r="16146" spans="3:4" x14ac:dyDescent="0.35">
      <c r="C16146" s="51"/>
      <c r="D16146" s="51"/>
    </row>
    <row r="16147" spans="3:4" x14ac:dyDescent="0.35">
      <c r="C16147" s="51"/>
      <c r="D16147" s="51"/>
    </row>
    <row r="16148" spans="3:4" x14ac:dyDescent="0.35">
      <c r="C16148" s="51"/>
      <c r="D16148" s="51"/>
    </row>
    <row r="16149" spans="3:4" x14ac:dyDescent="0.35">
      <c r="C16149" s="51"/>
      <c r="D16149" s="51"/>
    </row>
    <row r="16150" spans="3:4" x14ac:dyDescent="0.35">
      <c r="C16150" s="51"/>
      <c r="D16150" s="51"/>
    </row>
    <row r="16151" spans="3:4" x14ac:dyDescent="0.35">
      <c r="C16151" s="51"/>
      <c r="D16151" s="51"/>
    </row>
    <row r="16152" spans="3:4" x14ac:dyDescent="0.35">
      <c r="C16152" s="51"/>
      <c r="D16152" s="51"/>
    </row>
    <row r="16153" spans="3:4" x14ac:dyDescent="0.35">
      <c r="C16153" s="51"/>
      <c r="D16153" s="51"/>
    </row>
    <row r="16154" spans="3:4" x14ac:dyDescent="0.35">
      <c r="C16154" s="51"/>
      <c r="D16154" s="51"/>
    </row>
    <row r="16155" spans="3:4" x14ac:dyDescent="0.35">
      <c r="C16155" s="51"/>
      <c r="D16155" s="51"/>
    </row>
    <row r="16156" spans="3:4" x14ac:dyDescent="0.35">
      <c r="C16156" s="51"/>
      <c r="D16156" s="51"/>
    </row>
    <row r="16157" spans="3:4" x14ac:dyDescent="0.35">
      <c r="C16157" s="51"/>
      <c r="D16157" s="51"/>
    </row>
    <row r="16158" spans="3:4" x14ac:dyDescent="0.35">
      <c r="C16158" s="51"/>
      <c r="D16158" s="51"/>
    </row>
    <row r="16159" spans="3:4" x14ac:dyDescent="0.35">
      <c r="C16159" s="51"/>
      <c r="D16159" s="51"/>
    </row>
    <row r="16160" spans="3:4" x14ac:dyDescent="0.35">
      <c r="C16160" s="51"/>
      <c r="D16160" s="51"/>
    </row>
    <row r="16161" spans="3:4" x14ac:dyDescent="0.35">
      <c r="C16161" s="51"/>
      <c r="D16161" s="51"/>
    </row>
    <row r="16162" spans="3:4" x14ac:dyDescent="0.35">
      <c r="C16162" s="51"/>
      <c r="D16162" s="51"/>
    </row>
    <row r="16163" spans="3:4" x14ac:dyDescent="0.35">
      <c r="C16163" s="51"/>
      <c r="D16163" s="51"/>
    </row>
    <row r="16164" spans="3:4" x14ac:dyDescent="0.35">
      <c r="C16164" s="51"/>
      <c r="D16164" s="51"/>
    </row>
    <row r="16165" spans="3:4" x14ac:dyDescent="0.35">
      <c r="C16165" s="51"/>
      <c r="D16165" s="51"/>
    </row>
    <row r="16166" spans="3:4" x14ac:dyDescent="0.35">
      <c r="C16166" s="51"/>
      <c r="D16166" s="51"/>
    </row>
    <row r="16167" spans="3:4" x14ac:dyDescent="0.35">
      <c r="C16167" s="51"/>
      <c r="D16167" s="51"/>
    </row>
    <row r="16168" spans="3:4" x14ac:dyDescent="0.35">
      <c r="C16168" s="51"/>
      <c r="D16168" s="51"/>
    </row>
    <row r="16169" spans="3:4" x14ac:dyDescent="0.35">
      <c r="C16169" s="51"/>
      <c r="D16169" s="51"/>
    </row>
    <row r="16170" spans="3:4" x14ac:dyDescent="0.35">
      <c r="C16170" s="51"/>
      <c r="D16170" s="51"/>
    </row>
    <row r="16171" spans="3:4" x14ac:dyDescent="0.35">
      <c r="C16171" s="51"/>
      <c r="D16171" s="51"/>
    </row>
    <row r="16172" spans="3:4" x14ac:dyDescent="0.35">
      <c r="C16172" s="51"/>
      <c r="D16172" s="51"/>
    </row>
    <row r="16173" spans="3:4" x14ac:dyDescent="0.35">
      <c r="C16173" s="51"/>
      <c r="D16173" s="51"/>
    </row>
    <row r="16174" spans="3:4" x14ac:dyDescent="0.35">
      <c r="C16174" s="51"/>
      <c r="D16174" s="51"/>
    </row>
    <row r="16175" spans="3:4" x14ac:dyDescent="0.35">
      <c r="C16175" s="51"/>
      <c r="D16175" s="51"/>
    </row>
    <row r="16176" spans="3:4" x14ac:dyDescent="0.35">
      <c r="C16176" s="51"/>
      <c r="D16176" s="51"/>
    </row>
    <row r="16177" spans="3:4" x14ac:dyDescent="0.35">
      <c r="C16177" s="51"/>
      <c r="D16177" s="51"/>
    </row>
    <row r="16178" spans="3:4" x14ac:dyDescent="0.35">
      <c r="C16178" s="51"/>
      <c r="D16178" s="51"/>
    </row>
    <row r="16179" spans="3:4" x14ac:dyDescent="0.35">
      <c r="C16179" s="51"/>
      <c r="D16179" s="51"/>
    </row>
    <row r="16180" spans="3:4" x14ac:dyDescent="0.35">
      <c r="C16180" s="51"/>
      <c r="D16180" s="51"/>
    </row>
    <row r="16181" spans="3:4" x14ac:dyDescent="0.35">
      <c r="C16181" s="51"/>
      <c r="D16181" s="51"/>
    </row>
    <row r="16182" spans="3:4" x14ac:dyDescent="0.35">
      <c r="C16182" s="51"/>
      <c r="D16182" s="51"/>
    </row>
    <row r="16183" spans="3:4" x14ac:dyDescent="0.35">
      <c r="C16183" s="51"/>
      <c r="D16183" s="51"/>
    </row>
    <row r="16184" spans="3:4" x14ac:dyDescent="0.35">
      <c r="C16184" s="51"/>
      <c r="D16184" s="51"/>
    </row>
    <row r="16185" spans="3:4" x14ac:dyDescent="0.35">
      <c r="C16185" s="51"/>
      <c r="D16185" s="51"/>
    </row>
    <row r="16186" spans="3:4" x14ac:dyDescent="0.35">
      <c r="C16186" s="51"/>
      <c r="D16186" s="51"/>
    </row>
    <row r="16187" spans="3:4" x14ac:dyDescent="0.35">
      <c r="C16187" s="51"/>
      <c r="D16187" s="51"/>
    </row>
    <row r="16188" spans="3:4" x14ac:dyDescent="0.35">
      <c r="C16188" s="51"/>
      <c r="D16188" s="51"/>
    </row>
    <row r="16189" spans="3:4" x14ac:dyDescent="0.35">
      <c r="C16189" s="51"/>
      <c r="D16189" s="51"/>
    </row>
    <row r="16190" spans="3:4" x14ac:dyDescent="0.35">
      <c r="C16190" s="51"/>
      <c r="D16190" s="51"/>
    </row>
    <row r="16191" spans="3:4" x14ac:dyDescent="0.35">
      <c r="C16191" s="51"/>
      <c r="D16191" s="51"/>
    </row>
    <row r="16192" spans="3:4" x14ac:dyDescent="0.35">
      <c r="C16192" s="51"/>
      <c r="D16192" s="51"/>
    </row>
    <row r="16193" spans="3:4" x14ac:dyDescent="0.35">
      <c r="C16193" s="51"/>
      <c r="D16193" s="51"/>
    </row>
    <row r="16194" spans="3:4" x14ac:dyDescent="0.35">
      <c r="C16194" s="51"/>
      <c r="D16194" s="51"/>
    </row>
    <row r="16195" spans="3:4" x14ac:dyDescent="0.35">
      <c r="C16195" s="51"/>
      <c r="D16195" s="51"/>
    </row>
    <row r="16196" spans="3:4" x14ac:dyDescent="0.35">
      <c r="C16196" s="51"/>
      <c r="D16196" s="51"/>
    </row>
    <row r="16197" spans="3:4" x14ac:dyDescent="0.35">
      <c r="C16197" s="51"/>
      <c r="D16197" s="51"/>
    </row>
    <row r="16198" spans="3:4" x14ac:dyDescent="0.35">
      <c r="C16198" s="51"/>
      <c r="D16198" s="51"/>
    </row>
    <row r="16199" spans="3:4" x14ac:dyDescent="0.35">
      <c r="C16199" s="51"/>
      <c r="D16199" s="51"/>
    </row>
    <row r="16200" spans="3:4" x14ac:dyDescent="0.35">
      <c r="C16200" s="51"/>
      <c r="D16200" s="51"/>
    </row>
    <row r="16201" spans="3:4" x14ac:dyDescent="0.35">
      <c r="C16201" s="51"/>
      <c r="D16201" s="51"/>
    </row>
    <row r="16202" spans="3:4" x14ac:dyDescent="0.35">
      <c r="C16202" s="51"/>
      <c r="D16202" s="51"/>
    </row>
    <row r="16203" spans="3:4" x14ac:dyDescent="0.35">
      <c r="C16203" s="51"/>
      <c r="D16203" s="51"/>
    </row>
    <row r="16204" spans="3:4" x14ac:dyDescent="0.35">
      <c r="C16204" s="51"/>
      <c r="D16204" s="51"/>
    </row>
    <row r="16205" spans="3:4" x14ac:dyDescent="0.35">
      <c r="C16205" s="51"/>
      <c r="D16205" s="51"/>
    </row>
    <row r="16206" spans="3:4" x14ac:dyDescent="0.35">
      <c r="C16206" s="51"/>
      <c r="D16206" s="51"/>
    </row>
    <row r="16207" spans="3:4" x14ac:dyDescent="0.35">
      <c r="C16207" s="51"/>
      <c r="D16207" s="51"/>
    </row>
    <row r="16208" spans="3:4" x14ac:dyDescent="0.35">
      <c r="C16208" s="51"/>
      <c r="D16208" s="51"/>
    </row>
    <row r="16209" spans="3:4" x14ac:dyDescent="0.35">
      <c r="C16209" s="51"/>
      <c r="D16209" s="51"/>
    </row>
    <row r="16210" spans="3:4" x14ac:dyDescent="0.35">
      <c r="C16210" s="51"/>
      <c r="D16210" s="51"/>
    </row>
    <row r="16211" spans="3:4" x14ac:dyDescent="0.35">
      <c r="C16211" s="51"/>
      <c r="D16211" s="51"/>
    </row>
    <row r="16212" spans="3:4" x14ac:dyDescent="0.35">
      <c r="C16212" s="51"/>
      <c r="D16212" s="51"/>
    </row>
    <row r="16213" spans="3:4" x14ac:dyDescent="0.35">
      <c r="C16213" s="51"/>
      <c r="D16213" s="51"/>
    </row>
    <row r="16214" spans="3:4" x14ac:dyDescent="0.35">
      <c r="C16214" s="51"/>
      <c r="D16214" s="51"/>
    </row>
    <row r="16215" spans="3:4" x14ac:dyDescent="0.35">
      <c r="C16215" s="51"/>
      <c r="D16215" s="51"/>
    </row>
    <row r="16216" spans="3:4" x14ac:dyDescent="0.35">
      <c r="C16216" s="51"/>
      <c r="D16216" s="51"/>
    </row>
    <row r="16217" spans="3:4" x14ac:dyDescent="0.35">
      <c r="C16217" s="51"/>
      <c r="D16217" s="51"/>
    </row>
    <row r="16218" spans="3:4" x14ac:dyDescent="0.35">
      <c r="C16218" s="51"/>
      <c r="D16218" s="51"/>
    </row>
    <row r="16219" spans="3:4" x14ac:dyDescent="0.35">
      <c r="C16219" s="51"/>
      <c r="D16219" s="51"/>
    </row>
    <row r="16220" spans="3:4" x14ac:dyDescent="0.35">
      <c r="C16220" s="51"/>
      <c r="D16220" s="51"/>
    </row>
    <row r="16221" spans="3:4" x14ac:dyDescent="0.35">
      <c r="C16221" s="51"/>
      <c r="D16221" s="51"/>
    </row>
    <row r="16222" spans="3:4" x14ac:dyDescent="0.35">
      <c r="C16222" s="51"/>
      <c r="D16222" s="51"/>
    </row>
    <row r="16223" spans="3:4" x14ac:dyDescent="0.35">
      <c r="C16223" s="51"/>
      <c r="D16223" s="51"/>
    </row>
    <row r="16224" spans="3:4" x14ac:dyDescent="0.35">
      <c r="C16224" s="51"/>
      <c r="D16224" s="51"/>
    </row>
    <row r="16225" spans="3:4" x14ac:dyDescent="0.35">
      <c r="C16225" s="51"/>
      <c r="D16225" s="51"/>
    </row>
    <row r="16226" spans="3:4" x14ac:dyDescent="0.35">
      <c r="C16226" s="51"/>
      <c r="D16226" s="51"/>
    </row>
    <row r="16227" spans="3:4" x14ac:dyDescent="0.35">
      <c r="C16227" s="51"/>
      <c r="D16227" s="51"/>
    </row>
    <row r="16228" spans="3:4" x14ac:dyDescent="0.35">
      <c r="C16228" s="51"/>
      <c r="D16228" s="51"/>
    </row>
    <row r="16229" spans="3:4" x14ac:dyDescent="0.35">
      <c r="C16229" s="51"/>
      <c r="D16229" s="51"/>
    </row>
    <row r="16230" spans="3:4" x14ac:dyDescent="0.35">
      <c r="C16230" s="51"/>
      <c r="D16230" s="51"/>
    </row>
    <row r="16231" spans="3:4" x14ac:dyDescent="0.35">
      <c r="C16231" s="51"/>
      <c r="D16231" s="51"/>
    </row>
    <row r="16232" spans="3:4" x14ac:dyDescent="0.35">
      <c r="C16232" s="51"/>
      <c r="D16232" s="51"/>
    </row>
    <row r="16233" spans="3:4" x14ac:dyDescent="0.35">
      <c r="C16233" s="51"/>
      <c r="D16233" s="51"/>
    </row>
    <row r="16234" spans="3:4" x14ac:dyDescent="0.35">
      <c r="C16234" s="51"/>
      <c r="D16234" s="51"/>
    </row>
    <row r="16235" spans="3:4" x14ac:dyDescent="0.35">
      <c r="C16235" s="51"/>
      <c r="D16235" s="51"/>
    </row>
    <row r="16236" spans="3:4" x14ac:dyDescent="0.35">
      <c r="C16236" s="51"/>
      <c r="D16236" s="51"/>
    </row>
    <row r="16237" spans="3:4" x14ac:dyDescent="0.35">
      <c r="C16237" s="51"/>
      <c r="D16237" s="51"/>
    </row>
    <row r="16238" spans="3:4" x14ac:dyDescent="0.35">
      <c r="C16238" s="51"/>
      <c r="D16238" s="51"/>
    </row>
    <row r="16239" spans="3:4" x14ac:dyDescent="0.35">
      <c r="C16239" s="51"/>
      <c r="D16239" s="51"/>
    </row>
    <row r="16240" spans="3:4" x14ac:dyDescent="0.35">
      <c r="C16240" s="51"/>
      <c r="D16240" s="51"/>
    </row>
    <row r="16241" spans="3:4" x14ac:dyDescent="0.35">
      <c r="C16241" s="51"/>
      <c r="D16241" s="51"/>
    </row>
    <row r="16242" spans="3:4" x14ac:dyDescent="0.35">
      <c r="C16242" s="51"/>
      <c r="D16242" s="51"/>
    </row>
    <row r="16243" spans="3:4" x14ac:dyDescent="0.35">
      <c r="C16243" s="51"/>
      <c r="D16243" s="51"/>
    </row>
    <row r="16244" spans="3:4" x14ac:dyDescent="0.35">
      <c r="C16244" s="51"/>
      <c r="D16244" s="51"/>
    </row>
    <row r="16245" spans="3:4" x14ac:dyDescent="0.35">
      <c r="C16245" s="51"/>
      <c r="D16245" s="51"/>
    </row>
    <row r="16246" spans="3:4" x14ac:dyDescent="0.35">
      <c r="C16246" s="51"/>
      <c r="D16246" s="51"/>
    </row>
    <row r="16247" spans="3:4" x14ac:dyDescent="0.35">
      <c r="C16247" s="51"/>
      <c r="D16247" s="51"/>
    </row>
    <row r="16248" spans="3:4" x14ac:dyDescent="0.35">
      <c r="C16248" s="51"/>
      <c r="D16248" s="51"/>
    </row>
    <row r="16249" spans="3:4" x14ac:dyDescent="0.35">
      <c r="C16249" s="51"/>
      <c r="D16249" s="51"/>
    </row>
    <row r="16250" spans="3:4" x14ac:dyDescent="0.35">
      <c r="C16250" s="51"/>
      <c r="D16250" s="51"/>
    </row>
    <row r="16251" spans="3:4" x14ac:dyDescent="0.35">
      <c r="C16251" s="51"/>
      <c r="D16251" s="51"/>
    </row>
    <row r="16252" spans="3:4" x14ac:dyDescent="0.35">
      <c r="C16252" s="51"/>
      <c r="D16252" s="51"/>
    </row>
    <row r="16253" spans="3:4" x14ac:dyDescent="0.35">
      <c r="C16253" s="51"/>
      <c r="D16253" s="51"/>
    </row>
    <row r="16254" spans="3:4" x14ac:dyDescent="0.35">
      <c r="C16254" s="51"/>
      <c r="D16254" s="51"/>
    </row>
    <row r="16255" spans="3:4" x14ac:dyDescent="0.35">
      <c r="C16255" s="51"/>
      <c r="D16255" s="51"/>
    </row>
    <row r="16256" spans="3:4" x14ac:dyDescent="0.35">
      <c r="C16256" s="51"/>
      <c r="D16256" s="51"/>
    </row>
    <row r="16257" spans="3:4" x14ac:dyDescent="0.35">
      <c r="C16257" s="51"/>
      <c r="D16257" s="51"/>
    </row>
    <row r="16258" spans="3:4" x14ac:dyDescent="0.35">
      <c r="C16258" s="51"/>
      <c r="D16258" s="51"/>
    </row>
    <row r="16259" spans="3:4" x14ac:dyDescent="0.35">
      <c r="C16259" s="51"/>
      <c r="D16259" s="51"/>
    </row>
    <row r="16260" spans="3:4" x14ac:dyDescent="0.35">
      <c r="C16260" s="51"/>
      <c r="D16260" s="51"/>
    </row>
    <row r="16261" spans="3:4" x14ac:dyDescent="0.35">
      <c r="C16261" s="51"/>
      <c r="D16261" s="51"/>
    </row>
    <row r="16262" spans="3:4" x14ac:dyDescent="0.35">
      <c r="C16262" s="51"/>
      <c r="D16262" s="51"/>
    </row>
    <row r="16263" spans="3:4" x14ac:dyDescent="0.35">
      <c r="C16263" s="51"/>
      <c r="D16263" s="51"/>
    </row>
    <row r="16264" spans="3:4" x14ac:dyDescent="0.35">
      <c r="C16264" s="51"/>
      <c r="D16264" s="51"/>
    </row>
    <row r="16265" spans="3:4" x14ac:dyDescent="0.35">
      <c r="C16265" s="51"/>
      <c r="D16265" s="51"/>
    </row>
    <row r="16266" spans="3:4" x14ac:dyDescent="0.35">
      <c r="C16266" s="51"/>
      <c r="D16266" s="51"/>
    </row>
    <row r="16267" spans="3:4" x14ac:dyDescent="0.35">
      <c r="C16267" s="51"/>
      <c r="D16267" s="51"/>
    </row>
    <row r="16268" spans="3:4" x14ac:dyDescent="0.35">
      <c r="C16268" s="51"/>
      <c r="D16268" s="51"/>
    </row>
    <row r="16269" spans="3:4" x14ac:dyDescent="0.35">
      <c r="C16269" s="51"/>
      <c r="D16269" s="51"/>
    </row>
    <row r="16270" spans="3:4" x14ac:dyDescent="0.35">
      <c r="C16270" s="51"/>
      <c r="D16270" s="51"/>
    </row>
    <row r="16271" spans="3:4" x14ac:dyDescent="0.35">
      <c r="C16271" s="51"/>
      <c r="D16271" s="51"/>
    </row>
    <row r="16272" spans="3:4" x14ac:dyDescent="0.35">
      <c r="C16272" s="51"/>
      <c r="D16272" s="51"/>
    </row>
    <row r="16273" spans="3:4" x14ac:dyDescent="0.35">
      <c r="C16273" s="51"/>
      <c r="D16273" s="51"/>
    </row>
    <row r="16274" spans="3:4" x14ac:dyDescent="0.35">
      <c r="C16274" s="51"/>
      <c r="D16274" s="51"/>
    </row>
    <row r="16275" spans="3:4" x14ac:dyDescent="0.35">
      <c r="C16275" s="51"/>
      <c r="D16275" s="51"/>
    </row>
    <row r="16276" spans="3:4" x14ac:dyDescent="0.35">
      <c r="C16276" s="51"/>
      <c r="D16276" s="51"/>
    </row>
    <row r="16277" spans="3:4" x14ac:dyDescent="0.35">
      <c r="C16277" s="51"/>
      <c r="D16277" s="51"/>
    </row>
    <row r="16278" spans="3:4" x14ac:dyDescent="0.35">
      <c r="C16278" s="51"/>
      <c r="D16278" s="51"/>
    </row>
    <row r="16279" spans="3:4" x14ac:dyDescent="0.35">
      <c r="C16279" s="51"/>
      <c r="D16279" s="51"/>
    </row>
    <row r="16280" spans="3:4" x14ac:dyDescent="0.35">
      <c r="C16280" s="51"/>
      <c r="D16280" s="51"/>
    </row>
    <row r="16281" spans="3:4" x14ac:dyDescent="0.35">
      <c r="C16281" s="51"/>
      <c r="D16281" s="51"/>
    </row>
    <row r="16282" spans="3:4" x14ac:dyDescent="0.35">
      <c r="C16282" s="51"/>
      <c r="D16282" s="51"/>
    </row>
    <row r="16283" spans="3:4" x14ac:dyDescent="0.35">
      <c r="C16283" s="51"/>
      <c r="D16283" s="51"/>
    </row>
    <row r="16284" spans="3:4" x14ac:dyDescent="0.35">
      <c r="C16284" s="51"/>
      <c r="D16284" s="51"/>
    </row>
    <row r="16285" spans="3:4" x14ac:dyDescent="0.35">
      <c r="C16285" s="51"/>
      <c r="D16285" s="51"/>
    </row>
    <row r="16286" spans="3:4" x14ac:dyDescent="0.35">
      <c r="C16286" s="51"/>
      <c r="D16286" s="51"/>
    </row>
    <row r="16287" spans="3:4" x14ac:dyDescent="0.35">
      <c r="C16287" s="51"/>
      <c r="D16287" s="51"/>
    </row>
    <row r="16288" spans="3:4" x14ac:dyDescent="0.35">
      <c r="C16288" s="51"/>
      <c r="D16288" s="51"/>
    </row>
    <row r="16289" spans="3:4" x14ac:dyDescent="0.35">
      <c r="C16289" s="51"/>
      <c r="D16289" s="51"/>
    </row>
    <row r="16290" spans="3:4" x14ac:dyDescent="0.35">
      <c r="C16290" s="51"/>
      <c r="D16290" s="51"/>
    </row>
    <row r="16291" spans="3:4" x14ac:dyDescent="0.35">
      <c r="C16291" s="51"/>
      <c r="D16291" s="51"/>
    </row>
    <row r="16292" spans="3:4" x14ac:dyDescent="0.35">
      <c r="C16292" s="51"/>
      <c r="D16292" s="51"/>
    </row>
    <row r="16293" spans="3:4" x14ac:dyDescent="0.35">
      <c r="C16293" s="51"/>
      <c r="D16293" s="51"/>
    </row>
    <row r="16294" spans="3:4" x14ac:dyDescent="0.35">
      <c r="C16294" s="51"/>
      <c r="D16294" s="51"/>
    </row>
    <row r="16295" spans="3:4" x14ac:dyDescent="0.35">
      <c r="C16295" s="51"/>
      <c r="D16295" s="51"/>
    </row>
    <row r="16296" spans="3:4" x14ac:dyDescent="0.35">
      <c r="C16296" s="51"/>
      <c r="D16296" s="51"/>
    </row>
    <row r="16297" spans="3:4" x14ac:dyDescent="0.35">
      <c r="C16297" s="51"/>
      <c r="D16297" s="51"/>
    </row>
    <row r="16298" spans="3:4" x14ac:dyDescent="0.35">
      <c r="C16298" s="51"/>
      <c r="D16298" s="51"/>
    </row>
    <row r="16299" spans="3:4" x14ac:dyDescent="0.35">
      <c r="C16299" s="51"/>
      <c r="D16299" s="51"/>
    </row>
    <row r="16300" spans="3:4" x14ac:dyDescent="0.35">
      <c r="C16300" s="51"/>
      <c r="D16300" s="51"/>
    </row>
    <row r="16301" spans="3:4" x14ac:dyDescent="0.35">
      <c r="C16301" s="51"/>
      <c r="D16301" s="51"/>
    </row>
    <row r="16302" spans="3:4" x14ac:dyDescent="0.35">
      <c r="C16302" s="51"/>
      <c r="D16302" s="51"/>
    </row>
    <row r="16303" spans="3:4" x14ac:dyDescent="0.35">
      <c r="C16303" s="51"/>
      <c r="D16303" s="51"/>
    </row>
    <row r="16304" spans="3:4" x14ac:dyDescent="0.35">
      <c r="C16304" s="51"/>
      <c r="D16304" s="51"/>
    </row>
    <row r="16305" spans="3:4" x14ac:dyDescent="0.35">
      <c r="C16305" s="51"/>
      <c r="D16305" s="51"/>
    </row>
    <row r="16306" spans="3:4" x14ac:dyDescent="0.35">
      <c r="C16306" s="51"/>
      <c r="D16306" s="51"/>
    </row>
    <row r="16307" spans="3:4" x14ac:dyDescent="0.35">
      <c r="C16307" s="51"/>
      <c r="D16307" s="51"/>
    </row>
    <row r="16308" spans="3:4" x14ac:dyDescent="0.35">
      <c r="C16308" s="51"/>
      <c r="D16308" s="51"/>
    </row>
    <row r="16309" spans="3:4" x14ac:dyDescent="0.35">
      <c r="C16309" s="51"/>
      <c r="D16309" s="51"/>
    </row>
    <row r="16310" spans="3:4" x14ac:dyDescent="0.35">
      <c r="C16310" s="51"/>
      <c r="D16310" s="51"/>
    </row>
    <row r="16311" spans="3:4" x14ac:dyDescent="0.35">
      <c r="C16311" s="51"/>
      <c r="D16311" s="51"/>
    </row>
    <row r="16312" spans="3:4" x14ac:dyDescent="0.35">
      <c r="C16312" s="51"/>
      <c r="D16312" s="51"/>
    </row>
    <row r="16313" spans="3:4" x14ac:dyDescent="0.35">
      <c r="C16313" s="51"/>
      <c r="D16313" s="51"/>
    </row>
    <row r="16314" spans="3:4" x14ac:dyDescent="0.35">
      <c r="C16314" s="51"/>
      <c r="D16314" s="51"/>
    </row>
    <row r="16315" spans="3:4" x14ac:dyDescent="0.35">
      <c r="C16315" s="51"/>
      <c r="D16315" s="51"/>
    </row>
    <row r="16316" spans="3:4" x14ac:dyDescent="0.35">
      <c r="C16316" s="51"/>
      <c r="D16316" s="51"/>
    </row>
    <row r="16317" spans="3:4" x14ac:dyDescent="0.35">
      <c r="C16317" s="51"/>
      <c r="D16317" s="51"/>
    </row>
    <row r="16318" spans="3:4" x14ac:dyDescent="0.35">
      <c r="C16318" s="51"/>
      <c r="D16318" s="51"/>
    </row>
    <row r="16319" spans="3:4" x14ac:dyDescent="0.35">
      <c r="C16319" s="51"/>
      <c r="D16319" s="51"/>
    </row>
    <row r="16320" spans="3:4" x14ac:dyDescent="0.35">
      <c r="C16320" s="51"/>
      <c r="D16320" s="51"/>
    </row>
    <row r="16321" spans="3:4" x14ac:dyDescent="0.35">
      <c r="C16321" s="51"/>
      <c r="D16321" s="51"/>
    </row>
    <row r="16322" spans="3:4" x14ac:dyDescent="0.35">
      <c r="C16322" s="51"/>
      <c r="D16322" s="51"/>
    </row>
    <row r="16323" spans="3:4" x14ac:dyDescent="0.35">
      <c r="C16323" s="51"/>
      <c r="D16323" s="51"/>
    </row>
    <row r="16324" spans="3:4" x14ac:dyDescent="0.35">
      <c r="C16324" s="51"/>
      <c r="D16324" s="51"/>
    </row>
    <row r="16325" spans="3:4" x14ac:dyDescent="0.35">
      <c r="C16325" s="51"/>
      <c r="D16325" s="51"/>
    </row>
    <row r="16326" spans="3:4" x14ac:dyDescent="0.35">
      <c r="C16326" s="51"/>
      <c r="D16326" s="51"/>
    </row>
    <row r="16327" spans="3:4" x14ac:dyDescent="0.35">
      <c r="C16327" s="51"/>
      <c r="D16327" s="51"/>
    </row>
    <row r="16328" spans="3:4" x14ac:dyDescent="0.35">
      <c r="C16328" s="51"/>
      <c r="D16328" s="51"/>
    </row>
    <row r="16329" spans="3:4" x14ac:dyDescent="0.35">
      <c r="C16329" s="51"/>
      <c r="D16329" s="51"/>
    </row>
    <row r="16330" spans="3:4" x14ac:dyDescent="0.35">
      <c r="C16330" s="51"/>
      <c r="D16330" s="51"/>
    </row>
    <row r="16331" spans="3:4" x14ac:dyDescent="0.35">
      <c r="C16331" s="51"/>
      <c r="D16331" s="51"/>
    </row>
    <row r="16332" spans="3:4" x14ac:dyDescent="0.35">
      <c r="C16332" s="51"/>
      <c r="D16332" s="51"/>
    </row>
    <row r="16333" spans="3:4" x14ac:dyDescent="0.35">
      <c r="C16333" s="51"/>
      <c r="D16333" s="51"/>
    </row>
    <row r="16334" spans="3:4" x14ac:dyDescent="0.35">
      <c r="C16334" s="51"/>
      <c r="D16334" s="51"/>
    </row>
    <row r="16335" spans="3:4" x14ac:dyDescent="0.35">
      <c r="C16335" s="51"/>
      <c r="D16335" s="51"/>
    </row>
    <row r="16336" spans="3:4" x14ac:dyDescent="0.35">
      <c r="C16336" s="51"/>
      <c r="D16336" s="51"/>
    </row>
    <row r="16337" spans="3:4" x14ac:dyDescent="0.35">
      <c r="C16337" s="51"/>
      <c r="D16337" s="51"/>
    </row>
    <row r="16338" spans="3:4" x14ac:dyDescent="0.35">
      <c r="C16338" s="51"/>
      <c r="D16338" s="51"/>
    </row>
    <row r="16339" spans="3:4" x14ac:dyDescent="0.35">
      <c r="C16339" s="51"/>
      <c r="D16339" s="51"/>
    </row>
    <row r="16340" spans="3:4" x14ac:dyDescent="0.35">
      <c r="C16340" s="51"/>
      <c r="D16340" s="51"/>
    </row>
    <row r="16341" spans="3:4" x14ac:dyDescent="0.35">
      <c r="C16341" s="51"/>
      <c r="D16341" s="51"/>
    </row>
    <row r="16342" spans="3:4" x14ac:dyDescent="0.35">
      <c r="C16342" s="51"/>
      <c r="D16342" s="51"/>
    </row>
    <row r="16343" spans="3:4" x14ac:dyDescent="0.35">
      <c r="C16343" s="51"/>
      <c r="D16343" s="51"/>
    </row>
    <row r="16344" spans="3:4" x14ac:dyDescent="0.35">
      <c r="C16344" s="51"/>
      <c r="D16344" s="51"/>
    </row>
    <row r="16345" spans="3:4" x14ac:dyDescent="0.35">
      <c r="C16345" s="51"/>
      <c r="D16345" s="51"/>
    </row>
    <row r="16346" spans="3:4" x14ac:dyDescent="0.35">
      <c r="C16346" s="51"/>
      <c r="D16346" s="51"/>
    </row>
    <row r="16347" spans="3:4" x14ac:dyDescent="0.35">
      <c r="C16347" s="51"/>
      <c r="D16347" s="51"/>
    </row>
    <row r="16348" spans="3:4" x14ac:dyDescent="0.35">
      <c r="C16348" s="51"/>
      <c r="D16348" s="51"/>
    </row>
    <row r="16349" spans="3:4" x14ac:dyDescent="0.35">
      <c r="C16349" s="51"/>
      <c r="D16349" s="51"/>
    </row>
    <row r="16350" spans="3:4" x14ac:dyDescent="0.35">
      <c r="C16350" s="51"/>
      <c r="D16350" s="51"/>
    </row>
    <row r="16351" spans="3:4" x14ac:dyDescent="0.35">
      <c r="C16351" s="51"/>
      <c r="D16351" s="51"/>
    </row>
    <row r="16352" spans="3:4" x14ac:dyDescent="0.35">
      <c r="C16352" s="51"/>
      <c r="D16352" s="51"/>
    </row>
    <row r="16353" spans="3:4" x14ac:dyDescent="0.35">
      <c r="C16353" s="51"/>
      <c r="D16353" s="51"/>
    </row>
    <row r="16354" spans="3:4" x14ac:dyDescent="0.35">
      <c r="C16354" s="51"/>
      <c r="D16354" s="51"/>
    </row>
    <row r="16355" spans="3:4" x14ac:dyDescent="0.35">
      <c r="C16355" s="51"/>
      <c r="D16355" s="51"/>
    </row>
    <row r="16356" spans="3:4" x14ac:dyDescent="0.35">
      <c r="C16356" s="51"/>
      <c r="D16356" s="51"/>
    </row>
    <row r="16357" spans="3:4" x14ac:dyDescent="0.35">
      <c r="C16357" s="51"/>
      <c r="D16357" s="51"/>
    </row>
    <row r="16358" spans="3:4" x14ac:dyDescent="0.35">
      <c r="C16358" s="51"/>
      <c r="D16358" s="51"/>
    </row>
    <row r="16359" spans="3:4" x14ac:dyDescent="0.35">
      <c r="C16359" s="51"/>
      <c r="D16359" s="51"/>
    </row>
    <row r="16360" spans="3:4" x14ac:dyDescent="0.35">
      <c r="C16360" s="51"/>
      <c r="D16360" s="51"/>
    </row>
    <row r="16361" spans="3:4" x14ac:dyDescent="0.35">
      <c r="C16361" s="51"/>
      <c r="D16361" s="51"/>
    </row>
    <row r="16362" spans="3:4" x14ac:dyDescent="0.35">
      <c r="C16362" s="51"/>
      <c r="D16362" s="51"/>
    </row>
    <row r="16363" spans="3:4" x14ac:dyDescent="0.35">
      <c r="C16363" s="51"/>
      <c r="D16363" s="51"/>
    </row>
    <row r="16364" spans="3:4" x14ac:dyDescent="0.35">
      <c r="C16364" s="51"/>
      <c r="D16364" s="51"/>
    </row>
    <row r="16365" spans="3:4" x14ac:dyDescent="0.35">
      <c r="C16365" s="51"/>
      <c r="D16365" s="51"/>
    </row>
    <row r="16366" spans="3:4" x14ac:dyDescent="0.35">
      <c r="C16366" s="51"/>
      <c r="D16366" s="51"/>
    </row>
    <row r="16367" spans="3:4" x14ac:dyDescent="0.35">
      <c r="C16367" s="51"/>
      <c r="D16367" s="51"/>
    </row>
    <row r="16368" spans="3:4" x14ac:dyDescent="0.35">
      <c r="C16368" s="51"/>
      <c r="D16368" s="51"/>
    </row>
    <row r="16369" spans="3:4" x14ac:dyDescent="0.35">
      <c r="C16369" s="51"/>
      <c r="D16369" s="51"/>
    </row>
    <row r="16370" spans="3:4" x14ac:dyDescent="0.35">
      <c r="C16370" s="51"/>
      <c r="D16370" s="51"/>
    </row>
    <row r="16371" spans="3:4" x14ac:dyDescent="0.35">
      <c r="C16371" s="51"/>
      <c r="D16371" s="51"/>
    </row>
    <row r="16372" spans="3:4" x14ac:dyDescent="0.35">
      <c r="C16372" s="51"/>
      <c r="D16372" s="51"/>
    </row>
    <row r="16373" spans="3:4" x14ac:dyDescent="0.35">
      <c r="C16373" s="51"/>
      <c r="D16373" s="51"/>
    </row>
    <row r="16374" spans="3:4" x14ac:dyDescent="0.35">
      <c r="C16374" s="51"/>
      <c r="D16374" s="51"/>
    </row>
    <row r="16375" spans="3:4" x14ac:dyDescent="0.35">
      <c r="C16375" s="51"/>
      <c r="D16375" s="51"/>
    </row>
    <row r="16376" spans="3:4" x14ac:dyDescent="0.35">
      <c r="C16376" s="51"/>
      <c r="D16376" s="51"/>
    </row>
    <row r="16377" spans="3:4" x14ac:dyDescent="0.35">
      <c r="C16377" s="51"/>
      <c r="D16377" s="51"/>
    </row>
    <row r="16378" spans="3:4" x14ac:dyDescent="0.35">
      <c r="C16378" s="51"/>
      <c r="D16378" s="51"/>
    </row>
    <row r="16379" spans="3:4" x14ac:dyDescent="0.35">
      <c r="C16379" s="51"/>
      <c r="D16379" s="51"/>
    </row>
    <row r="16380" spans="3:4" x14ac:dyDescent="0.35">
      <c r="C16380" s="51"/>
      <c r="D16380" s="51"/>
    </row>
    <row r="16381" spans="3:4" x14ac:dyDescent="0.35">
      <c r="C16381" s="51"/>
      <c r="D16381" s="51"/>
    </row>
    <row r="16382" spans="3:4" x14ac:dyDescent="0.35">
      <c r="C16382" s="51"/>
      <c r="D16382" s="51"/>
    </row>
    <row r="16383" spans="3:4" x14ac:dyDescent="0.35">
      <c r="C16383" s="51"/>
      <c r="D16383" s="51"/>
    </row>
    <row r="16384" spans="3:4" x14ac:dyDescent="0.35">
      <c r="C16384" s="51"/>
      <c r="D16384" s="51"/>
    </row>
    <row r="16385" spans="3:4" x14ac:dyDescent="0.35">
      <c r="C16385" s="51"/>
      <c r="D16385" s="51"/>
    </row>
    <row r="16386" spans="3:4" x14ac:dyDescent="0.35">
      <c r="C16386" s="51"/>
      <c r="D16386" s="51"/>
    </row>
    <row r="16387" spans="3:4" x14ac:dyDescent="0.35">
      <c r="C16387" s="51"/>
      <c r="D16387" s="51"/>
    </row>
    <row r="16388" spans="3:4" x14ac:dyDescent="0.35">
      <c r="C16388" s="51"/>
      <c r="D16388" s="51"/>
    </row>
    <row r="16389" spans="3:4" x14ac:dyDescent="0.35">
      <c r="C16389" s="51"/>
      <c r="D16389" s="51"/>
    </row>
    <row r="16390" spans="3:4" x14ac:dyDescent="0.35">
      <c r="C16390" s="51"/>
      <c r="D16390" s="51"/>
    </row>
    <row r="16391" spans="3:4" x14ac:dyDescent="0.35">
      <c r="C16391" s="51"/>
      <c r="D16391" s="51"/>
    </row>
    <row r="16392" spans="3:4" x14ac:dyDescent="0.35">
      <c r="C16392" s="51"/>
      <c r="D16392" s="51"/>
    </row>
    <row r="16393" spans="3:4" x14ac:dyDescent="0.35">
      <c r="C16393" s="51"/>
      <c r="D16393" s="51"/>
    </row>
    <row r="16394" spans="3:4" x14ac:dyDescent="0.35">
      <c r="C16394" s="51"/>
      <c r="D16394" s="51"/>
    </row>
    <row r="16395" spans="3:4" x14ac:dyDescent="0.35">
      <c r="C16395" s="51"/>
      <c r="D16395" s="51"/>
    </row>
    <row r="16396" spans="3:4" x14ac:dyDescent="0.35">
      <c r="C16396" s="51"/>
      <c r="D16396" s="51"/>
    </row>
    <row r="16397" spans="3:4" x14ac:dyDescent="0.35">
      <c r="C16397" s="51"/>
      <c r="D16397" s="51"/>
    </row>
    <row r="16398" spans="3:4" x14ac:dyDescent="0.35">
      <c r="C16398" s="51"/>
      <c r="D16398" s="51"/>
    </row>
    <row r="16399" spans="3:4" x14ac:dyDescent="0.35">
      <c r="C16399" s="51"/>
      <c r="D16399" s="51"/>
    </row>
    <row r="16400" spans="3:4" x14ac:dyDescent="0.35">
      <c r="C16400" s="51"/>
      <c r="D16400" s="51"/>
    </row>
    <row r="16401" spans="3:4" x14ac:dyDescent="0.35">
      <c r="C16401" s="51"/>
      <c r="D16401" s="51"/>
    </row>
    <row r="16402" spans="3:4" x14ac:dyDescent="0.35">
      <c r="C16402" s="51"/>
      <c r="D16402" s="51"/>
    </row>
    <row r="16403" spans="3:4" x14ac:dyDescent="0.35">
      <c r="C16403" s="51"/>
      <c r="D16403" s="51"/>
    </row>
    <row r="16404" spans="3:4" x14ac:dyDescent="0.35">
      <c r="C16404" s="51"/>
      <c r="D16404" s="51"/>
    </row>
    <row r="16405" spans="3:4" x14ac:dyDescent="0.35">
      <c r="C16405" s="51"/>
      <c r="D16405" s="51"/>
    </row>
    <row r="16406" spans="3:4" x14ac:dyDescent="0.35">
      <c r="C16406" s="51"/>
      <c r="D16406" s="51"/>
    </row>
    <row r="16407" spans="3:4" x14ac:dyDescent="0.35">
      <c r="C16407" s="51"/>
      <c r="D16407" s="51"/>
    </row>
    <row r="16408" spans="3:4" x14ac:dyDescent="0.35">
      <c r="C16408" s="51"/>
      <c r="D16408" s="51"/>
    </row>
    <row r="16409" spans="3:4" x14ac:dyDescent="0.35">
      <c r="C16409" s="51"/>
      <c r="D16409" s="51"/>
    </row>
    <row r="16410" spans="3:4" x14ac:dyDescent="0.35">
      <c r="C16410" s="51"/>
      <c r="D16410" s="51"/>
    </row>
    <row r="16411" spans="3:4" x14ac:dyDescent="0.35">
      <c r="C16411" s="51"/>
      <c r="D16411" s="51"/>
    </row>
    <row r="16412" spans="3:4" x14ac:dyDescent="0.35">
      <c r="C16412" s="51"/>
      <c r="D16412" s="51"/>
    </row>
    <row r="16413" spans="3:4" x14ac:dyDescent="0.35">
      <c r="C16413" s="51"/>
      <c r="D16413" s="51"/>
    </row>
    <row r="16414" spans="3:4" x14ac:dyDescent="0.35">
      <c r="C16414" s="51"/>
      <c r="D16414" s="51"/>
    </row>
    <row r="16415" spans="3:4" x14ac:dyDescent="0.35">
      <c r="C16415" s="51"/>
      <c r="D16415" s="51"/>
    </row>
    <row r="16416" spans="3:4" x14ac:dyDescent="0.35">
      <c r="C16416" s="51"/>
      <c r="D16416" s="51"/>
    </row>
    <row r="16417" spans="3:4" x14ac:dyDescent="0.35">
      <c r="C16417" s="51"/>
      <c r="D16417" s="51"/>
    </row>
    <row r="16418" spans="3:4" x14ac:dyDescent="0.35">
      <c r="C16418" s="51"/>
      <c r="D16418" s="51"/>
    </row>
    <row r="16419" spans="3:4" x14ac:dyDescent="0.35">
      <c r="C16419" s="51"/>
      <c r="D16419" s="51"/>
    </row>
    <row r="16420" spans="3:4" x14ac:dyDescent="0.35">
      <c r="C16420" s="51"/>
      <c r="D16420" s="51"/>
    </row>
    <row r="16421" spans="3:4" x14ac:dyDescent="0.35">
      <c r="C16421" s="51"/>
      <c r="D16421" s="51"/>
    </row>
    <row r="16422" spans="3:4" x14ac:dyDescent="0.35">
      <c r="C16422" s="51"/>
      <c r="D16422" s="51"/>
    </row>
    <row r="16423" spans="3:4" x14ac:dyDescent="0.35">
      <c r="C16423" s="51"/>
      <c r="D16423" s="51"/>
    </row>
    <row r="16424" spans="3:4" x14ac:dyDescent="0.35">
      <c r="C16424" s="51"/>
      <c r="D16424" s="51"/>
    </row>
    <row r="16425" spans="3:4" x14ac:dyDescent="0.35">
      <c r="C16425" s="51"/>
      <c r="D16425" s="51"/>
    </row>
    <row r="16426" spans="3:4" x14ac:dyDescent="0.35">
      <c r="C16426" s="51"/>
      <c r="D16426" s="51"/>
    </row>
    <row r="16427" spans="3:4" x14ac:dyDescent="0.35">
      <c r="C16427" s="51"/>
      <c r="D16427" s="51"/>
    </row>
    <row r="16428" spans="3:4" x14ac:dyDescent="0.35">
      <c r="C16428" s="51"/>
      <c r="D16428" s="51"/>
    </row>
    <row r="16429" spans="3:4" x14ac:dyDescent="0.35">
      <c r="C16429" s="51"/>
      <c r="D16429" s="51"/>
    </row>
    <row r="16430" spans="3:4" x14ac:dyDescent="0.35">
      <c r="C16430" s="51"/>
      <c r="D16430" s="51"/>
    </row>
    <row r="16431" spans="3:4" x14ac:dyDescent="0.35">
      <c r="C16431" s="51"/>
      <c r="D16431" s="51"/>
    </row>
    <row r="16432" spans="3:4" x14ac:dyDescent="0.35">
      <c r="C16432" s="51"/>
      <c r="D16432" s="51"/>
    </row>
    <row r="16433" spans="3:4" x14ac:dyDescent="0.35">
      <c r="C16433" s="51"/>
      <c r="D16433" s="51"/>
    </row>
    <row r="16434" spans="3:4" x14ac:dyDescent="0.35">
      <c r="C16434" s="51"/>
      <c r="D16434" s="51"/>
    </row>
    <row r="16435" spans="3:4" x14ac:dyDescent="0.35">
      <c r="C16435" s="51"/>
      <c r="D16435" s="51"/>
    </row>
    <row r="16436" spans="3:4" x14ac:dyDescent="0.35">
      <c r="C16436" s="51"/>
      <c r="D16436" s="51"/>
    </row>
    <row r="16437" spans="3:4" x14ac:dyDescent="0.35">
      <c r="C16437" s="51"/>
      <c r="D16437" s="51"/>
    </row>
    <row r="16438" spans="3:4" x14ac:dyDescent="0.35">
      <c r="C16438" s="51"/>
      <c r="D16438" s="51"/>
    </row>
    <row r="16439" spans="3:4" x14ac:dyDescent="0.35">
      <c r="C16439" s="51"/>
      <c r="D16439" s="51"/>
    </row>
    <row r="16440" spans="3:4" x14ac:dyDescent="0.35">
      <c r="C16440" s="51"/>
      <c r="D16440" s="51"/>
    </row>
    <row r="16441" spans="3:4" x14ac:dyDescent="0.35">
      <c r="C16441" s="51"/>
      <c r="D16441" s="51"/>
    </row>
    <row r="16442" spans="3:4" x14ac:dyDescent="0.35">
      <c r="C16442" s="51"/>
      <c r="D16442" s="51"/>
    </row>
    <row r="16443" spans="3:4" x14ac:dyDescent="0.35">
      <c r="C16443" s="51"/>
      <c r="D16443" s="51"/>
    </row>
    <row r="16444" spans="3:4" x14ac:dyDescent="0.35">
      <c r="C16444" s="51"/>
      <c r="D16444" s="51"/>
    </row>
    <row r="16445" spans="3:4" x14ac:dyDescent="0.35">
      <c r="C16445" s="51"/>
      <c r="D16445" s="51"/>
    </row>
    <row r="16446" spans="3:4" x14ac:dyDescent="0.35">
      <c r="C16446" s="51"/>
      <c r="D16446" s="51"/>
    </row>
    <row r="16447" spans="3:4" x14ac:dyDescent="0.35">
      <c r="C16447" s="51"/>
      <c r="D16447" s="51"/>
    </row>
    <row r="16448" spans="3:4" x14ac:dyDescent="0.35">
      <c r="C16448" s="51"/>
      <c r="D16448" s="51"/>
    </row>
    <row r="16449" spans="3:4" x14ac:dyDescent="0.35">
      <c r="C16449" s="51"/>
      <c r="D16449" s="51"/>
    </row>
    <row r="16450" spans="3:4" x14ac:dyDescent="0.35">
      <c r="C16450" s="51"/>
      <c r="D16450" s="51"/>
    </row>
    <row r="16451" spans="3:4" x14ac:dyDescent="0.35">
      <c r="C16451" s="51"/>
      <c r="D16451" s="51"/>
    </row>
    <row r="16452" spans="3:4" x14ac:dyDescent="0.35">
      <c r="C16452" s="51"/>
      <c r="D16452" s="51"/>
    </row>
    <row r="16453" spans="3:4" x14ac:dyDescent="0.35">
      <c r="C16453" s="51"/>
      <c r="D16453" s="51"/>
    </row>
    <row r="16454" spans="3:4" x14ac:dyDescent="0.35">
      <c r="C16454" s="51"/>
      <c r="D16454" s="51"/>
    </row>
    <row r="16455" spans="3:4" x14ac:dyDescent="0.35">
      <c r="C16455" s="51"/>
      <c r="D16455" s="51"/>
    </row>
    <row r="16456" spans="3:4" x14ac:dyDescent="0.35">
      <c r="C16456" s="51"/>
      <c r="D16456" s="51"/>
    </row>
    <row r="16457" spans="3:4" x14ac:dyDescent="0.35">
      <c r="C16457" s="51"/>
      <c r="D16457" s="51"/>
    </row>
    <row r="16458" spans="3:4" x14ac:dyDescent="0.35">
      <c r="C16458" s="51"/>
      <c r="D16458" s="51"/>
    </row>
    <row r="16459" spans="3:4" x14ac:dyDescent="0.35">
      <c r="C16459" s="51"/>
      <c r="D16459" s="51"/>
    </row>
    <row r="16460" spans="3:4" x14ac:dyDescent="0.35">
      <c r="C16460" s="51"/>
      <c r="D16460" s="51"/>
    </row>
    <row r="16461" spans="3:4" x14ac:dyDescent="0.35">
      <c r="C16461" s="51"/>
      <c r="D16461" s="51"/>
    </row>
    <row r="16462" spans="3:4" x14ac:dyDescent="0.35">
      <c r="C16462" s="51"/>
      <c r="D16462" s="51"/>
    </row>
    <row r="16463" spans="3:4" x14ac:dyDescent="0.35">
      <c r="C16463" s="51"/>
      <c r="D16463" s="51"/>
    </row>
    <row r="16464" spans="3:4" x14ac:dyDescent="0.35">
      <c r="C16464" s="51"/>
      <c r="D16464" s="51"/>
    </row>
    <row r="16465" spans="3:4" x14ac:dyDescent="0.35">
      <c r="C16465" s="51"/>
      <c r="D16465" s="51"/>
    </row>
    <row r="16466" spans="3:4" x14ac:dyDescent="0.35">
      <c r="C16466" s="51"/>
      <c r="D16466" s="51"/>
    </row>
    <row r="16467" spans="3:4" x14ac:dyDescent="0.35">
      <c r="C16467" s="51"/>
      <c r="D16467" s="51"/>
    </row>
    <row r="16468" spans="3:4" x14ac:dyDescent="0.35">
      <c r="C16468" s="51"/>
      <c r="D16468" s="51"/>
    </row>
    <row r="16469" spans="3:4" x14ac:dyDescent="0.35">
      <c r="C16469" s="51"/>
      <c r="D16469" s="51"/>
    </row>
    <row r="16470" spans="3:4" x14ac:dyDescent="0.35">
      <c r="C16470" s="51"/>
      <c r="D16470" s="51"/>
    </row>
    <row r="16471" spans="3:4" x14ac:dyDescent="0.35">
      <c r="C16471" s="51"/>
      <c r="D16471" s="51"/>
    </row>
    <row r="16472" spans="3:4" x14ac:dyDescent="0.35">
      <c r="C16472" s="51"/>
      <c r="D16472" s="51"/>
    </row>
    <row r="16473" spans="3:4" x14ac:dyDescent="0.35">
      <c r="C16473" s="51"/>
      <c r="D16473" s="51"/>
    </row>
    <row r="16474" spans="3:4" x14ac:dyDescent="0.35">
      <c r="C16474" s="51"/>
      <c r="D16474" s="51"/>
    </row>
    <row r="16475" spans="3:4" x14ac:dyDescent="0.35">
      <c r="C16475" s="51"/>
      <c r="D16475" s="51"/>
    </row>
    <row r="16476" spans="3:4" x14ac:dyDescent="0.35">
      <c r="C16476" s="51"/>
      <c r="D16476" s="51"/>
    </row>
    <row r="16477" spans="3:4" x14ac:dyDescent="0.35">
      <c r="C16477" s="51"/>
      <c r="D16477" s="51"/>
    </row>
    <row r="16478" spans="3:4" x14ac:dyDescent="0.35">
      <c r="C16478" s="51"/>
      <c r="D16478" s="51"/>
    </row>
    <row r="16479" spans="3:4" x14ac:dyDescent="0.35">
      <c r="C16479" s="51"/>
      <c r="D16479" s="51"/>
    </row>
    <row r="16480" spans="3:4" x14ac:dyDescent="0.35">
      <c r="C16480" s="51"/>
      <c r="D16480" s="51"/>
    </row>
    <row r="16481" spans="3:4" x14ac:dyDescent="0.35">
      <c r="C16481" s="51"/>
      <c r="D16481" s="51"/>
    </row>
    <row r="16482" spans="3:4" x14ac:dyDescent="0.35">
      <c r="C16482" s="51"/>
      <c r="D16482" s="51"/>
    </row>
    <row r="16483" spans="3:4" x14ac:dyDescent="0.35">
      <c r="C16483" s="51"/>
      <c r="D16483" s="51"/>
    </row>
    <row r="16484" spans="3:4" x14ac:dyDescent="0.35">
      <c r="C16484" s="51"/>
      <c r="D16484" s="51"/>
    </row>
    <row r="16485" spans="3:4" x14ac:dyDescent="0.35">
      <c r="C16485" s="51"/>
      <c r="D16485" s="51"/>
    </row>
    <row r="16486" spans="3:4" x14ac:dyDescent="0.35">
      <c r="C16486" s="51"/>
      <c r="D16486" s="51"/>
    </row>
    <row r="16487" spans="3:4" x14ac:dyDescent="0.35">
      <c r="C16487" s="51"/>
      <c r="D16487" s="51"/>
    </row>
    <row r="16488" spans="3:4" x14ac:dyDescent="0.35">
      <c r="C16488" s="51"/>
      <c r="D16488" s="51"/>
    </row>
    <row r="16489" spans="3:4" x14ac:dyDescent="0.35">
      <c r="C16489" s="51"/>
      <c r="D16489" s="51"/>
    </row>
    <row r="16490" spans="3:4" x14ac:dyDescent="0.35">
      <c r="C16490" s="51"/>
      <c r="D16490" s="51"/>
    </row>
    <row r="16491" spans="3:4" x14ac:dyDescent="0.35">
      <c r="C16491" s="51"/>
      <c r="D16491" s="51"/>
    </row>
    <row r="16492" spans="3:4" x14ac:dyDescent="0.35">
      <c r="C16492" s="51"/>
      <c r="D16492" s="51"/>
    </row>
    <row r="16493" spans="3:4" x14ac:dyDescent="0.35">
      <c r="C16493" s="51"/>
      <c r="D16493" s="51"/>
    </row>
    <row r="16494" spans="3:4" x14ac:dyDescent="0.35">
      <c r="C16494" s="51"/>
      <c r="D16494" s="51"/>
    </row>
    <row r="16495" spans="3:4" x14ac:dyDescent="0.35">
      <c r="C16495" s="51"/>
      <c r="D16495" s="51"/>
    </row>
    <row r="16496" spans="3:4" x14ac:dyDescent="0.35">
      <c r="C16496" s="51"/>
      <c r="D16496" s="51"/>
    </row>
    <row r="16497" spans="3:4" x14ac:dyDescent="0.35">
      <c r="C16497" s="51"/>
      <c r="D16497" s="51"/>
    </row>
    <row r="16498" spans="3:4" x14ac:dyDescent="0.35">
      <c r="C16498" s="51"/>
      <c r="D16498" s="51"/>
    </row>
    <row r="16499" spans="3:4" x14ac:dyDescent="0.35">
      <c r="C16499" s="51"/>
      <c r="D16499" s="51"/>
    </row>
    <row r="16500" spans="3:4" x14ac:dyDescent="0.35">
      <c r="C16500" s="51"/>
      <c r="D16500" s="51"/>
    </row>
    <row r="16501" spans="3:4" x14ac:dyDescent="0.35">
      <c r="C16501" s="51"/>
      <c r="D16501" s="51"/>
    </row>
    <row r="16502" spans="3:4" x14ac:dyDescent="0.35">
      <c r="C16502" s="51"/>
      <c r="D16502" s="51"/>
    </row>
    <row r="16503" spans="3:4" x14ac:dyDescent="0.35">
      <c r="C16503" s="51"/>
      <c r="D16503" s="51"/>
    </row>
    <row r="16504" spans="3:4" x14ac:dyDescent="0.35">
      <c r="C16504" s="51"/>
      <c r="D16504" s="51"/>
    </row>
    <row r="16505" spans="3:4" x14ac:dyDescent="0.35">
      <c r="C16505" s="51"/>
      <c r="D16505" s="51"/>
    </row>
    <row r="16506" spans="3:4" x14ac:dyDescent="0.35">
      <c r="C16506" s="51"/>
      <c r="D16506" s="51"/>
    </row>
    <row r="16507" spans="3:4" x14ac:dyDescent="0.35">
      <c r="C16507" s="51"/>
      <c r="D16507" s="51"/>
    </row>
    <row r="16508" spans="3:4" x14ac:dyDescent="0.35">
      <c r="C16508" s="51"/>
      <c r="D16508" s="51"/>
    </row>
    <row r="16509" spans="3:4" x14ac:dyDescent="0.35">
      <c r="C16509" s="51"/>
      <c r="D16509" s="51"/>
    </row>
    <row r="16510" spans="3:4" x14ac:dyDescent="0.35">
      <c r="C16510" s="51"/>
      <c r="D16510" s="51"/>
    </row>
    <row r="16511" spans="3:4" x14ac:dyDescent="0.35">
      <c r="C16511" s="51"/>
      <c r="D16511" s="51"/>
    </row>
    <row r="16512" spans="3:4" x14ac:dyDescent="0.35">
      <c r="C16512" s="51"/>
      <c r="D16512" s="51"/>
    </row>
    <row r="16513" spans="3:4" x14ac:dyDescent="0.35">
      <c r="C16513" s="51"/>
      <c r="D16513" s="51"/>
    </row>
    <row r="16514" spans="3:4" x14ac:dyDescent="0.35">
      <c r="C16514" s="51"/>
      <c r="D16514" s="51"/>
    </row>
    <row r="16515" spans="3:4" x14ac:dyDescent="0.35">
      <c r="C16515" s="51"/>
      <c r="D16515" s="51"/>
    </row>
    <row r="16516" spans="3:4" x14ac:dyDescent="0.35">
      <c r="C16516" s="51"/>
      <c r="D16516" s="51"/>
    </row>
    <row r="16517" spans="3:4" x14ac:dyDescent="0.35">
      <c r="C16517" s="51"/>
      <c r="D16517" s="51"/>
    </row>
    <row r="16518" spans="3:4" x14ac:dyDescent="0.35">
      <c r="C16518" s="51"/>
      <c r="D16518" s="51"/>
    </row>
    <row r="16519" spans="3:4" x14ac:dyDescent="0.35">
      <c r="C16519" s="51"/>
      <c r="D16519" s="51"/>
    </row>
    <row r="16520" spans="3:4" x14ac:dyDescent="0.35">
      <c r="C16520" s="51"/>
      <c r="D16520" s="51"/>
    </row>
    <row r="16521" spans="3:4" x14ac:dyDescent="0.35">
      <c r="C16521" s="51"/>
      <c r="D16521" s="51"/>
    </row>
    <row r="16522" spans="3:4" x14ac:dyDescent="0.35">
      <c r="C16522" s="51"/>
      <c r="D16522" s="51"/>
    </row>
    <row r="16523" spans="3:4" x14ac:dyDescent="0.35">
      <c r="C16523" s="51"/>
      <c r="D16523" s="51"/>
    </row>
    <row r="16524" spans="3:4" x14ac:dyDescent="0.35">
      <c r="C16524" s="51"/>
      <c r="D16524" s="51"/>
    </row>
    <row r="16525" spans="3:4" x14ac:dyDescent="0.35">
      <c r="C16525" s="51"/>
      <c r="D16525" s="51"/>
    </row>
    <row r="16526" spans="3:4" x14ac:dyDescent="0.35">
      <c r="C16526" s="51"/>
      <c r="D16526" s="51"/>
    </row>
    <row r="16527" spans="3:4" x14ac:dyDescent="0.35">
      <c r="C16527" s="51"/>
      <c r="D16527" s="51"/>
    </row>
    <row r="16528" spans="3:4" x14ac:dyDescent="0.35">
      <c r="C16528" s="51"/>
      <c r="D16528" s="51"/>
    </row>
    <row r="16529" spans="3:4" x14ac:dyDescent="0.35">
      <c r="C16529" s="51"/>
      <c r="D16529" s="51"/>
    </row>
    <row r="16530" spans="3:4" x14ac:dyDescent="0.35">
      <c r="C16530" s="51"/>
      <c r="D16530" s="51"/>
    </row>
    <row r="16531" spans="3:4" x14ac:dyDescent="0.35">
      <c r="C16531" s="51"/>
      <c r="D16531" s="51"/>
    </row>
    <row r="16532" spans="3:4" x14ac:dyDescent="0.35">
      <c r="C16532" s="51"/>
      <c r="D16532" s="51"/>
    </row>
    <row r="16533" spans="3:4" x14ac:dyDescent="0.35">
      <c r="C16533" s="51"/>
      <c r="D16533" s="51"/>
    </row>
    <row r="16534" spans="3:4" x14ac:dyDescent="0.35">
      <c r="C16534" s="51"/>
      <c r="D16534" s="51"/>
    </row>
    <row r="16535" spans="3:4" x14ac:dyDescent="0.35">
      <c r="C16535" s="51"/>
      <c r="D16535" s="51"/>
    </row>
    <row r="16536" spans="3:4" x14ac:dyDescent="0.35">
      <c r="C16536" s="51"/>
      <c r="D16536" s="51"/>
    </row>
    <row r="16537" spans="3:4" x14ac:dyDescent="0.35">
      <c r="C16537" s="51"/>
      <c r="D16537" s="51"/>
    </row>
    <row r="16538" spans="3:4" x14ac:dyDescent="0.35">
      <c r="C16538" s="51"/>
      <c r="D16538" s="51"/>
    </row>
    <row r="16539" spans="3:4" x14ac:dyDescent="0.35">
      <c r="C16539" s="51"/>
      <c r="D16539" s="51"/>
    </row>
    <row r="16540" spans="3:4" x14ac:dyDescent="0.35">
      <c r="C16540" s="51"/>
      <c r="D16540" s="51"/>
    </row>
    <row r="16541" spans="3:4" x14ac:dyDescent="0.35">
      <c r="C16541" s="51"/>
      <c r="D16541" s="51"/>
    </row>
    <row r="16542" spans="3:4" x14ac:dyDescent="0.35">
      <c r="C16542" s="51"/>
      <c r="D16542" s="51"/>
    </row>
    <row r="16543" spans="3:4" x14ac:dyDescent="0.35">
      <c r="C16543" s="51"/>
      <c r="D16543" s="51"/>
    </row>
    <row r="16544" spans="3:4" x14ac:dyDescent="0.35">
      <c r="C16544" s="51"/>
      <c r="D16544" s="51"/>
    </row>
    <row r="16545" spans="3:4" x14ac:dyDescent="0.35">
      <c r="C16545" s="51"/>
      <c r="D16545" s="51"/>
    </row>
    <row r="16546" spans="3:4" x14ac:dyDescent="0.35">
      <c r="C16546" s="51"/>
      <c r="D16546" s="51"/>
    </row>
    <row r="16547" spans="3:4" x14ac:dyDescent="0.35">
      <c r="C16547" s="51"/>
      <c r="D16547" s="51"/>
    </row>
    <row r="16548" spans="3:4" x14ac:dyDescent="0.35">
      <c r="C16548" s="51"/>
      <c r="D16548" s="51"/>
    </row>
    <row r="16549" spans="3:4" x14ac:dyDescent="0.35">
      <c r="C16549" s="51"/>
      <c r="D16549" s="51"/>
    </row>
    <row r="16550" spans="3:4" x14ac:dyDescent="0.35">
      <c r="C16550" s="51"/>
      <c r="D16550" s="51"/>
    </row>
    <row r="16551" spans="3:4" x14ac:dyDescent="0.35">
      <c r="C16551" s="51"/>
      <c r="D16551" s="51"/>
    </row>
    <row r="16552" spans="3:4" x14ac:dyDescent="0.35">
      <c r="C16552" s="51"/>
      <c r="D16552" s="51"/>
    </row>
    <row r="16553" spans="3:4" x14ac:dyDescent="0.35">
      <c r="C16553" s="51"/>
      <c r="D16553" s="51"/>
    </row>
    <row r="16554" spans="3:4" x14ac:dyDescent="0.35">
      <c r="C16554" s="51"/>
      <c r="D16554" s="51"/>
    </row>
    <row r="16555" spans="3:4" x14ac:dyDescent="0.35">
      <c r="C16555" s="51"/>
      <c r="D16555" s="51"/>
    </row>
    <row r="16556" spans="3:4" x14ac:dyDescent="0.35">
      <c r="C16556" s="51"/>
      <c r="D16556" s="51"/>
    </row>
    <row r="16557" spans="3:4" x14ac:dyDescent="0.35">
      <c r="C16557" s="51"/>
      <c r="D16557" s="51"/>
    </row>
    <row r="16558" spans="3:4" x14ac:dyDescent="0.35">
      <c r="C16558" s="51"/>
      <c r="D16558" s="51"/>
    </row>
    <row r="16559" spans="3:4" x14ac:dyDescent="0.35">
      <c r="C16559" s="51"/>
      <c r="D16559" s="51"/>
    </row>
    <row r="16560" spans="3:4" x14ac:dyDescent="0.35">
      <c r="C16560" s="51"/>
      <c r="D16560" s="51"/>
    </row>
    <row r="16561" spans="3:4" x14ac:dyDescent="0.35">
      <c r="C16561" s="51"/>
      <c r="D16561" s="51"/>
    </row>
    <row r="16562" spans="3:4" x14ac:dyDescent="0.35">
      <c r="C16562" s="51"/>
      <c r="D16562" s="51"/>
    </row>
    <row r="16563" spans="3:4" x14ac:dyDescent="0.35">
      <c r="C16563" s="51"/>
      <c r="D16563" s="51"/>
    </row>
    <row r="16564" spans="3:4" x14ac:dyDescent="0.35">
      <c r="C16564" s="51"/>
      <c r="D16564" s="51"/>
    </row>
    <row r="16565" spans="3:4" x14ac:dyDescent="0.35">
      <c r="C16565" s="51"/>
      <c r="D16565" s="51"/>
    </row>
    <row r="16566" spans="3:4" x14ac:dyDescent="0.35">
      <c r="C16566" s="51"/>
      <c r="D16566" s="51"/>
    </row>
    <row r="16567" spans="3:4" x14ac:dyDescent="0.35">
      <c r="C16567" s="51"/>
      <c r="D16567" s="51"/>
    </row>
    <row r="16568" spans="3:4" x14ac:dyDescent="0.35">
      <c r="C16568" s="51"/>
      <c r="D16568" s="51"/>
    </row>
    <row r="16569" spans="3:4" x14ac:dyDescent="0.35">
      <c r="C16569" s="51"/>
      <c r="D16569" s="51"/>
    </row>
    <row r="16570" spans="3:4" x14ac:dyDescent="0.35">
      <c r="C16570" s="51"/>
      <c r="D16570" s="51"/>
    </row>
    <row r="16571" spans="3:4" x14ac:dyDescent="0.35">
      <c r="C16571" s="51"/>
      <c r="D16571" s="51"/>
    </row>
    <row r="16572" spans="3:4" x14ac:dyDescent="0.35">
      <c r="C16572" s="51"/>
      <c r="D16572" s="51"/>
    </row>
    <row r="16573" spans="3:4" x14ac:dyDescent="0.35">
      <c r="C16573" s="51"/>
      <c r="D16573" s="51"/>
    </row>
    <row r="16574" spans="3:4" x14ac:dyDescent="0.35">
      <c r="C16574" s="51"/>
      <c r="D16574" s="51"/>
    </row>
    <row r="16575" spans="3:4" x14ac:dyDescent="0.35">
      <c r="C16575" s="51"/>
      <c r="D16575" s="51"/>
    </row>
    <row r="16576" spans="3:4" x14ac:dyDescent="0.35">
      <c r="C16576" s="51"/>
      <c r="D16576" s="51"/>
    </row>
    <row r="16577" spans="3:4" x14ac:dyDescent="0.35">
      <c r="C16577" s="51"/>
      <c r="D16577" s="51"/>
    </row>
    <row r="16578" spans="3:4" x14ac:dyDescent="0.35">
      <c r="C16578" s="51"/>
      <c r="D16578" s="51"/>
    </row>
    <row r="16579" spans="3:4" x14ac:dyDescent="0.35">
      <c r="C16579" s="51"/>
      <c r="D16579" s="51"/>
    </row>
    <row r="16580" spans="3:4" x14ac:dyDescent="0.35">
      <c r="C16580" s="51"/>
      <c r="D16580" s="51"/>
    </row>
    <row r="16581" spans="3:4" x14ac:dyDescent="0.35">
      <c r="C16581" s="51"/>
      <c r="D16581" s="51"/>
    </row>
    <row r="16582" spans="3:4" x14ac:dyDescent="0.35">
      <c r="C16582" s="51"/>
      <c r="D16582" s="51"/>
    </row>
    <row r="16583" spans="3:4" x14ac:dyDescent="0.35">
      <c r="C16583" s="51"/>
      <c r="D16583" s="51"/>
    </row>
    <row r="16584" spans="3:4" x14ac:dyDescent="0.35">
      <c r="C16584" s="51"/>
      <c r="D16584" s="51"/>
    </row>
    <row r="16585" spans="3:4" x14ac:dyDescent="0.35">
      <c r="C16585" s="51"/>
      <c r="D16585" s="51"/>
    </row>
    <row r="16586" spans="3:4" x14ac:dyDescent="0.35">
      <c r="C16586" s="51"/>
      <c r="D16586" s="51"/>
    </row>
    <row r="16587" spans="3:4" x14ac:dyDescent="0.35">
      <c r="C16587" s="51"/>
      <c r="D16587" s="51"/>
    </row>
    <row r="16588" spans="3:4" x14ac:dyDescent="0.35">
      <c r="C16588" s="51"/>
      <c r="D16588" s="51"/>
    </row>
    <row r="16589" spans="3:4" x14ac:dyDescent="0.35">
      <c r="C16589" s="51"/>
      <c r="D16589" s="51"/>
    </row>
    <row r="16590" spans="3:4" x14ac:dyDescent="0.35">
      <c r="C16590" s="51"/>
      <c r="D16590" s="51"/>
    </row>
    <row r="16591" spans="3:4" x14ac:dyDescent="0.35">
      <c r="C16591" s="51"/>
      <c r="D16591" s="51"/>
    </row>
    <row r="16592" spans="3:4" x14ac:dyDescent="0.35">
      <c r="C16592" s="51"/>
      <c r="D16592" s="51"/>
    </row>
    <row r="16593" spans="3:4" x14ac:dyDescent="0.35">
      <c r="C16593" s="51"/>
      <c r="D16593" s="51"/>
    </row>
    <row r="16594" spans="3:4" x14ac:dyDescent="0.35">
      <c r="C16594" s="51"/>
      <c r="D16594" s="51"/>
    </row>
    <row r="16595" spans="3:4" x14ac:dyDescent="0.35">
      <c r="C16595" s="51"/>
      <c r="D16595" s="51"/>
    </row>
    <row r="16596" spans="3:4" x14ac:dyDescent="0.35">
      <c r="C16596" s="51"/>
      <c r="D16596" s="51"/>
    </row>
    <row r="16597" spans="3:4" x14ac:dyDescent="0.35">
      <c r="C16597" s="51"/>
      <c r="D16597" s="51"/>
    </row>
    <row r="16598" spans="3:4" x14ac:dyDescent="0.35">
      <c r="C16598" s="51"/>
      <c r="D16598" s="51"/>
    </row>
    <row r="16599" spans="3:4" x14ac:dyDescent="0.35">
      <c r="C16599" s="51"/>
      <c r="D16599" s="51"/>
    </row>
    <row r="16600" spans="3:4" x14ac:dyDescent="0.35">
      <c r="C16600" s="51"/>
      <c r="D16600" s="51"/>
    </row>
    <row r="16601" spans="3:4" x14ac:dyDescent="0.35">
      <c r="C16601" s="51"/>
      <c r="D16601" s="51"/>
    </row>
    <row r="16602" spans="3:4" x14ac:dyDescent="0.35">
      <c r="C16602" s="51"/>
      <c r="D16602" s="51"/>
    </row>
    <row r="16603" spans="3:4" x14ac:dyDescent="0.35">
      <c r="C16603" s="51"/>
      <c r="D16603" s="51"/>
    </row>
    <row r="16604" spans="3:4" x14ac:dyDescent="0.35">
      <c r="C16604" s="51"/>
      <c r="D16604" s="51"/>
    </row>
    <row r="16605" spans="3:4" x14ac:dyDescent="0.35">
      <c r="C16605" s="51"/>
      <c r="D16605" s="51"/>
    </row>
    <row r="16606" spans="3:4" x14ac:dyDescent="0.35">
      <c r="C16606" s="51"/>
      <c r="D16606" s="51"/>
    </row>
    <row r="16607" spans="3:4" x14ac:dyDescent="0.35">
      <c r="C16607" s="51"/>
      <c r="D16607" s="51"/>
    </row>
    <row r="16608" spans="3:4" x14ac:dyDescent="0.35">
      <c r="C16608" s="51"/>
      <c r="D16608" s="51"/>
    </row>
    <row r="16609" spans="3:4" x14ac:dyDescent="0.35">
      <c r="C16609" s="51"/>
      <c r="D16609" s="51"/>
    </row>
    <row r="16610" spans="3:4" x14ac:dyDescent="0.35">
      <c r="C16610" s="51"/>
      <c r="D16610" s="51"/>
    </row>
    <row r="16611" spans="3:4" x14ac:dyDescent="0.35">
      <c r="C16611" s="51"/>
      <c r="D16611" s="51"/>
    </row>
    <row r="16612" spans="3:4" x14ac:dyDescent="0.35">
      <c r="C16612" s="51"/>
      <c r="D16612" s="51"/>
    </row>
    <row r="16613" spans="3:4" x14ac:dyDescent="0.35">
      <c r="C16613" s="51"/>
      <c r="D16613" s="51"/>
    </row>
    <row r="16614" spans="3:4" x14ac:dyDescent="0.35">
      <c r="C16614" s="51"/>
      <c r="D16614" s="51"/>
    </row>
    <row r="16615" spans="3:4" x14ac:dyDescent="0.35">
      <c r="C16615" s="51"/>
      <c r="D16615" s="51"/>
    </row>
    <row r="16616" spans="3:4" x14ac:dyDescent="0.35">
      <c r="C16616" s="51"/>
      <c r="D16616" s="51"/>
    </row>
    <row r="16617" spans="3:4" x14ac:dyDescent="0.35">
      <c r="C16617" s="51"/>
      <c r="D16617" s="51"/>
    </row>
    <row r="16618" spans="3:4" x14ac:dyDescent="0.35">
      <c r="C16618" s="51"/>
      <c r="D16618" s="51"/>
    </row>
    <row r="16619" spans="3:4" x14ac:dyDescent="0.35">
      <c r="C16619" s="51"/>
      <c r="D16619" s="51"/>
    </row>
    <row r="16620" spans="3:4" x14ac:dyDescent="0.35">
      <c r="C16620" s="51"/>
      <c r="D16620" s="51"/>
    </row>
    <row r="16621" spans="3:4" x14ac:dyDescent="0.35">
      <c r="C16621" s="51"/>
      <c r="D16621" s="51"/>
    </row>
    <row r="16622" spans="3:4" x14ac:dyDescent="0.35">
      <c r="C16622" s="51"/>
      <c r="D16622" s="51"/>
    </row>
    <row r="16623" spans="3:4" x14ac:dyDescent="0.35">
      <c r="C16623" s="51"/>
      <c r="D16623" s="51"/>
    </row>
    <row r="16624" spans="3:4" x14ac:dyDescent="0.35">
      <c r="C16624" s="51"/>
      <c r="D16624" s="51"/>
    </row>
    <row r="16625" spans="3:4" x14ac:dyDescent="0.35">
      <c r="C16625" s="51"/>
      <c r="D16625" s="51"/>
    </row>
    <row r="16626" spans="3:4" x14ac:dyDescent="0.35">
      <c r="C16626" s="51"/>
      <c r="D16626" s="51"/>
    </row>
    <row r="16627" spans="3:4" x14ac:dyDescent="0.35">
      <c r="C16627" s="51"/>
      <c r="D16627" s="51"/>
    </row>
    <row r="16628" spans="3:4" x14ac:dyDescent="0.35">
      <c r="C16628" s="51"/>
      <c r="D16628" s="51"/>
    </row>
    <row r="16629" spans="3:4" x14ac:dyDescent="0.35">
      <c r="C16629" s="51"/>
      <c r="D16629" s="51"/>
    </row>
    <row r="16630" spans="3:4" x14ac:dyDescent="0.35">
      <c r="C16630" s="51"/>
      <c r="D16630" s="51"/>
    </row>
    <row r="16631" spans="3:4" x14ac:dyDescent="0.35">
      <c r="C16631" s="51"/>
      <c r="D16631" s="51"/>
    </row>
    <row r="16632" spans="3:4" x14ac:dyDescent="0.35">
      <c r="C16632" s="51"/>
      <c r="D16632" s="51"/>
    </row>
    <row r="16633" spans="3:4" x14ac:dyDescent="0.35">
      <c r="C16633" s="51"/>
      <c r="D16633" s="51"/>
    </row>
    <row r="16634" spans="3:4" x14ac:dyDescent="0.35">
      <c r="C16634" s="51"/>
      <c r="D16634" s="51"/>
    </row>
    <row r="16635" spans="3:4" x14ac:dyDescent="0.35">
      <c r="C16635" s="51"/>
      <c r="D16635" s="51"/>
    </row>
    <row r="16636" spans="3:4" x14ac:dyDescent="0.35">
      <c r="C16636" s="51"/>
      <c r="D16636" s="51"/>
    </row>
    <row r="16637" spans="3:4" x14ac:dyDescent="0.35">
      <c r="C16637" s="51"/>
      <c r="D16637" s="51"/>
    </row>
    <row r="16638" spans="3:4" x14ac:dyDescent="0.35">
      <c r="C16638" s="51"/>
      <c r="D16638" s="51"/>
    </row>
    <row r="16639" spans="3:4" x14ac:dyDescent="0.35">
      <c r="C16639" s="51"/>
      <c r="D16639" s="51"/>
    </row>
    <row r="16640" spans="3:4" x14ac:dyDescent="0.35">
      <c r="C16640" s="51"/>
      <c r="D16640" s="51"/>
    </row>
    <row r="16641" spans="3:4" x14ac:dyDescent="0.35">
      <c r="C16641" s="51"/>
      <c r="D16641" s="51"/>
    </row>
    <row r="16642" spans="3:4" x14ac:dyDescent="0.35">
      <c r="C16642" s="51"/>
      <c r="D16642" s="51"/>
    </row>
    <row r="16643" spans="3:4" x14ac:dyDescent="0.35">
      <c r="C16643" s="51"/>
      <c r="D16643" s="51"/>
    </row>
    <row r="16644" spans="3:4" x14ac:dyDescent="0.35">
      <c r="C16644" s="51"/>
      <c r="D16644" s="51"/>
    </row>
    <row r="16645" spans="3:4" x14ac:dyDescent="0.35">
      <c r="C16645" s="51"/>
      <c r="D16645" s="51"/>
    </row>
    <row r="16646" spans="3:4" x14ac:dyDescent="0.35">
      <c r="C16646" s="51"/>
      <c r="D16646" s="51"/>
    </row>
    <row r="16647" spans="3:4" x14ac:dyDescent="0.35">
      <c r="C16647" s="51"/>
      <c r="D16647" s="51"/>
    </row>
    <row r="16648" spans="3:4" x14ac:dyDescent="0.35">
      <c r="C16648" s="51"/>
      <c r="D16648" s="51"/>
    </row>
    <row r="16649" spans="3:4" x14ac:dyDescent="0.35">
      <c r="C16649" s="51"/>
      <c r="D16649" s="51"/>
    </row>
    <row r="16650" spans="3:4" x14ac:dyDescent="0.35">
      <c r="C16650" s="51"/>
      <c r="D16650" s="51"/>
    </row>
    <row r="16651" spans="3:4" x14ac:dyDescent="0.35">
      <c r="C16651" s="51"/>
      <c r="D16651" s="51"/>
    </row>
    <row r="16652" spans="3:4" x14ac:dyDescent="0.35">
      <c r="C16652" s="51"/>
      <c r="D16652" s="51"/>
    </row>
    <row r="16653" spans="3:4" x14ac:dyDescent="0.35">
      <c r="C16653" s="51"/>
      <c r="D16653" s="51"/>
    </row>
    <row r="16654" spans="3:4" x14ac:dyDescent="0.35">
      <c r="C16654" s="51"/>
      <c r="D16654" s="51"/>
    </row>
    <row r="16655" spans="3:4" x14ac:dyDescent="0.35">
      <c r="C16655" s="51"/>
      <c r="D16655" s="51"/>
    </row>
    <row r="16656" spans="3:4" x14ac:dyDescent="0.35">
      <c r="C16656" s="51"/>
      <c r="D16656" s="51"/>
    </row>
    <row r="16657" spans="3:4" x14ac:dyDescent="0.35">
      <c r="C16657" s="51"/>
      <c r="D16657" s="51"/>
    </row>
    <row r="16658" spans="3:4" x14ac:dyDescent="0.35">
      <c r="C16658" s="51"/>
      <c r="D16658" s="51"/>
    </row>
    <row r="16659" spans="3:4" x14ac:dyDescent="0.35">
      <c r="C16659" s="51"/>
      <c r="D16659" s="51"/>
    </row>
    <row r="16660" spans="3:4" x14ac:dyDescent="0.35">
      <c r="C16660" s="51"/>
      <c r="D16660" s="51"/>
    </row>
    <row r="16661" spans="3:4" x14ac:dyDescent="0.35">
      <c r="C16661" s="51"/>
      <c r="D16661" s="51"/>
    </row>
    <row r="16662" spans="3:4" x14ac:dyDescent="0.35">
      <c r="C16662" s="51"/>
      <c r="D16662" s="51"/>
    </row>
    <row r="16663" spans="3:4" x14ac:dyDescent="0.35">
      <c r="C16663" s="51"/>
      <c r="D16663" s="51"/>
    </row>
    <row r="16664" spans="3:4" x14ac:dyDescent="0.35">
      <c r="C16664" s="51"/>
      <c r="D16664" s="51"/>
    </row>
    <row r="16665" spans="3:4" x14ac:dyDescent="0.35">
      <c r="C16665" s="51"/>
      <c r="D16665" s="51"/>
    </row>
    <row r="16666" spans="3:4" x14ac:dyDescent="0.35">
      <c r="C16666" s="51"/>
      <c r="D16666" s="51"/>
    </row>
    <row r="16667" spans="3:4" x14ac:dyDescent="0.35">
      <c r="C16667" s="51"/>
      <c r="D16667" s="51"/>
    </row>
    <row r="16668" spans="3:4" x14ac:dyDescent="0.35">
      <c r="C16668" s="51"/>
      <c r="D16668" s="51"/>
    </row>
    <row r="16669" spans="3:4" x14ac:dyDescent="0.35">
      <c r="C16669" s="51"/>
      <c r="D16669" s="51"/>
    </row>
    <row r="16670" spans="3:4" x14ac:dyDescent="0.35">
      <c r="C16670" s="51"/>
      <c r="D16670" s="51"/>
    </row>
    <row r="16671" spans="3:4" x14ac:dyDescent="0.35">
      <c r="C16671" s="51"/>
      <c r="D16671" s="51"/>
    </row>
    <row r="16672" spans="3:4" x14ac:dyDescent="0.35">
      <c r="C16672" s="51"/>
      <c r="D16672" s="51"/>
    </row>
    <row r="16673" spans="3:4" x14ac:dyDescent="0.35">
      <c r="C16673" s="51"/>
      <c r="D16673" s="51"/>
    </row>
    <row r="16674" spans="3:4" x14ac:dyDescent="0.35">
      <c r="C16674" s="51"/>
      <c r="D16674" s="51"/>
    </row>
    <row r="16675" spans="3:4" x14ac:dyDescent="0.35">
      <c r="C16675" s="51"/>
      <c r="D16675" s="51"/>
    </row>
    <row r="16676" spans="3:4" x14ac:dyDescent="0.35">
      <c r="C16676" s="51"/>
      <c r="D16676" s="51"/>
    </row>
    <row r="16677" spans="3:4" x14ac:dyDescent="0.35">
      <c r="C16677" s="51"/>
      <c r="D16677" s="51"/>
    </row>
    <row r="16678" spans="3:4" x14ac:dyDescent="0.35">
      <c r="C16678" s="51"/>
      <c r="D16678" s="51"/>
    </row>
    <row r="16679" spans="3:4" x14ac:dyDescent="0.35">
      <c r="C16679" s="51"/>
      <c r="D16679" s="51"/>
    </row>
    <row r="16680" spans="3:4" x14ac:dyDescent="0.35">
      <c r="C16680" s="51"/>
      <c r="D16680" s="51"/>
    </row>
    <row r="16681" spans="3:4" x14ac:dyDescent="0.35">
      <c r="C16681" s="51"/>
      <c r="D16681" s="51"/>
    </row>
    <row r="16682" spans="3:4" x14ac:dyDescent="0.35">
      <c r="C16682" s="51"/>
      <c r="D16682" s="51"/>
    </row>
    <row r="16683" spans="3:4" x14ac:dyDescent="0.35">
      <c r="C16683" s="51"/>
      <c r="D16683" s="51"/>
    </row>
    <row r="16684" spans="3:4" x14ac:dyDescent="0.35">
      <c r="C16684" s="51"/>
      <c r="D16684" s="51"/>
    </row>
    <row r="16685" spans="3:4" x14ac:dyDescent="0.35">
      <c r="C16685" s="51"/>
      <c r="D16685" s="51"/>
    </row>
    <row r="16686" spans="3:4" x14ac:dyDescent="0.35">
      <c r="C16686" s="51"/>
      <c r="D16686" s="51"/>
    </row>
    <row r="16687" spans="3:4" x14ac:dyDescent="0.35">
      <c r="C16687" s="51"/>
      <c r="D16687" s="51"/>
    </row>
    <row r="16688" spans="3:4" x14ac:dyDescent="0.35">
      <c r="C16688" s="51"/>
      <c r="D16688" s="51"/>
    </row>
    <row r="16689" spans="3:4" x14ac:dyDescent="0.35">
      <c r="C16689" s="51"/>
      <c r="D16689" s="51"/>
    </row>
    <row r="16690" spans="3:4" x14ac:dyDescent="0.35">
      <c r="C16690" s="51"/>
      <c r="D16690" s="51"/>
    </row>
    <row r="16691" spans="3:4" x14ac:dyDescent="0.35">
      <c r="C16691" s="51"/>
      <c r="D16691" s="51"/>
    </row>
    <row r="16692" spans="3:4" x14ac:dyDescent="0.35">
      <c r="C16692" s="51"/>
      <c r="D16692" s="51"/>
    </row>
    <row r="16693" spans="3:4" x14ac:dyDescent="0.35">
      <c r="C16693" s="51"/>
      <c r="D16693" s="51"/>
    </row>
    <row r="16694" spans="3:4" x14ac:dyDescent="0.35">
      <c r="C16694" s="51"/>
      <c r="D16694" s="51"/>
    </row>
    <row r="16695" spans="3:4" x14ac:dyDescent="0.35">
      <c r="C16695" s="51"/>
      <c r="D16695" s="51"/>
    </row>
    <row r="16696" spans="3:4" x14ac:dyDescent="0.35">
      <c r="C16696" s="51"/>
      <c r="D16696" s="51"/>
    </row>
    <row r="16697" spans="3:4" x14ac:dyDescent="0.35">
      <c r="C16697" s="51"/>
      <c r="D16697" s="51"/>
    </row>
    <row r="16698" spans="3:4" x14ac:dyDescent="0.35">
      <c r="C16698" s="51"/>
      <c r="D16698" s="51"/>
    </row>
    <row r="16699" spans="3:4" x14ac:dyDescent="0.35">
      <c r="C16699" s="51"/>
      <c r="D16699" s="51"/>
    </row>
    <row r="16700" spans="3:4" x14ac:dyDescent="0.35">
      <c r="C16700" s="51"/>
      <c r="D16700" s="51"/>
    </row>
    <row r="16701" spans="3:4" x14ac:dyDescent="0.35">
      <c r="C16701" s="51"/>
      <c r="D16701" s="51"/>
    </row>
    <row r="16702" spans="3:4" x14ac:dyDescent="0.35">
      <c r="C16702" s="51"/>
      <c r="D16702" s="51"/>
    </row>
    <row r="16703" spans="3:4" x14ac:dyDescent="0.35">
      <c r="C16703" s="51"/>
      <c r="D16703" s="51"/>
    </row>
    <row r="16704" spans="3:4" x14ac:dyDescent="0.35">
      <c r="C16704" s="51"/>
      <c r="D16704" s="51"/>
    </row>
    <row r="16705" spans="3:4" x14ac:dyDescent="0.35">
      <c r="C16705" s="51"/>
      <c r="D16705" s="51"/>
    </row>
    <row r="16706" spans="3:4" x14ac:dyDescent="0.35">
      <c r="C16706" s="51"/>
      <c r="D16706" s="51"/>
    </row>
    <row r="16707" spans="3:4" x14ac:dyDescent="0.35">
      <c r="C16707" s="51"/>
      <c r="D16707" s="51"/>
    </row>
    <row r="16708" spans="3:4" x14ac:dyDescent="0.35">
      <c r="C16708" s="51"/>
      <c r="D16708" s="51"/>
    </row>
    <row r="16709" spans="3:4" x14ac:dyDescent="0.35">
      <c r="C16709" s="51"/>
      <c r="D16709" s="51"/>
    </row>
    <row r="16710" spans="3:4" x14ac:dyDescent="0.35">
      <c r="C16710" s="51"/>
      <c r="D16710" s="51"/>
    </row>
    <row r="16711" spans="3:4" x14ac:dyDescent="0.35">
      <c r="C16711" s="51"/>
      <c r="D16711" s="51"/>
    </row>
    <row r="16712" spans="3:4" x14ac:dyDescent="0.35">
      <c r="C16712" s="51"/>
      <c r="D16712" s="51"/>
    </row>
    <row r="16713" spans="3:4" x14ac:dyDescent="0.35">
      <c r="C16713" s="51"/>
      <c r="D16713" s="51"/>
    </row>
    <row r="16714" spans="3:4" x14ac:dyDescent="0.35">
      <c r="C16714" s="51"/>
      <c r="D16714" s="51"/>
    </row>
    <row r="16715" spans="3:4" x14ac:dyDescent="0.35">
      <c r="C16715" s="51"/>
      <c r="D16715" s="51"/>
    </row>
    <row r="16716" spans="3:4" x14ac:dyDescent="0.35">
      <c r="C16716" s="51"/>
      <c r="D16716" s="51"/>
    </row>
    <row r="16717" spans="3:4" x14ac:dyDescent="0.35">
      <c r="C16717" s="51"/>
      <c r="D16717" s="51"/>
    </row>
    <row r="16718" spans="3:4" x14ac:dyDescent="0.35">
      <c r="C16718" s="51"/>
      <c r="D16718" s="51"/>
    </row>
    <row r="16719" spans="3:4" x14ac:dyDescent="0.35">
      <c r="C16719" s="51"/>
      <c r="D16719" s="51"/>
    </row>
    <row r="16720" spans="3:4" x14ac:dyDescent="0.35">
      <c r="C16720" s="51"/>
      <c r="D16720" s="51"/>
    </row>
    <row r="16721" spans="3:4" x14ac:dyDescent="0.35">
      <c r="C16721" s="51"/>
      <c r="D16721" s="51"/>
    </row>
    <row r="16722" spans="3:4" x14ac:dyDescent="0.35">
      <c r="C16722" s="51"/>
      <c r="D16722" s="51"/>
    </row>
    <row r="16723" spans="3:4" x14ac:dyDescent="0.35">
      <c r="C16723" s="51"/>
      <c r="D16723" s="51"/>
    </row>
    <row r="16724" spans="3:4" x14ac:dyDescent="0.35">
      <c r="C16724" s="51"/>
      <c r="D16724" s="51"/>
    </row>
    <row r="16725" spans="3:4" x14ac:dyDescent="0.35">
      <c r="C16725" s="51"/>
      <c r="D16725" s="51"/>
    </row>
    <row r="16726" spans="3:4" x14ac:dyDescent="0.35">
      <c r="C16726" s="51"/>
      <c r="D16726" s="51"/>
    </row>
    <row r="16727" spans="3:4" x14ac:dyDescent="0.35">
      <c r="C16727" s="51"/>
      <c r="D16727" s="51"/>
    </row>
    <row r="16728" spans="3:4" x14ac:dyDescent="0.35">
      <c r="C16728" s="51"/>
      <c r="D16728" s="51"/>
    </row>
    <row r="16729" spans="3:4" x14ac:dyDescent="0.35">
      <c r="C16729" s="51"/>
      <c r="D16729" s="51"/>
    </row>
    <row r="16730" spans="3:4" x14ac:dyDescent="0.35">
      <c r="C16730" s="51"/>
      <c r="D16730" s="51"/>
    </row>
    <row r="16731" spans="3:4" x14ac:dyDescent="0.35">
      <c r="C16731" s="51"/>
      <c r="D16731" s="51"/>
    </row>
    <row r="16732" spans="3:4" x14ac:dyDescent="0.35">
      <c r="C16732" s="51"/>
      <c r="D16732" s="51"/>
    </row>
    <row r="16733" spans="3:4" x14ac:dyDescent="0.35">
      <c r="C16733" s="51"/>
      <c r="D16733" s="51"/>
    </row>
    <row r="16734" spans="3:4" x14ac:dyDescent="0.35">
      <c r="C16734" s="51"/>
      <c r="D16734" s="51"/>
    </row>
    <row r="16735" spans="3:4" x14ac:dyDescent="0.35">
      <c r="C16735" s="51"/>
      <c r="D16735" s="51"/>
    </row>
    <row r="16736" spans="3:4" x14ac:dyDescent="0.35">
      <c r="C16736" s="51"/>
      <c r="D16736" s="51"/>
    </row>
    <row r="16737" spans="3:4" x14ac:dyDescent="0.35">
      <c r="C16737" s="51"/>
      <c r="D16737" s="51"/>
    </row>
    <row r="16738" spans="3:4" x14ac:dyDescent="0.35">
      <c r="C16738" s="51"/>
      <c r="D16738" s="51"/>
    </row>
    <row r="16739" spans="3:4" x14ac:dyDescent="0.35">
      <c r="C16739" s="51"/>
      <c r="D16739" s="51"/>
    </row>
    <row r="16740" spans="3:4" x14ac:dyDescent="0.35">
      <c r="C16740" s="51"/>
      <c r="D16740" s="51"/>
    </row>
    <row r="16741" spans="3:4" x14ac:dyDescent="0.35">
      <c r="C16741" s="51"/>
      <c r="D16741" s="51"/>
    </row>
    <row r="16742" spans="3:4" x14ac:dyDescent="0.35">
      <c r="C16742" s="51"/>
      <c r="D16742" s="51"/>
    </row>
    <row r="16743" spans="3:4" x14ac:dyDescent="0.35">
      <c r="C16743" s="51"/>
      <c r="D16743" s="51"/>
    </row>
    <row r="16744" spans="3:4" x14ac:dyDescent="0.35">
      <c r="C16744" s="51"/>
      <c r="D16744" s="51"/>
    </row>
    <row r="16745" spans="3:4" x14ac:dyDescent="0.35">
      <c r="C16745" s="51"/>
      <c r="D16745" s="51"/>
    </row>
    <row r="16746" spans="3:4" x14ac:dyDescent="0.35">
      <c r="C16746" s="51"/>
      <c r="D16746" s="51"/>
    </row>
    <row r="16747" spans="3:4" x14ac:dyDescent="0.35">
      <c r="C16747" s="51"/>
      <c r="D16747" s="51"/>
    </row>
    <row r="16748" spans="3:4" x14ac:dyDescent="0.35">
      <c r="C16748" s="51"/>
      <c r="D16748" s="51"/>
    </row>
    <row r="16749" spans="3:4" x14ac:dyDescent="0.35">
      <c r="C16749" s="51"/>
      <c r="D16749" s="51"/>
    </row>
    <row r="16750" spans="3:4" x14ac:dyDescent="0.35">
      <c r="C16750" s="51"/>
      <c r="D16750" s="51"/>
    </row>
    <row r="16751" spans="3:4" x14ac:dyDescent="0.35">
      <c r="C16751" s="51"/>
      <c r="D16751" s="51"/>
    </row>
    <row r="16752" spans="3:4" x14ac:dyDescent="0.35">
      <c r="C16752" s="51"/>
      <c r="D16752" s="51"/>
    </row>
    <row r="16753" spans="3:4" x14ac:dyDescent="0.35">
      <c r="C16753" s="51"/>
      <c r="D16753" s="51"/>
    </row>
    <row r="16754" spans="3:4" x14ac:dyDescent="0.35">
      <c r="C16754" s="51"/>
      <c r="D16754" s="51"/>
    </row>
    <row r="16755" spans="3:4" x14ac:dyDescent="0.35">
      <c r="C16755" s="51"/>
      <c r="D16755" s="51"/>
    </row>
    <row r="16756" spans="3:4" x14ac:dyDescent="0.35">
      <c r="C16756" s="51"/>
      <c r="D16756" s="51"/>
    </row>
    <row r="16757" spans="3:4" x14ac:dyDescent="0.35">
      <c r="C16757" s="51"/>
      <c r="D16757" s="51"/>
    </row>
    <row r="16758" spans="3:4" x14ac:dyDescent="0.35">
      <c r="C16758" s="51"/>
      <c r="D16758" s="51"/>
    </row>
    <row r="16759" spans="3:4" x14ac:dyDescent="0.35">
      <c r="C16759" s="51"/>
      <c r="D16759" s="51"/>
    </row>
    <row r="16760" spans="3:4" x14ac:dyDescent="0.35">
      <c r="C16760" s="51"/>
      <c r="D16760" s="51"/>
    </row>
    <row r="16761" spans="3:4" x14ac:dyDescent="0.35">
      <c r="C16761" s="51"/>
      <c r="D16761" s="51"/>
    </row>
    <row r="16762" spans="3:4" x14ac:dyDescent="0.35">
      <c r="C16762" s="51"/>
      <c r="D16762" s="51"/>
    </row>
    <row r="16763" spans="3:4" x14ac:dyDescent="0.35">
      <c r="C16763" s="51"/>
      <c r="D16763" s="51"/>
    </row>
    <row r="16764" spans="3:4" x14ac:dyDescent="0.35">
      <c r="C16764" s="51"/>
      <c r="D16764" s="51"/>
    </row>
    <row r="16765" spans="3:4" x14ac:dyDescent="0.35">
      <c r="C16765" s="51"/>
      <c r="D16765" s="51"/>
    </row>
    <row r="16766" spans="3:4" x14ac:dyDescent="0.35">
      <c r="C16766" s="51"/>
      <c r="D16766" s="51"/>
    </row>
    <row r="16767" spans="3:4" x14ac:dyDescent="0.35">
      <c r="C16767" s="51"/>
      <c r="D16767" s="51"/>
    </row>
    <row r="16768" spans="3:4" x14ac:dyDescent="0.35">
      <c r="C16768" s="51"/>
      <c r="D16768" s="51"/>
    </row>
    <row r="16769" spans="3:4" x14ac:dyDescent="0.35">
      <c r="C16769" s="51"/>
      <c r="D16769" s="51"/>
    </row>
    <row r="16770" spans="3:4" x14ac:dyDescent="0.35">
      <c r="C16770" s="51"/>
      <c r="D16770" s="51"/>
    </row>
    <row r="16771" spans="3:4" x14ac:dyDescent="0.35">
      <c r="C16771" s="51"/>
      <c r="D16771" s="51"/>
    </row>
    <row r="16772" spans="3:4" x14ac:dyDescent="0.35">
      <c r="C16772" s="51"/>
      <c r="D16772" s="51"/>
    </row>
    <row r="16773" spans="3:4" x14ac:dyDescent="0.35">
      <c r="C16773" s="51"/>
      <c r="D16773" s="51"/>
    </row>
    <row r="16774" spans="3:4" x14ac:dyDescent="0.35">
      <c r="C16774" s="51"/>
      <c r="D16774" s="51"/>
    </row>
    <row r="16775" spans="3:4" x14ac:dyDescent="0.35">
      <c r="C16775" s="51"/>
      <c r="D16775" s="51"/>
    </row>
    <row r="16776" spans="3:4" x14ac:dyDescent="0.35">
      <c r="C16776" s="51"/>
      <c r="D16776" s="51"/>
    </row>
    <row r="16777" spans="3:4" x14ac:dyDescent="0.35">
      <c r="C16777" s="51"/>
      <c r="D16777" s="51"/>
    </row>
    <row r="16778" spans="3:4" x14ac:dyDescent="0.35">
      <c r="C16778" s="51"/>
      <c r="D16778" s="51"/>
    </row>
    <row r="16779" spans="3:4" x14ac:dyDescent="0.35">
      <c r="C16779" s="51"/>
      <c r="D16779" s="51"/>
    </row>
    <row r="16780" spans="3:4" x14ac:dyDescent="0.35">
      <c r="C16780" s="51"/>
      <c r="D16780" s="51"/>
    </row>
    <row r="16781" spans="3:4" x14ac:dyDescent="0.35">
      <c r="C16781" s="51"/>
      <c r="D16781" s="51"/>
    </row>
    <row r="16782" spans="3:4" x14ac:dyDescent="0.35">
      <c r="C16782" s="51"/>
      <c r="D16782" s="51"/>
    </row>
    <row r="16783" spans="3:4" x14ac:dyDescent="0.35">
      <c r="C16783" s="51"/>
      <c r="D16783" s="51"/>
    </row>
    <row r="16784" spans="3:4" x14ac:dyDescent="0.35">
      <c r="C16784" s="51"/>
      <c r="D16784" s="51"/>
    </row>
    <row r="16785" spans="3:4" x14ac:dyDescent="0.35">
      <c r="C16785" s="51"/>
      <c r="D16785" s="51"/>
    </row>
    <row r="16786" spans="3:4" x14ac:dyDescent="0.35">
      <c r="C16786" s="51"/>
      <c r="D16786" s="51"/>
    </row>
    <row r="16787" spans="3:4" x14ac:dyDescent="0.35">
      <c r="C16787" s="51"/>
      <c r="D16787" s="51"/>
    </row>
    <row r="16788" spans="3:4" x14ac:dyDescent="0.35">
      <c r="C16788" s="51"/>
      <c r="D16788" s="51"/>
    </row>
    <row r="16789" spans="3:4" x14ac:dyDescent="0.35">
      <c r="C16789" s="51"/>
      <c r="D16789" s="51"/>
    </row>
    <row r="16790" spans="3:4" x14ac:dyDescent="0.35">
      <c r="C16790" s="51"/>
      <c r="D16790" s="51"/>
    </row>
    <row r="16791" spans="3:4" x14ac:dyDescent="0.35">
      <c r="C16791" s="51"/>
      <c r="D16791" s="51"/>
    </row>
    <row r="16792" spans="3:4" x14ac:dyDescent="0.35">
      <c r="C16792" s="51"/>
      <c r="D16792" s="51"/>
    </row>
    <row r="16793" spans="3:4" x14ac:dyDescent="0.35">
      <c r="C16793" s="51"/>
      <c r="D16793" s="51"/>
    </row>
    <row r="16794" spans="3:4" x14ac:dyDescent="0.35">
      <c r="C16794" s="51"/>
      <c r="D16794" s="51"/>
    </row>
    <row r="16795" spans="3:4" x14ac:dyDescent="0.35">
      <c r="C16795" s="51"/>
      <c r="D16795" s="51"/>
    </row>
    <row r="16796" spans="3:4" x14ac:dyDescent="0.35">
      <c r="C16796" s="51"/>
      <c r="D16796" s="51"/>
    </row>
    <row r="16797" spans="3:4" x14ac:dyDescent="0.35">
      <c r="C16797" s="51"/>
      <c r="D16797" s="51"/>
    </row>
    <row r="16798" spans="3:4" x14ac:dyDescent="0.35">
      <c r="C16798" s="51"/>
      <c r="D16798" s="51"/>
    </row>
    <row r="16799" spans="3:4" x14ac:dyDescent="0.35">
      <c r="C16799" s="51"/>
      <c r="D16799" s="51"/>
    </row>
    <row r="16800" spans="3:4" x14ac:dyDescent="0.35">
      <c r="C16800" s="51"/>
      <c r="D16800" s="51"/>
    </row>
    <row r="16801" spans="3:4" x14ac:dyDescent="0.35">
      <c r="C16801" s="51"/>
      <c r="D16801" s="51"/>
    </row>
    <row r="16802" spans="3:4" x14ac:dyDescent="0.35">
      <c r="C16802" s="51"/>
      <c r="D16802" s="51"/>
    </row>
    <row r="16803" spans="3:4" x14ac:dyDescent="0.35">
      <c r="C16803" s="51"/>
      <c r="D16803" s="51"/>
    </row>
    <row r="16804" spans="3:4" x14ac:dyDescent="0.35">
      <c r="C16804" s="51"/>
      <c r="D16804" s="51"/>
    </row>
    <row r="16805" spans="3:4" x14ac:dyDescent="0.35">
      <c r="C16805" s="51"/>
      <c r="D16805" s="51"/>
    </row>
    <row r="16806" spans="3:4" x14ac:dyDescent="0.35">
      <c r="C16806" s="51"/>
      <c r="D16806" s="51"/>
    </row>
    <row r="16807" spans="3:4" x14ac:dyDescent="0.35">
      <c r="C16807" s="51"/>
      <c r="D16807" s="51"/>
    </row>
    <row r="16808" spans="3:4" x14ac:dyDescent="0.35">
      <c r="C16808" s="51"/>
      <c r="D16808" s="51"/>
    </row>
    <row r="16809" spans="3:4" x14ac:dyDescent="0.35">
      <c r="C16809" s="51"/>
      <c r="D16809" s="51"/>
    </row>
    <row r="16810" spans="3:4" x14ac:dyDescent="0.35">
      <c r="C16810" s="51"/>
      <c r="D16810" s="51"/>
    </row>
    <row r="16811" spans="3:4" x14ac:dyDescent="0.35">
      <c r="C16811" s="51"/>
      <c r="D16811" s="51"/>
    </row>
    <row r="16812" spans="3:4" x14ac:dyDescent="0.35">
      <c r="C16812" s="51"/>
      <c r="D16812" s="51"/>
    </row>
    <row r="16813" spans="3:4" x14ac:dyDescent="0.35">
      <c r="C16813" s="51"/>
      <c r="D16813" s="51"/>
    </row>
    <row r="16814" spans="3:4" x14ac:dyDescent="0.35">
      <c r="C16814" s="51"/>
      <c r="D16814" s="51"/>
    </row>
    <row r="16815" spans="3:4" x14ac:dyDescent="0.35">
      <c r="C16815" s="51"/>
      <c r="D16815" s="51"/>
    </row>
    <row r="16816" spans="3:4" x14ac:dyDescent="0.35">
      <c r="C16816" s="51"/>
      <c r="D16816" s="51"/>
    </row>
    <row r="16817" spans="3:4" x14ac:dyDescent="0.35">
      <c r="C16817" s="51"/>
      <c r="D16817" s="51"/>
    </row>
    <row r="16818" spans="3:4" x14ac:dyDescent="0.35">
      <c r="C16818" s="51"/>
      <c r="D16818" s="51"/>
    </row>
    <row r="16819" spans="3:4" x14ac:dyDescent="0.35">
      <c r="C16819" s="51"/>
      <c r="D16819" s="51"/>
    </row>
    <row r="16820" spans="3:4" x14ac:dyDescent="0.35">
      <c r="C16820" s="51"/>
      <c r="D16820" s="51"/>
    </row>
    <row r="16821" spans="3:4" x14ac:dyDescent="0.35">
      <c r="C16821" s="51"/>
      <c r="D16821" s="51"/>
    </row>
    <row r="16822" spans="3:4" x14ac:dyDescent="0.35">
      <c r="C16822" s="51"/>
      <c r="D16822" s="51"/>
    </row>
    <row r="16823" spans="3:4" x14ac:dyDescent="0.35">
      <c r="C16823" s="51"/>
      <c r="D16823" s="51"/>
    </row>
    <row r="16824" spans="3:4" x14ac:dyDescent="0.35">
      <c r="C16824" s="51"/>
      <c r="D16824" s="51"/>
    </row>
    <row r="16825" spans="3:4" x14ac:dyDescent="0.35">
      <c r="C16825" s="51"/>
      <c r="D16825" s="51"/>
    </row>
    <row r="16826" spans="3:4" x14ac:dyDescent="0.35">
      <c r="C16826" s="51"/>
      <c r="D16826" s="51"/>
    </row>
    <row r="16827" spans="3:4" x14ac:dyDescent="0.35">
      <c r="C16827" s="51"/>
      <c r="D16827" s="51"/>
    </row>
    <row r="16828" spans="3:4" x14ac:dyDescent="0.35">
      <c r="C16828" s="51"/>
      <c r="D16828" s="51"/>
    </row>
    <row r="16829" spans="3:4" x14ac:dyDescent="0.35">
      <c r="C16829" s="51"/>
      <c r="D16829" s="51"/>
    </row>
    <row r="16830" spans="3:4" x14ac:dyDescent="0.35">
      <c r="C16830" s="51"/>
      <c r="D16830" s="51"/>
    </row>
    <row r="16831" spans="3:4" x14ac:dyDescent="0.35">
      <c r="C16831" s="51"/>
      <c r="D16831" s="51"/>
    </row>
    <row r="16832" spans="3:4" x14ac:dyDescent="0.35">
      <c r="C16832" s="51"/>
      <c r="D16832" s="51"/>
    </row>
    <row r="16833" spans="3:4" x14ac:dyDescent="0.35">
      <c r="C16833" s="51"/>
      <c r="D16833" s="51"/>
    </row>
    <row r="16834" spans="3:4" x14ac:dyDescent="0.35">
      <c r="C16834" s="51"/>
      <c r="D16834" s="51"/>
    </row>
    <row r="16835" spans="3:4" x14ac:dyDescent="0.35">
      <c r="C16835" s="51"/>
      <c r="D16835" s="51"/>
    </row>
    <row r="16836" spans="3:4" x14ac:dyDescent="0.35">
      <c r="C16836" s="51"/>
      <c r="D16836" s="51"/>
    </row>
    <row r="16837" spans="3:4" x14ac:dyDescent="0.35">
      <c r="C16837" s="51"/>
      <c r="D16837" s="51"/>
    </row>
    <row r="16838" spans="3:4" x14ac:dyDescent="0.35">
      <c r="C16838" s="51"/>
      <c r="D16838" s="51"/>
    </row>
    <row r="16839" spans="3:4" x14ac:dyDescent="0.35">
      <c r="C16839" s="51"/>
      <c r="D16839" s="51"/>
    </row>
    <row r="16840" spans="3:4" x14ac:dyDescent="0.35">
      <c r="C16840" s="51"/>
      <c r="D16840" s="51"/>
    </row>
    <row r="16841" spans="3:4" x14ac:dyDescent="0.35">
      <c r="C16841" s="51"/>
      <c r="D16841" s="51"/>
    </row>
    <row r="16842" spans="3:4" x14ac:dyDescent="0.35">
      <c r="C16842" s="51"/>
      <c r="D16842" s="51"/>
    </row>
    <row r="16843" spans="3:4" x14ac:dyDescent="0.35">
      <c r="C16843" s="51"/>
      <c r="D16843" s="51"/>
    </row>
    <row r="16844" spans="3:4" x14ac:dyDescent="0.35">
      <c r="C16844" s="51"/>
      <c r="D16844" s="51"/>
    </row>
    <row r="16845" spans="3:4" x14ac:dyDescent="0.35">
      <c r="C16845" s="51"/>
      <c r="D16845" s="51"/>
    </row>
    <row r="16846" spans="3:4" x14ac:dyDescent="0.35">
      <c r="C16846" s="51"/>
      <c r="D16846" s="51"/>
    </row>
    <row r="16847" spans="3:4" x14ac:dyDescent="0.35">
      <c r="C16847" s="51"/>
      <c r="D16847" s="51"/>
    </row>
    <row r="16848" spans="3:4" x14ac:dyDescent="0.35">
      <c r="C16848" s="51"/>
      <c r="D16848" s="51"/>
    </row>
    <row r="16849" spans="3:4" x14ac:dyDescent="0.35">
      <c r="C16849" s="51"/>
      <c r="D16849" s="51"/>
    </row>
    <row r="16850" spans="3:4" x14ac:dyDescent="0.35">
      <c r="C16850" s="51"/>
      <c r="D16850" s="51"/>
    </row>
    <row r="16851" spans="3:4" x14ac:dyDescent="0.35">
      <c r="C16851" s="51"/>
      <c r="D16851" s="51"/>
    </row>
    <row r="16852" spans="3:4" x14ac:dyDescent="0.35">
      <c r="C16852" s="51"/>
      <c r="D16852" s="51"/>
    </row>
    <row r="16853" spans="3:4" x14ac:dyDescent="0.35">
      <c r="C16853" s="51"/>
      <c r="D16853" s="51"/>
    </row>
    <row r="16854" spans="3:4" x14ac:dyDescent="0.35">
      <c r="C16854" s="51"/>
      <c r="D16854" s="51"/>
    </row>
    <row r="16855" spans="3:4" x14ac:dyDescent="0.35">
      <c r="C16855" s="51"/>
      <c r="D16855" s="51"/>
    </row>
    <row r="16856" spans="3:4" x14ac:dyDescent="0.35">
      <c r="C16856" s="51"/>
      <c r="D16856" s="51"/>
    </row>
    <row r="16857" spans="3:4" x14ac:dyDescent="0.35">
      <c r="C16857" s="51"/>
      <c r="D16857" s="51"/>
    </row>
    <row r="16858" spans="3:4" x14ac:dyDescent="0.35">
      <c r="C16858" s="51"/>
      <c r="D16858" s="51"/>
    </row>
    <row r="16859" spans="3:4" x14ac:dyDescent="0.35">
      <c r="C16859" s="51"/>
      <c r="D16859" s="51"/>
    </row>
    <row r="16860" spans="3:4" x14ac:dyDescent="0.35">
      <c r="C16860" s="51"/>
      <c r="D16860" s="51"/>
    </row>
    <row r="16861" spans="3:4" x14ac:dyDescent="0.35">
      <c r="C16861" s="51"/>
      <c r="D16861" s="51"/>
    </row>
    <row r="16862" spans="3:4" x14ac:dyDescent="0.35">
      <c r="C16862" s="51"/>
      <c r="D16862" s="51"/>
    </row>
    <row r="16863" spans="3:4" x14ac:dyDescent="0.35">
      <c r="C16863" s="51"/>
      <c r="D16863" s="51"/>
    </row>
    <row r="16864" spans="3:4" x14ac:dyDescent="0.35">
      <c r="C16864" s="51"/>
      <c r="D16864" s="51"/>
    </row>
    <row r="16865" spans="3:4" x14ac:dyDescent="0.35">
      <c r="C16865" s="51"/>
      <c r="D16865" s="51"/>
    </row>
    <row r="16866" spans="3:4" x14ac:dyDescent="0.35">
      <c r="C16866" s="51"/>
      <c r="D16866" s="51"/>
    </row>
    <row r="16867" spans="3:4" x14ac:dyDescent="0.35">
      <c r="C16867" s="51"/>
      <c r="D16867" s="51"/>
    </row>
    <row r="16868" spans="3:4" x14ac:dyDescent="0.35">
      <c r="C16868" s="51"/>
      <c r="D16868" s="51"/>
    </row>
    <row r="16869" spans="3:4" x14ac:dyDescent="0.35">
      <c r="C16869" s="51"/>
      <c r="D16869" s="51"/>
    </row>
    <row r="16870" spans="3:4" x14ac:dyDescent="0.35">
      <c r="C16870" s="51"/>
      <c r="D16870" s="51"/>
    </row>
    <row r="16871" spans="3:4" x14ac:dyDescent="0.35">
      <c r="C16871" s="51"/>
      <c r="D16871" s="51"/>
    </row>
    <row r="16872" spans="3:4" x14ac:dyDescent="0.35">
      <c r="C16872" s="51"/>
      <c r="D16872" s="51"/>
    </row>
    <row r="16873" spans="3:4" x14ac:dyDescent="0.35">
      <c r="C16873" s="51"/>
      <c r="D16873" s="51"/>
    </row>
    <row r="16874" spans="3:4" x14ac:dyDescent="0.35">
      <c r="C16874" s="51"/>
      <c r="D16874" s="51"/>
    </row>
    <row r="16875" spans="3:4" x14ac:dyDescent="0.35">
      <c r="C16875" s="51"/>
      <c r="D16875" s="51"/>
    </row>
    <row r="16876" spans="3:4" x14ac:dyDescent="0.35">
      <c r="C16876" s="51"/>
      <c r="D16876" s="51"/>
    </row>
    <row r="16877" spans="3:4" x14ac:dyDescent="0.35">
      <c r="C16877" s="51"/>
      <c r="D16877" s="51"/>
    </row>
    <row r="16878" spans="3:4" x14ac:dyDescent="0.35">
      <c r="C16878" s="51"/>
      <c r="D16878" s="51"/>
    </row>
    <row r="16879" spans="3:4" x14ac:dyDescent="0.35">
      <c r="C16879" s="51"/>
      <c r="D16879" s="51"/>
    </row>
    <row r="16880" spans="3:4" x14ac:dyDescent="0.35">
      <c r="C16880" s="51"/>
      <c r="D16880" s="51"/>
    </row>
    <row r="16881" spans="3:4" x14ac:dyDescent="0.35">
      <c r="C16881" s="51"/>
      <c r="D16881" s="51"/>
    </row>
    <row r="16882" spans="3:4" x14ac:dyDescent="0.35">
      <c r="C16882" s="51"/>
      <c r="D16882" s="51"/>
    </row>
    <row r="16883" spans="3:4" x14ac:dyDescent="0.35">
      <c r="C16883" s="51"/>
      <c r="D16883" s="51"/>
    </row>
    <row r="16884" spans="3:4" x14ac:dyDescent="0.35">
      <c r="C16884" s="51"/>
      <c r="D16884" s="51"/>
    </row>
    <row r="16885" spans="3:4" x14ac:dyDescent="0.35">
      <c r="C16885" s="51"/>
      <c r="D16885" s="51"/>
    </row>
    <row r="16886" spans="3:4" x14ac:dyDescent="0.35">
      <c r="C16886" s="51"/>
      <c r="D16886" s="51"/>
    </row>
    <row r="16887" spans="3:4" x14ac:dyDescent="0.35">
      <c r="C16887" s="51"/>
      <c r="D16887" s="51"/>
    </row>
    <row r="16888" spans="3:4" x14ac:dyDescent="0.35">
      <c r="C16888" s="51"/>
      <c r="D16888" s="51"/>
    </row>
    <row r="16889" spans="3:4" x14ac:dyDescent="0.35">
      <c r="C16889" s="51"/>
      <c r="D16889" s="51"/>
    </row>
    <row r="16890" spans="3:4" x14ac:dyDescent="0.35">
      <c r="C16890" s="51"/>
      <c r="D16890" s="51"/>
    </row>
    <row r="16891" spans="3:4" x14ac:dyDescent="0.35">
      <c r="C16891" s="51"/>
      <c r="D16891" s="51"/>
    </row>
    <row r="16892" spans="3:4" x14ac:dyDescent="0.35">
      <c r="C16892" s="51"/>
      <c r="D16892" s="51"/>
    </row>
    <row r="16893" spans="3:4" x14ac:dyDescent="0.35">
      <c r="C16893" s="51"/>
      <c r="D16893" s="51"/>
    </row>
    <row r="16894" spans="3:4" x14ac:dyDescent="0.35">
      <c r="C16894" s="51"/>
      <c r="D16894" s="51"/>
    </row>
    <row r="16895" spans="3:4" x14ac:dyDescent="0.35">
      <c r="C16895" s="51"/>
      <c r="D16895" s="51"/>
    </row>
    <row r="16896" spans="3:4" x14ac:dyDescent="0.35">
      <c r="C16896" s="51"/>
      <c r="D16896" s="51"/>
    </row>
    <row r="16897" spans="3:4" x14ac:dyDescent="0.35">
      <c r="C16897" s="51"/>
      <c r="D16897" s="51"/>
    </row>
    <row r="16898" spans="3:4" x14ac:dyDescent="0.35">
      <c r="C16898" s="51"/>
      <c r="D16898" s="51"/>
    </row>
    <row r="16899" spans="3:4" x14ac:dyDescent="0.35">
      <c r="C16899" s="51"/>
      <c r="D16899" s="51"/>
    </row>
    <row r="16900" spans="3:4" x14ac:dyDescent="0.35">
      <c r="C16900" s="51"/>
      <c r="D16900" s="51"/>
    </row>
    <row r="16901" spans="3:4" x14ac:dyDescent="0.35">
      <c r="C16901" s="51"/>
      <c r="D16901" s="51"/>
    </row>
    <row r="16902" spans="3:4" x14ac:dyDescent="0.35">
      <c r="C16902" s="51"/>
      <c r="D16902" s="51"/>
    </row>
    <row r="16903" spans="3:4" x14ac:dyDescent="0.35">
      <c r="C16903" s="51"/>
      <c r="D16903" s="51"/>
    </row>
    <row r="16904" spans="3:4" x14ac:dyDescent="0.35">
      <c r="C16904" s="51"/>
      <c r="D16904" s="51"/>
    </row>
    <row r="16905" spans="3:4" x14ac:dyDescent="0.35">
      <c r="C16905" s="51"/>
      <c r="D16905" s="51"/>
    </row>
    <row r="16906" spans="3:4" x14ac:dyDescent="0.35">
      <c r="C16906" s="51"/>
      <c r="D16906" s="51"/>
    </row>
    <row r="16907" spans="3:4" x14ac:dyDescent="0.35">
      <c r="C16907" s="51"/>
      <c r="D16907" s="51"/>
    </row>
    <row r="16908" spans="3:4" x14ac:dyDescent="0.35">
      <c r="C16908" s="51"/>
      <c r="D16908" s="51"/>
    </row>
    <row r="16909" spans="3:4" x14ac:dyDescent="0.35">
      <c r="C16909" s="51"/>
      <c r="D16909" s="51"/>
    </row>
    <row r="16910" spans="3:4" x14ac:dyDescent="0.35">
      <c r="C16910" s="51"/>
      <c r="D16910" s="51"/>
    </row>
    <row r="16911" spans="3:4" x14ac:dyDescent="0.35">
      <c r="C16911" s="51"/>
      <c r="D16911" s="51"/>
    </row>
    <row r="16912" spans="3:4" x14ac:dyDescent="0.35">
      <c r="C16912" s="51"/>
      <c r="D16912" s="51"/>
    </row>
    <row r="16913" spans="3:4" x14ac:dyDescent="0.35">
      <c r="C16913" s="51"/>
      <c r="D16913" s="51"/>
    </row>
    <row r="16914" spans="3:4" x14ac:dyDescent="0.35">
      <c r="C16914" s="51"/>
      <c r="D16914" s="51"/>
    </row>
    <row r="16915" spans="3:4" x14ac:dyDescent="0.35">
      <c r="C16915" s="51"/>
      <c r="D16915" s="51"/>
    </row>
    <row r="16916" spans="3:4" x14ac:dyDescent="0.35">
      <c r="C16916" s="51"/>
      <c r="D16916" s="51"/>
    </row>
    <row r="16917" spans="3:4" x14ac:dyDescent="0.35">
      <c r="C16917" s="51"/>
      <c r="D16917" s="51"/>
    </row>
    <row r="16918" spans="3:4" x14ac:dyDescent="0.35">
      <c r="C16918" s="51"/>
      <c r="D16918" s="51"/>
    </row>
    <row r="16919" spans="3:4" x14ac:dyDescent="0.35">
      <c r="C16919" s="51"/>
      <c r="D16919" s="51"/>
    </row>
    <row r="16920" spans="3:4" x14ac:dyDescent="0.35">
      <c r="C16920" s="51"/>
      <c r="D16920" s="51"/>
    </row>
    <row r="16921" spans="3:4" x14ac:dyDescent="0.35">
      <c r="C16921" s="51"/>
      <c r="D16921" s="51"/>
    </row>
    <row r="16922" spans="3:4" x14ac:dyDescent="0.35">
      <c r="C16922" s="51"/>
      <c r="D16922" s="51"/>
    </row>
    <row r="16923" spans="3:4" x14ac:dyDescent="0.35">
      <c r="C16923" s="51"/>
      <c r="D16923" s="51"/>
    </row>
    <row r="16924" spans="3:4" x14ac:dyDescent="0.35">
      <c r="C16924" s="51"/>
      <c r="D16924" s="51"/>
    </row>
    <row r="16925" spans="3:4" x14ac:dyDescent="0.35">
      <c r="C16925" s="51"/>
      <c r="D16925" s="51"/>
    </row>
    <row r="16926" spans="3:4" x14ac:dyDescent="0.35">
      <c r="C16926" s="51"/>
      <c r="D16926" s="51"/>
    </row>
    <row r="16927" spans="3:4" x14ac:dyDescent="0.35">
      <c r="C16927" s="51"/>
      <c r="D16927" s="51"/>
    </row>
    <row r="16928" spans="3:4" x14ac:dyDescent="0.35">
      <c r="C16928" s="51"/>
      <c r="D16928" s="51"/>
    </row>
    <row r="16929" spans="3:4" x14ac:dyDescent="0.35">
      <c r="C16929" s="51"/>
      <c r="D16929" s="51"/>
    </row>
    <row r="16930" spans="3:4" x14ac:dyDescent="0.35">
      <c r="C16930" s="51"/>
      <c r="D16930" s="51"/>
    </row>
    <row r="16931" spans="3:4" x14ac:dyDescent="0.35">
      <c r="C16931" s="51"/>
      <c r="D16931" s="51"/>
    </row>
    <row r="16932" spans="3:4" x14ac:dyDescent="0.35">
      <c r="C16932" s="51"/>
      <c r="D16932" s="51"/>
    </row>
    <row r="16933" spans="3:4" x14ac:dyDescent="0.35">
      <c r="C16933" s="51"/>
      <c r="D16933" s="51"/>
    </row>
    <row r="16934" spans="3:4" x14ac:dyDescent="0.35">
      <c r="C16934" s="51"/>
      <c r="D16934" s="51"/>
    </row>
    <row r="16935" spans="3:4" x14ac:dyDescent="0.35">
      <c r="C16935" s="51"/>
      <c r="D16935" s="51"/>
    </row>
    <row r="16936" spans="3:4" x14ac:dyDescent="0.35">
      <c r="C16936" s="51"/>
      <c r="D16936" s="51"/>
    </row>
    <row r="16937" spans="3:4" x14ac:dyDescent="0.35">
      <c r="C16937" s="51"/>
      <c r="D16937" s="51"/>
    </row>
    <row r="16938" spans="3:4" x14ac:dyDescent="0.35">
      <c r="C16938" s="51"/>
      <c r="D16938" s="51"/>
    </row>
    <row r="16939" spans="3:4" x14ac:dyDescent="0.35">
      <c r="C16939" s="51"/>
      <c r="D16939" s="51"/>
    </row>
    <row r="16940" spans="3:4" x14ac:dyDescent="0.35">
      <c r="C16940" s="51"/>
      <c r="D16940" s="51"/>
    </row>
    <row r="16941" spans="3:4" x14ac:dyDescent="0.35">
      <c r="C16941" s="51"/>
      <c r="D16941" s="51"/>
    </row>
    <row r="16942" spans="3:4" x14ac:dyDescent="0.35">
      <c r="C16942" s="51"/>
      <c r="D16942" s="51"/>
    </row>
    <row r="16943" spans="3:4" x14ac:dyDescent="0.35">
      <c r="C16943" s="51"/>
      <c r="D16943" s="51"/>
    </row>
    <row r="16944" spans="3:4" x14ac:dyDescent="0.35">
      <c r="C16944" s="51"/>
      <c r="D16944" s="51"/>
    </row>
    <row r="16945" spans="3:4" x14ac:dyDescent="0.35">
      <c r="C16945" s="51"/>
      <c r="D16945" s="51"/>
    </row>
    <row r="16946" spans="3:4" x14ac:dyDescent="0.35">
      <c r="C16946" s="51"/>
      <c r="D16946" s="51"/>
    </row>
    <row r="16947" spans="3:4" x14ac:dyDescent="0.35">
      <c r="C16947" s="51"/>
      <c r="D16947" s="51"/>
    </row>
    <row r="16948" spans="3:4" x14ac:dyDescent="0.35">
      <c r="C16948" s="51"/>
      <c r="D16948" s="51"/>
    </row>
    <row r="16949" spans="3:4" x14ac:dyDescent="0.35">
      <c r="C16949" s="51"/>
      <c r="D16949" s="51"/>
    </row>
    <row r="16950" spans="3:4" x14ac:dyDescent="0.35">
      <c r="C16950" s="51"/>
      <c r="D16950" s="51"/>
    </row>
    <row r="16951" spans="3:4" x14ac:dyDescent="0.35">
      <c r="C16951" s="51"/>
      <c r="D16951" s="51"/>
    </row>
    <row r="16952" spans="3:4" x14ac:dyDescent="0.35">
      <c r="C16952" s="51"/>
      <c r="D16952" s="51"/>
    </row>
    <row r="16953" spans="3:4" x14ac:dyDescent="0.35">
      <c r="C16953" s="51"/>
      <c r="D16953" s="51"/>
    </row>
    <row r="16954" spans="3:4" x14ac:dyDescent="0.35">
      <c r="C16954" s="51"/>
      <c r="D16954" s="51"/>
    </row>
    <row r="16955" spans="3:4" x14ac:dyDescent="0.35">
      <c r="C16955" s="51"/>
      <c r="D16955" s="51"/>
    </row>
    <row r="16956" spans="3:4" x14ac:dyDescent="0.35">
      <c r="C16956" s="51"/>
      <c r="D16956" s="51"/>
    </row>
    <row r="16957" spans="3:4" x14ac:dyDescent="0.35">
      <c r="C16957" s="51"/>
      <c r="D16957" s="51"/>
    </row>
    <row r="16958" spans="3:4" x14ac:dyDescent="0.35">
      <c r="C16958" s="51"/>
      <c r="D16958" s="51"/>
    </row>
    <row r="16959" spans="3:4" x14ac:dyDescent="0.35">
      <c r="C16959" s="51"/>
      <c r="D16959" s="51"/>
    </row>
    <row r="16960" spans="3:4" x14ac:dyDescent="0.35">
      <c r="C16960" s="51"/>
      <c r="D16960" s="51"/>
    </row>
    <row r="16961" spans="3:4" x14ac:dyDescent="0.35">
      <c r="C16961" s="51"/>
      <c r="D16961" s="51"/>
    </row>
    <row r="16962" spans="3:4" x14ac:dyDescent="0.35">
      <c r="C16962" s="51"/>
      <c r="D16962" s="51"/>
    </row>
    <row r="16963" spans="3:4" x14ac:dyDescent="0.35">
      <c r="C16963" s="51"/>
      <c r="D16963" s="51"/>
    </row>
    <row r="16964" spans="3:4" x14ac:dyDescent="0.35">
      <c r="C16964" s="51"/>
      <c r="D16964" s="51"/>
    </row>
    <row r="16965" spans="3:4" x14ac:dyDescent="0.35">
      <c r="C16965" s="51"/>
      <c r="D16965" s="51"/>
    </row>
    <row r="16966" spans="3:4" x14ac:dyDescent="0.35">
      <c r="C16966" s="51"/>
      <c r="D16966" s="51"/>
    </row>
    <row r="16967" spans="3:4" x14ac:dyDescent="0.35">
      <c r="C16967" s="51"/>
      <c r="D16967" s="51"/>
    </row>
    <row r="16968" spans="3:4" x14ac:dyDescent="0.35">
      <c r="C16968" s="51"/>
      <c r="D16968" s="51"/>
    </row>
    <row r="16969" spans="3:4" x14ac:dyDescent="0.35">
      <c r="C16969" s="51"/>
      <c r="D16969" s="51"/>
    </row>
    <row r="16970" spans="3:4" x14ac:dyDescent="0.35">
      <c r="C16970" s="51"/>
      <c r="D16970" s="51"/>
    </row>
    <row r="16971" spans="3:4" x14ac:dyDescent="0.35">
      <c r="C16971" s="51"/>
      <c r="D16971" s="51"/>
    </row>
    <row r="16972" spans="3:4" x14ac:dyDescent="0.35">
      <c r="C16972" s="51"/>
      <c r="D16972" s="51"/>
    </row>
    <row r="16973" spans="3:4" x14ac:dyDescent="0.35">
      <c r="C16973" s="51"/>
      <c r="D16973" s="51"/>
    </row>
    <row r="16974" spans="3:4" x14ac:dyDescent="0.35">
      <c r="C16974" s="51"/>
      <c r="D16974" s="51"/>
    </row>
    <row r="16975" spans="3:4" x14ac:dyDescent="0.35">
      <c r="C16975" s="51"/>
      <c r="D16975" s="51"/>
    </row>
    <row r="16976" spans="3:4" x14ac:dyDescent="0.35">
      <c r="C16976" s="51"/>
      <c r="D16976" s="51"/>
    </row>
    <row r="16977" spans="3:4" x14ac:dyDescent="0.35">
      <c r="C16977" s="51"/>
      <c r="D16977" s="51"/>
    </row>
    <row r="16978" spans="3:4" x14ac:dyDescent="0.35">
      <c r="C16978" s="51"/>
      <c r="D16978" s="51"/>
    </row>
    <row r="16979" spans="3:4" x14ac:dyDescent="0.35">
      <c r="C16979" s="51"/>
      <c r="D16979" s="51"/>
    </row>
    <row r="16980" spans="3:4" x14ac:dyDescent="0.35">
      <c r="C16980" s="51"/>
      <c r="D16980" s="51"/>
    </row>
    <row r="16981" spans="3:4" x14ac:dyDescent="0.35">
      <c r="C16981" s="51"/>
      <c r="D16981" s="51"/>
    </row>
    <row r="16982" spans="3:4" x14ac:dyDescent="0.35">
      <c r="C16982" s="51"/>
      <c r="D16982" s="51"/>
    </row>
    <row r="16983" spans="3:4" x14ac:dyDescent="0.35">
      <c r="C16983" s="51"/>
      <c r="D16983" s="51"/>
    </row>
    <row r="16984" spans="3:4" x14ac:dyDescent="0.35">
      <c r="C16984" s="51"/>
      <c r="D16984" s="51"/>
    </row>
    <row r="16985" spans="3:4" x14ac:dyDescent="0.35">
      <c r="C16985" s="51"/>
      <c r="D16985" s="51"/>
    </row>
    <row r="16986" spans="3:4" x14ac:dyDescent="0.35">
      <c r="C16986" s="51"/>
      <c r="D16986" s="51"/>
    </row>
    <row r="16987" spans="3:4" x14ac:dyDescent="0.35">
      <c r="C16987" s="51"/>
      <c r="D16987" s="51"/>
    </row>
    <row r="16988" spans="3:4" x14ac:dyDescent="0.35">
      <c r="C16988" s="51"/>
      <c r="D16988" s="51"/>
    </row>
    <row r="16989" spans="3:4" x14ac:dyDescent="0.35">
      <c r="C16989" s="51"/>
      <c r="D16989" s="51"/>
    </row>
    <row r="16990" spans="3:4" x14ac:dyDescent="0.35">
      <c r="C16990" s="51"/>
      <c r="D16990" s="51"/>
    </row>
    <row r="16991" spans="3:4" x14ac:dyDescent="0.35">
      <c r="C16991" s="51"/>
      <c r="D16991" s="51"/>
    </row>
    <row r="16992" spans="3:4" x14ac:dyDescent="0.35">
      <c r="C16992" s="51"/>
      <c r="D16992" s="51"/>
    </row>
    <row r="16993" spans="3:4" x14ac:dyDescent="0.35">
      <c r="C16993" s="51"/>
      <c r="D16993" s="51"/>
    </row>
    <row r="16994" spans="3:4" x14ac:dyDescent="0.35">
      <c r="C16994" s="51"/>
      <c r="D16994" s="51"/>
    </row>
    <row r="16995" spans="3:4" x14ac:dyDescent="0.35">
      <c r="C16995" s="51"/>
      <c r="D16995" s="51"/>
    </row>
    <row r="16996" spans="3:4" x14ac:dyDescent="0.35">
      <c r="C16996" s="51"/>
      <c r="D16996" s="51"/>
    </row>
    <row r="16997" spans="3:4" x14ac:dyDescent="0.35">
      <c r="C16997" s="51"/>
      <c r="D16997" s="51"/>
    </row>
    <row r="16998" spans="3:4" x14ac:dyDescent="0.35">
      <c r="C16998" s="51"/>
      <c r="D16998" s="51"/>
    </row>
    <row r="16999" spans="3:4" x14ac:dyDescent="0.35">
      <c r="C16999" s="51"/>
      <c r="D16999" s="51"/>
    </row>
    <row r="17000" spans="3:4" x14ac:dyDescent="0.35">
      <c r="C17000" s="51"/>
      <c r="D17000" s="51"/>
    </row>
    <row r="17001" spans="3:4" x14ac:dyDescent="0.35">
      <c r="C17001" s="51"/>
      <c r="D17001" s="51"/>
    </row>
    <row r="17002" spans="3:4" x14ac:dyDescent="0.35">
      <c r="C17002" s="51"/>
      <c r="D17002" s="51"/>
    </row>
    <row r="17003" spans="3:4" x14ac:dyDescent="0.35">
      <c r="C17003" s="51"/>
      <c r="D17003" s="51"/>
    </row>
    <row r="17004" spans="3:4" x14ac:dyDescent="0.35">
      <c r="C17004" s="51"/>
      <c r="D17004" s="51"/>
    </row>
    <row r="17005" spans="3:4" x14ac:dyDescent="0.35">
      <c r="C17005" s="51"/>
      <c r="D17005" s="51"/>
    </row>
    <row r="17006" spans="3:4" x14ac:dyDescent="0.35">
      <c r="C17006" s="51"/>
      <c r="D17006" s="51"/>
    </row>
    <row r="17007" spans="3:4" x14ac:dyDescent="0.35">
      <c r="C17007" s="51"/>
      <c r="D17007" s="51"/>
    </row>
    <row r="17008" spans="3:4" x14ac:dyDescent="0.35">
      <c r="C17008" s="51"/>
      <c r="D17008" s="51"/>
    </row>
    <row r="17009" spans="3:4" x14ac:dyDescent="0.35">
      <c r="C17009" s="51"/>
      <c r="D17009" s="51"/>
    </row>
    <row r="17010" spans="3:4" x14ac:dyDescent="0.35">
      <c r="C17010" s="51"/>
      <c r="D17010" s="51"/>
    </row>
    <row r="17011" spans="3:4" x14ac:dyDescent="0.35">
      <c r="C17011" s="51"/>
      <c r="D17011" s="51"/>
    </row>
    <row r="17012" spans="3:4" x14ac:dyDescent="0.35">
      <c r="C17012" s="51"/>
      <c r="D17012" s="51"/>
    </row>
    <row r="17013" spans="3:4" x14ac:dyDescent="0.35">
      <c r="C17013" s="51"/>
      <c r="D17013" s="51"/>
    </row>
    <row r="17014" spans="3:4" x14ac:dyDescent="0.35">
      <c r="C17014" s="51"/>
      <c r="D17014" s="51"/>
    </row>
    <row r="17015" spans="3:4" x14ac:dyDescent="0.35">
      <c r="C17015" s="51"/>
      <c r="D17015" s="51"/>
    </row>
    <row r="17016" spans="3:4" x14ac:dyDescent="0.35">
      <c r="C17016" s="51"/>
      <c r="D17016" s="51"/>
    </row>
    <row r="17017" spans="3:4" x14ac:dyDescent="0.35">
      <c r="C17017" s="51"/>
      <c r="D17017" s="51"/>
    </row>
    <row r="17018" spans="3:4" x14ac:dyDescent="0.35">
      <c r="C17018" s="51"/>
      <c r="D17018" s="51"/>
    </row>
    <row r="17019" spans="3:4" x14ac:dyDescent="0.35">
      <c r="C17019" s="51"/>
      <c r="D17019" s="51"/>
    </row>
    <row r="17020" spans="3:4" x14ac:dyDescent="0.35">
      <c r="C17020" s="51"/>
      <c r="D17020" s="51"/>
    </row>
    <row r="17021" spans="3:4" x14ac:dyDescent="0.35">
      <c r="C17021" s="51"/>
      <c r="D17021" s="51"/>
    </row>
    <row r="17022" spans="3:4" x14ac:dyDescent="0.35">
      <c r="C17022" s="51"/>
      <c r="D17022" s="51"/>
    </row>
    <row r="17023" spans="3:4" x14ac:dyDescent="0.35">
      <c r="C17023" s="51"/>
      <c r="D17023" s="51"/>
    </row>
    <row r="17024" spans="3:4" x14ac:dyDescent="0.35">
      <c r="C17024" s="51"/>
      <c r="D17024" s="51"/>
    </row>
    <row r="17025" spans="3:4" x14ac:dyDescent="0.35">
      <c r="C17025" s="51"/>
      <c r="D17025" s="51"/>
    </row>
    <row r="17026" spans="3:4" x14ac:dyDescent="0.35">
      <c r="C17026" s="51"/>
      <c r="D17026" s="51"/>
    </row>
    <row r="17027" spans="3:4" x14ac:dyDescent="0.35">
      <c r="C17027" s="51"/>
      <c r="D17027" s="51"/>
    </row>
    <row r="17028" spans="3:4" x14ac:dyDescent="0.35">
      <c r="C17028" s="51"/>
      <c r="D17028" s="51"/>
    </row>
    <row r="17029" spans="3:4" x14ac:dyDescent="0.35">
      <c r="C17029" s="51"/>
      <c r="D17029" s="51"/>
    </row>
    <row r="17030" spans="3:4" x14ac:dyDescent="0.35">
      <c r="C17030" s="51"/>
      <c r="D17030" s="51"/>
    </row>
    <row r="17031" spans="3:4" x14ac:dyDescent="0.35">
      <c r="C17031" s="51"/>
      <c r="D17031" s="51"/>
    </row>
    <row r="17032" spans="3:4" x14ac:dyDescent="0.35">
      <c r="C17032" s="51"/>
      <c r="D17032" s="51"/>
    </row>
    <row r="17033" spans="3:4" x14ac:dyDescent="0.35">
      <c r="C17033" s="51"/>
      <c r="D17033" s="51"/>
    </row>
    <row r="17034" spans="3:4" x14ac:dyDescent="0.35">
      <c r="C17034" s="51"/>
      <c r="D17034" s="51"/>
    </row>
    <row r="17035" spans="3:4" x14ac:dyDescent="0.35">
      <c r="C17035" s="51"/>
      <c r="D17035" s="51"/>
    </row>
    <row r="17036" spans="3:4" x14ac:dyDescent="0.35">
      <c r="C17036" s="51"/>
      <c r="D17036" s="51"/>
    </row>
    <row r="17037" spans="3:4" x14ac:dyDescent="0.35">
      <c r="C17037" s="51"/>
      <c r="D17037" s="51"/>
    </row>
    <row r="17038" spans="3:4" x14ac:dyDescent="0.35">
      <c r="C17038" s="51"/>
      <c r="D17038" s="51"/>
    </row>
    <row r="17039" spans="3:4" x14ac:dyDescent="0.35">
      <c r="C17039" s="51"/>
      <c r="D17039" s="51"/>
    </row>
    <row r="17040" spans="3:4" x14ac:dyDescent="0.35">
      <c r="C17040" s="51"/>
      <c r="D17040" s="51"/>
    </row>
    <row r="17041" spans="3:4" x14ac:dyDescent="0.35">
      <c r="C17041" s="51"/>
      <c r="D17041" s="51"/>
    </row>
    <row r="17042" spans="3:4" x14ac:dyDescent="0.35">
      <c r="C17042" s="51"/>
      <c r="D17042" s="51"/>
    </row>
    <row r="17043" spans="3:4" x14ac:dyDescent="0.35">
      <c r="C17043" s="51"/>
      <c r="D17043" s="51"/>
    </row>
    <row r="17044" spans="3:4" x14ac:dyDescent="0.35">
      <c r="C17044" s="51"/>
      <c r="D17044" s="51"/>
    </row>
    <row r="17045" spans="3:4" x14ac:dyDescent="0.35">
      <c r="C17045" s="51"/>
      <c r="D17045" s="51"/>
    </row>
    <row r="17046" spans="3:4" x14ac:dyDescent="0.35">
      <c r="C17046" s="51"/>
      <c r="D17046" s="51"/>
    </row>
    <row r="17047" spans="3:4" x14ac:dyDescent="0.35">
      <c r="C17047" s="51"/>
      <c r="D17047" s="51"/>
    </row>
    <row r="17048" spans="3:4" x14ac:dyDescent="0.35">
      <c r="C17048" s="51"/>
      <c r="D17048" s="51"/>
    </row>
    <row r="17049" spans="3:4" x14ac:dyDescent="0.35">
      <c r="C17049" s="51"/>
      <c r="D17049" s="51"/>
    </row>
    <row r="17050" spans="3:4" x14ac:dyDescent="0.35">
      <c r="C17050" s="51"/>
      <c r="D17050" s="51"/>
    </row>
    <row r="17051" spans="3:4" x14ac:dyDescent="0.35">
      <c r="C17051" s="51"/>
      <c r="D17051" s="51"/>
    </row>
    <row r="17052" spans="3:4" x14ac:dyDescent="0.35">
      <c r="C17052" s="51"/>
      <c r="D17052" s="51"/>
    </row>
    <row r="17053" spans="3:4" x14ac:dyDescent="0.35">
      <c r="C17053" s="51"/>
      <c r="D17053" s="51"/>
    </row>
    <row r="17054" spans="3:4" x14ac:dyDescent="0.35">
      <c r="C17054" s="51"/>
      <c r="D17054" s="51"/>
    </row>
    <row r="17055" spans="3:4" x14ac:dyDescent="0.35">
      <c r="C17055" s="51"/>
      <c r="D17055" s="51"/>
    </row>
    <row r="17056" spans="3:4" x14ac:dyDescent="0.35">
      <c r="C17056" s="51"/>
      <c r="D17056" s="51"/>
    </row>
    <row r="17057" spans="3:4" x14ac:dyDescent="0.35">
      <c r="C17057" s="51"/>
      <c r="D17057" s="51"/>
    </row>
    <row r="17058" spans="3:4" x14ac:dyDescent="0.35">
      <c r="C17058" s="51"/>
      <c r="D17058" s="51"/>
    </row>
    <row r="17059" spans="3:4" x14ac:dyDescent="0.35">
      <c r="C17059" s="51"/>
      <c r="D17059" s="51"/>
    </row>
    <row r="17060" spans="3:4" x14ac:dyDescent="0.35">
      <c r="C17060" s="51"/>
      <c r="D17060" s="51"/>
    </row>
    <row r="17061" spans="3:4" x14ac:dyDescent="0.35">
      <c r="C17061" s="51"/>
      <c r="D17061" s="51"/>
    </row>
    <row r="17062" spans="3:4" x14ac:dyDescent="0.35">
      <c r="C17062" s="51"/>
      <c r="D17062" s="51"/>
    </row>
    <row r="17063" spans="3:4" x14ac:dyDescent="0.35">
      <c r="C17063" s="51"/>
      <c r="D17063" s="51"/>
    </row>
    <row r="17064" spans="3:4" x14ac:dyDescent="0.35">
      <c r="C17064" s="51"/>
      <c r="D17064" s="51"/>
    </row>
    <row r="17065" spans="3:4" x14ac:dyDescent="0.35">
      <c r="C17065" s="51"/>
      <c r="D17065" s="51"/>
    </row>
    <row r="17066" spans="3:4" x14ac:dyDescent="0.35">
      <c r="C17066" s="51"/>
      <c r="D17066" s="51"/>
    </row>
    <row r="17067" spans="3:4" x14ac:dyDescent="0.35">
      <c r="C17067" s="51"/>
      <c r="D17067" s="51"/>
    </row>
    <row r="17068" spans="3:4" x14ac:dyDescent="0.35">
      <c r="C17068" s="51"/>
      <c r="D17068" s="51"/>
    </row>
    <row r="17069" spans="3:4" x14ac:dyDescent="0.35">
      <c r="C17069" s="51"/>
      <c r="D17069" s="51"/>
    </row>
    <row r="17070" spans="3:4" x14ac:dyDescent="0.35">
      <c r="C17070" s="51"/>
      <c r="D17070" s="51"/>
    </row>
    <row r="17071" spans="3:4" x14ac:dyDescent="0.35">
      <c r="C17071" s="51"/>
      <c r="D17071" s="51"/>
    </row>
    <row r="17072" spans="3:4" x14ac:dyDescent="0.35">
      <c r="C17072" s="51"/>
      <c r="D17072" s="51"/>
    </row>
    <row r="17073" spans="3:4" x14ac:dyDescent="0.35">
      <c r="C17073" s="51"/>
      <c r="D17073" s="51"/>
    </row>
    <row r="17074" spans="3:4" x14ac:dyDescent="0.35">
      <c r="C17074" s="51"/>
      <c r="D17074" s="51"/>
    </row>
    <row r="17075" spans="3:4" x14ac:dyDescent="0.35">
      <c r="C17075" s="51"/>
      <c r="D17075" s="51"/>
    </row>
    <row r="17076" spans="3:4" x14ac:dyDescent="0.35">
      <c r="C17076" s="51"/>
      <c r="D17076" s="51"/>
    </row>
    <row r="17077" spans="3:4" x14ac:dyDescent="0.35">
      <c r="C17077" s="51"/>
      <c r="D17077" s="51"/>
    </row>
    <row r="17078" spans="3:4" x14ac:dyDescent="0.35">
      <c r="C17078" s="51"/>
      <c r="D17078" s="51"/>
    </row>
    <row r="17079" spans="3:4" x14ac:dyDescent="0.35">
      <c r="C17079" s="51"/>
      <c r="D17079" s="51"/>
    </row>
    <row r="17080" spans="3:4" x14ac:dyDescent="0.35">
      <c r="C17080" s="51"/>
      <c r="D17080" s="51"/>
    </row>
    <row r="17081" spans="3:4" x14ac:dyDescent="0.35">
      <c r="C17081" s="51"/>
      <c r="D17081" s="51"/>
    </row>
    <row r="17082" spans="3:4" x14ac:dyDescent="0.35">
      <c r="C17082" s="51"/>
      <c r="D17082" s="51"/>
    </row>
    <row r="17083" spans="3:4" x14ac:dyDescent="0.35">
      <c r="C17083" s="51"/>
      <c r="D17083" s="51"/>
    </row>
    <row r="17084" spans="3:4" x14ac:dyDescent="0.35">
      <c r="C17084" s="51"/>
      <c r="D17084" s="51"/>
    </row>
    <row r="17085" spans="3:4" x14ac:dyDescent="0.35">
      <c r="C17085" s="51"/>
      <c r="D17085" s="51"/>
    </row>
    <row r="17086" spans="3:4" x14ac:dyDescent="0.35">
      <c r="C17086" s="51"/>
      <c r="D17086" s="51"/>
    </row>
    <row r="17087" spans="3:4" x14ac:dyDescent="0.35">
      <c r="C17087" s="51"/>
      <c r="D17087" s="51"/>
    </row>
    <row r="17088" spans="3:4" x14ac:dyDescent="0.35">
      <c r="C17088" s="51"/>
      <c r="D17088" s="51"/>
    </row>
    <row r="17089" spans="3:4" x14ac:dyDescent="0.35">
      <c r="C17089" s="51"/>
      <c r="D17089" s="51"/>
    </row>
    <row r="17090" spans="3:4" x14ac:dyDescent="0.35">
      <c r="C17090" s="51"/>
      <c r="D17090" s="51"/>
    </row>
    <row r="17091" spans="3:4" x14ac:dyDescent="0.35">
      <c r="C17091" s="51"/>
      <c r="D17091" s="51"/>
    </row>
    <row r="17092" spans="3:4" x14ac:dyDescent="0.35">
      <c r="C17092" s="51"/>
      <c r="D17092" s="51"/>
    </row>
    <row r="17093" spans="3:4" x14ac:dyDescent="0.35">
      <c r="C17093" s="51"/>
      <c r="D17093" s="51"/>
    </row>
    <row r="17094" spans="3:4" x14ac:dyDescent="0.35">
      <c r="C17094" s="51"/>
      <c r="D17094" s="51"/>
    </row>
    <row r="17095" spans="3:4" x14ac:dyDescent="0.35">
      <c r="C17095" s="51"/>
      <c r="D17095" s="51"/>
    </row>
    <row r="17096" spans="3:4" x14ac:dyDescent="0.35">
      <c r="C17096" s="51"/>
      <c r="D17096" s="51"/>
    </row>
    <row r="17097" spans="3:4" x14ac:dyDescent="0.35">
      <c r="C17097" s="51"/>
      <c r="D17097" s="51"/>
    </row>
    <row r="17098" spans="3:4" x14ac:dyDescent="0.35">
      <c r="C17098" s="51"/>
      <c r="D17098" s="51"/>
    </row>
    <row r="17099" spans="3:4" x14ac:dyDescent="0.35">
      <c r="C17099" s="51"/>
      <c r="D17099" s="51"/>
    </row>
    <row r="17100" spans="3:4" x14ac:dyDescent="0.35">
      <c r="C17100" s="51"/>
      <c r="D17100" s="51"/>
    </row>
    <row r="17101" spans="3:4" x14ac:dyDescent="0.35">
      <c r="C17101" s="51"/>
      <c r="D17101" s="51"/>
    </row>
    <row r="17102" spans="3:4" x14ac:dyDescent="0.35">
      <c r="C17102" s="51"/>
      <c r="D17102" s="51"/>
    </row>
    <row r="17103" spans="3:4" x14ac:dyDescent="0.35">
      <c r="C17103" s="51"/>
      <c r="D17103" s="51"/>
    </row>
    <row r="17104" spans="3:4" x14ac:dyDescent="0.35">
      <c r="C17104" s="51"/>
      <c r="D17104" s="51"/>
    </row>
    <row r="17105" spans="3:4" x14ac:dyDescent="0.35">
      <c r="C17105" s="51"/>
      <c r="D17105" s="51"/>
    </row>
    <row r="17106" spans="3:4" x14ac:dyDescent="0.35">
      <c r="C17106" s="51"/>
      <c r="D17106" s="51"/>
    </row>
    <row r="17107" spans="3:4" x14ac:dyDescent="0.35">
      <c r="C17107" s="51"/>
      <c r="D17107" s="51"/>
    </row>
    <row r="17108" spans="3:4" x14ac:dyDescent="0.35">
      <c r="C17108" s="51"/>
      <c r="D17108" s="51"/>
    </row>
    <row r="17109" spans="3:4" x14ac:dyDescent="0.35">
      <c r="C17109" s="51"/>
      <c r="D17109" s="51"/>
    </row>
    <row r="17110" spans="3:4" x14ac:dyDescent="0.35">
      <c r="C17110" s="51"/>
      <c r="D17110" s="51"/>
    </row>
    <row r="17111" spans="3:4" x14ac:dyDescent="0.35">
      <c r="C17111" s="51"/>
      <c r="D17111" s="51"/>
    </row>
    <row r="17112" spans="3:4" x14ac:dyDescent="0.35">
      <c r="C17112" s="51"/>
      <c r="D17112" s="51"/>
    </row>
    <row r="17113" spans="3:4" x14ac:dyDescent="0.35">
      <c r="C17113" s="51"/>
      <c r="D17113" s="51"/>
    </row>
    <row r="17114" spans="3:4" x14ac:dyDescent="0.35">
      <c r="C17114" s="51"/>
      <c r="D17114" s="51"/>
    </row>
    <row r="17115" spans="3:4" x14ac:dyDescent="0.35">
      <c r="C17115" s="51"/>
      <c r="D17115" s="51"/>
    </row>
    <row r="17116" spans="3:4" x14ac:dyDescent="0.35">
      <c r="C17116" s="51"/>
      <c r="D17116" s="51"/>
    </row>
    <row r="17117" spans="3:4" x14ac:dyDescent="0.35">
      <c r="C17117" s="51"/>
      <c r="D17117" s="51"/>
    </row>
    <row r="17118" spans="3:4" x14ac:dyDescent="0.35">
      <c r="C17118" s="51"/>
      <c r="D17118" s="51"/>
    </row>
    <row r="17119" spans="3:4" x14ac:dyDescent="0.35">
      <c r="C17119" s="51"/>
      <c r="D17119" s="51"/>
    </row>
    <row r="17120" spans="3:4" x14ac:dyDescent="0.35">
      <c r="C17120" s="51"/>
      <c r="D17120" s="51"/>
    </row>
    <row r="17121" spans="3:4" x14ac:dyDescent="0.35">
      <c r="C17121" s="51"/>
      <c r="D17121" s="51"/>
    </row>
    <row r="17122" spans="3:4" x14ac:dyDescent="0.35">
      <c r="C17122" s="51"/>
      <c r="D17122" s="51"/>
    </row>
    <row r="17123" spans="3:4" x14ac:dyDescent="0.35">
      <c r="C17123" s="51"/>
      <c r="D17123" s="51"/>
    </row>
    <row r="17124" spans="3:4" x14ac:dyDescent="0.35">
      <c r="C17124" s="51"/>
      <c r="D17124" s="51"/>
    </row>
    <row r="17125" spans="3:4" x14ac:dyDescent="0.35">
      <c r="C17125" s="51"/>
      <c r="D17125" s="51"/>
    </row>
    <row r="17126" spans="3:4" x14ac:dyDescent="0.35">
      <c r="C17126" s="51"/>
      <c r="D17126" s="51"/>
    </row>
    <row r="17127" spans="3:4" x14ac:dyDescent="0.35">
      <c r="C17127" s="51"/>
      <c r="D17127" s="51"/>
    </row>
    <row r="17128" spans="3:4" x14ac:dyDescent="0.35">
      <c r="C17128" s="51"/>
      <c r="D17128" s="51"/>
    </row>
    <row r="17129" spans="3:4" x14ac:dyDescent="0.35">
      <c r="C17129" s="51"/>
      <c r="D17129" s="51"/>
    </row>
    <row r="17130" spans="3:4" x14ac:dyDescent="0.35">
      <c r="C17130" s="51"/>
      <c r="D17130" s="51"/>
    </row>
    <row r="17131" spans="3:4" x14ac:dyDescent="0.35">
      <c r="C17131" s="51"/>
      <c r="D17131" s="51"/>
    </row>
    <row r="17132" spans="3:4" x14ac:dyDescent="0.35">
      <c r="C17132" s="51"/>
      <c r="D17132" s="51"/>
    </row>
    <row r="17133" spans="3:4" x14ac:dyDescent="0.35">
      <c r="C17133" s="51"/>
      <c r="D17133" s="51"/>
    </row>
    <row r="17134" spans="3:4" x14ac:dyDescent="0.35">
      <c r="C17134" s="51"/>
      <c r="D17134" s="51"/>
    </row>
    <row r="17135" spans="3:4" x14ac:dyDescent="0.35">
      <c r="C17135" s="51"/>
      <c r="D17135" s="51"/>
    </row>
    <row r="17136" spans="3:4" x14ac:dyDescent="0.35">
      <c r="C17136" s="51"/>
      <c r="D17136" s="51"/>
    </row>
    <row r="17137" spans="3:4" x14ac:dyDescent="0.35">
      <c r="C17137" s="51"/>
      <c r="D17137" s="51"/>
    </row>
    <row r="17138" spans="3:4" x14ac:dyDescent="0.35">
      <c r="C17138" s="51"/>
      <c r="D17138" s="51"/>
    </row>
    <row r="17139" spans="3:4" x14ac:dyDescent="0.35">
      <c r="C17139" s="51"/>
      <c r="D17139" s="51"/>
    </row>
    <row r="17140" spans="3:4" x14ac:dyDescent="0.35">
      <c r="C17140" s="51"/>
      <c r="D17140" s="51"/>
    </row>
    <row r="17141" spans="3:4" x14ac:dyDescent="0.35">
      <c r="C17141" s="51"/>
      <c r="D17141" s="51"/>
    </row>
    <row r="17142" spans="3:4" x14ac:dyDescent="0.35">
      <c r="C17142" s="51"/>
      <c r="D17142" s="51"/>
    </row>
    <row r="17143" spans="3:4" x14ac:dyDescent="0.35">
      <c r="C17143" s="51"/>
      <c r="D17143" s="51"/>
    </row>
    <row r="17144" spans="3:4" x14ac:dyDescent="0.35">
      <c r="C17144" s="51"/>
      <c r="D17144" s="51"/>
    </row>
    <row r="17145" spans="3:4" x14ac:dyDescent="0.35">
      <c r="C17145" s="51"/>
      <c r="D17145" s="51"/>
    </row>
    <row r="17146" spans="3:4" x14ac:dyDescent="0.35">
      <c r="C17146" s="51"/>
      <c r="D17146" s="51"/>
    </row>
    <row r="17147" spans="3:4" x14ac:dyDescent="0.35">
      <c r="C17147" s="51"/>
      <c r="D17147" s="51"/>
    </row>
    <row r="17148" spans="3:4" x14ac:dyDescent="0.35">
      <c r="C17148" s="51"/>
      <c r="D17148" s="51"/>
    </row>
    <row r="17149" spans="3:4" x14ac:dyDescent="0.35">
      <c r="C17149" s="51"/>
      <c r="D17149" s="51"/>
    </row>
    <row r="17150" spans="3:4" x14ac:dyDescent="0.35">
      <c r="C17150" s="51"/>
      <c r="D17150" s="51"/>
    </row>
    <row r="17151" spans="3:4" x14ac:dyDescent="0.35">
      <c r="C17151" s="51"/>
      <c r="D17151" s="51"/>
    </row>
    <row r="17152" spans="3:4" x14ac:dyDescent="0.35">
      <c r="C17152" s="51"/>
      <c r="D17152" s="51"/>
    </row>
    <row r="17153" spans="3:4" x14ac:dyDescent="0.35">
      <c r="C17153" s="51"/>
      <c r="D17153" s="51"/>
    </row>
    <row r="17154" spans="3:4" x14ac:dyDescent="0.35">
      <c r="C17154" s="51"/>
      <c r="D17154" s="51"/>
    </row>
    <row r="17155" spans="3:4" x14ac:dyDescent="0.35">
      <c r="C17155" s="51"/>
      <c r="D17155" s="51"/>
    </row>
    <row r="17156" spans="3:4" x14ac:dyDescent="0.35">
      <c r="C17156" s="51"/>
      <c r="D17156" s="51"/>
    </row>
    <row r="17157" spans="3:4" x14ac:dyDescent="0.35">
      <c r="C17157" s="51"/>
      <c r="D17157" s="51"/>
    </row>
    <row r="17158" spans="3:4" x14ac:dyDescent="0.35">
      <c r="C17158" s="51"/>
      <c r="D17158" s="51"/>
    </row>
    <row r="17159" spans="3:4" x14ac:dyDescent="0.35">
      <c r="C17159" s="51"/>
      <c r="D17159" s="51"/>
    </row>
    <row r="17160" spans="3:4" x14ac:dyDescent="0.35">
      <c r="C17160" s="51"/>
      <c r="D17160" s="51"/>
    </row>
    <row r="17161" spans="3:4" x14ac:dyDescent="0.35">
      <c r="C17161" s="51"/>
      <c r="D17161" s="51"/>
    </row>
    <row r="17162" spans="3:4" x14ac:dyDescent="0.35">
      <c r="C17162" s="51"/>
      <c r="D17162" s="51"/>
    </row>
    <row r="17163" spans="3:4" x14ac:dyDescent="0.35">
      <c r="C17163" s="51"/>
      <c r="D17163" s="51"/>
    </row>
    <row r="17164" spans="3:4" x14ac:dyDescent="0.35">
      <c r="C17164" s="51"/>
      <c r="D17164" s="51"/>
    </row>
    <row r="17165" spans="3:4" x14ac:dyDescent="0.35">
      <c r="C17165" s="51"/>
      <c r="D17165" s="51"/>
    </row>
    <row r="17166" spans="3:4" x14ac:dyDescent="0.35">
      <c r="C17166" s="51"/>
      <c r="D17166" s="51"/>
    </row>
    <row r="17167" spans="3:4" x14ac:dyDescent="0.35">
      <c r="C17167" s="51"/>
      <c r="D17167" s="51"/>
    </row>
    <row r="17168" spans="3:4" x14ac:dyDescent="0.35">
      <c r="C17168" s="51"/>
      <c r="D17168" s="51"/>
    </row>
    <row r="17169" spans="3:4" x14ac:dyDescent="0.35">
      <c r="C17169" s="51"/>
      <c r="D17169" s="51"/>
    </row>
    <row r="17170" spans="3:4" x14ac:dyDescent="0.35">
      <c r="C17170" s="51"/>
      <c r="D17170" s="51"/>
    </row>
    <row r="17171" spans="3:4" x14ac:dyDescent="0.35">
      <c r="C17171" s="51"/>
      <c r="D17171" s="51"/>
    </row>
    <row r="17172" spans="3:4" x14ac:dyDescent="0.35">
      <c r="C17172" s="51"/>
      <c r="D17172" s="51"/>
    </row>
    <row r="17173" spans="3:4" x14ac:dyDescent="0.35">
      <c r="C17173" s="51"/>
      <c r="D17173" s="51"/>
    </row>
    <row r="17174" spans="3:4" x14ac:dyDescent="0.35">
      <c r="C17174" s="51"/>
      <c r="D17174" s="51"/>
    </row>
    <row r="17175" spans="3:4" x14ac:dyDescent="0.35">
      <c r="C17175" s="51"/>
      <c r="D17175" s="51"/>
    </row>
    <row r="17176" spans="3:4" x14ac:dyDescent="0.35">
      <c r="C17176" s="51"/>
      <c r="D17176" s="51"/>
    </row>
    <row r="17177" spans="3:4" x14ac:dyDescent="0.35">
      <c r="C17177" s="51"/>
      <c r="D17177" s="51"/>
    </row>
    <row r="17178" spans="3:4" x14ac:dyDescent="0.35">
      <c r="C17178" s="51"/>
      <c r="D17178" s="51"/>
    </row>
    <row r="17179" spans="3:4" x14ac:dyDescent="0.35">
      <c r="C17179" s="51"/>
      <c r="D17179" s="51"/>
    </row>
    <row r="17180" spans="3:4" x14ac:dyDescent="0.35">
      <c r="C17180" s="51"/>
      <c r="D17180" s="51"/>
    </row>
    <row r="17181" spans="3:4" x14ac:dyDescent="0.35">
      <c r="C17181" s="51"/>
      <c r="D17181" s="51"/>
    </row>
    <row r="17182" spans="3:4" x14ac:dyDescent="0.35">
      <c r="C17182" s="51"/>
      <c r="D17182" s="51"/>
    </row>
    <row r="17183" spans="3:4" x14ac:dyDescent="0.35">
      <c r="C17183" s="51"/>
      <c r="D17183" s="51"/>
    </row>
    <row r="17184" spans="3:4" x14ac:dyDescent="0.35">
      <c r="C17184" s="51"/>
      <c r="D17184" s="51"/>
    </row>
    <row r="17185" spans="3:4" x14ac:dyDescent="0.35">
      <c r="C17185" s="51"/>
      <c r="D17185" s="51"/>
    </row>
    <row r="17186" spans="3:4" x14ac:dyDescent="0.35">
      <c r="C17186" s="51"/>
      <c r="D17186" s="51"/>
    </row>
    <row r="17187" spans="3:4" x14ac:dyDescent="0.35">
      <c r="C17187" s="51"/>
      <c r="D17187" s="51"/>
    </row>
    <row r="17188" spans="3:4" x14ac:dyDescent="0.35">
      <c r="C17188" s="51"/>
      <c r="D17188" s="51"/>
    </row>
    <row r="17189" spans="3:4" x14ac:dyDescent="0.35">
      <c r="C17189" s="51"/>
      <c r="D17189" s="51"/>
    </row>
    <row r="17190" spans="3:4" x14ac:dyDescent="0.35">
      <c r="C17190" s="51"/>
      <c r="D17190" s="51"/>
    </row>
    <row r="17191" spans="3:4" x14ac:dyDescent="0.35">
      <c r="C17191" s="51"/>
      <c r="D17191" s="51"/>
    </row>
    <row r="17192" spans="3:4" x14ac:dyDescent="0.35">
      <c r="C17192" s="51"/>
      <c r="D17192" s="51"/>
    </row>
    <row r="17193" spans="3:4" x14ac:dyDescent="0.35">
      <c r="C17193" s="51"/>
      <c r="D17193" s="51"/>
    </row>
    <row r="17194" spans="3:4" x14ac:dyDescent="0.35">
      <c r="C17194" s="51"/>
      <c r="D17194" s="51"/>
    </row>
    <row r="17195" spans="3:4" x14ac:dyDescent="0.35">
      <c r="C17195" s="51"/>
      <c r="D17195" s="51"/>
    </row>
    <row r="17196" spans="3:4" x14ac:dyDescent="0.35">
      <c r="C17196" s="51"/>
      <c r="D17196" s="51"/>
    </row>
    <row r="17197" spans="3:4" x14ac:dyDescent="0.35">
      <c r="C17197" s="51"/>
      <c r="D17197" s="51"/>
    </row>
    <row r="17198" spans="3:4" x14ac:dyDescent="0.35">
      <c r="C17198" s="51"/>
      <c r="D17198" s="51"/>
    </row>
    <row r="17199" spans="3:4" x14ac:dyDescent="0.35">
      <c r="C17199" s="51"/>
      <c r="D17199" s="51"/>
    </row>
    <row r="17200" spans="3:4" x14ac:dyDescent="0.35">
      <c r="C17200" s="51"/>
      <c r="D17200" s="51"/>
    </row>
    <row r="17201" spans="3:4" x14ac:dyDescent="0.35">
      <c r="C17201" s="51"/>
      <c r="D17201" s="51"/>
    </row>
    <row r="17202" spans="3:4" x14ac:dyDescent="0.35">
      <c r="C17202" s="51"/>
      <c r="D17202" s="51"/>
    </row>
    <row r="17203" spans="3:4" x14ac:dyDescent="0.35">
      <c r="C17203" s="51"/>
      <c r="D17203" s="51"/>
    </row>
    <row r="17204" spans="3:4" x14ac:dyDescent="0.35">
      <c r="C17204" s="51"/>
      <c r="D17204" s="51"/>
    </row>
    <row r="17205" spans="3:4" x14ac:dyDescent="0.35">
      <c r="C17205" s="51"/>
      <c r="D17205" s="51"/>
    </row>
    <row r="17206" spans="3:4" x14ac:dyDescent="0.35">
      <c r="C17206" s="51"/>
      <c r="D17206" s="51"/>
    </row>
    <row r="17207" spans="3:4" x14ac:dyDescent="0.35">
      <c r="C17207" s="51"/>
      <c r="D17207" s="51"/>
    </row>
    <row r="17208" spans="3:4" x14ac:dyDescent="0.35">
      <c r="C17208" s="51"/>
      <c r="D17208" s="51"/>
    </row>
    <row r="17209" spans="3:4" x14ac:dyDescent="0.35">
      <c r="C17209" s="51"/>
      <c r="D17209" s="51"/>
    </row>
    <row r="17210" spans="3:4" x14ac:dyDescent="0.35">
      <c r="C17210" s="51"/>
      <c r="D17210" s="51"/>
    </row>
    <row r="17211" spans="3:4" x14ac:dyDescent="0.35">
      <c r="C17211" s="51"/>
      <c r="D17211" s="51"/>
    </row>
    <row r="17212" spans="3:4" x14ac:dyDescent="0.35">
      <c r="C17212" s="51"/>
      <c r="D17212" s="51"/>
    </row>
    <row r="17213" spans="3:4" x14ac:dyDescent="0.35">
      <c r="C17213" s="51"/>
      <c r="D17213" s="51"/>
    </row>
    <row r="17214" spans="3:4" x14ac:dyDescent="0.35">
      <c r="C17214" s="51"/>
      <c r="D17214" s="51"/>
    </row>
    <row r="17215" spans="3:4" x14ac:dyDescent="0.35">
      <c r="C17215" s="51"/>
      <c r="D17215" s="51"/>
    </row>
    <row r="17216" spans="3:4" x14ac:dyDescent="0.35">
      <c r="C17216" s="51"/>
      <c r="D17216" s="51"/>
    </row>
    <row r="17217" spans="3:4" x14ac:dyDescent="0.35">
      <c r="C17217" s="51"/>
      <c r="D17217" s="51"/>
    </row>
    <row r="17218" spans="3:4" x14ac:dyDescent="0.35">
      <c r="C17218" s="51"/>
      <c r="D17218" s="51"/>
    </row>
    <row r="17219" spans="3:4" x14ac:dyDescent="0.35">
      <c r="C17219" s="51"/>
      <c r="D17219" s="51"/>
    </row>
    <row r="17220" spans="3:4" x14ac:dyDescent="0.35">
      <c r="C17220" s="51"/>
      <c r="D17220" s="51"/>
    </row>
    <row r="17221" spans="3:4" x14ac:dyDescent="0.35">
      <c r="C17221" s="51"/>
      <c r="D17221" s="51"/>
    </row>
    <row r="17222" spans="3:4" x14ac:dyDescent="0.35">
      <c r="C17222" s="51"/>
      <c r="D17222" s="51"/>
    </row>
    <row r="17223" spans="3:4" x14ac:dyDescent="0.35">
      <c r="C17223" s="51"/>
      <c r="D17223" s="51"/>
    </row>
    <row r="17224" spans="3:4" x14ac:dyDescent="0.35">
      <c r="C17224" s="51"/>
      <c r="D17224" s="51"/>
    </row>
    <row r="17225" spans="3:4" x14ac:dyDescent="0.35">
      <c r="C17225" s="51"/>
      <c r="D17225" s="51"/>
    </row>
    <row r="17226" spans="3:4" x14ac:dyDescent="0.35">
      <c r="C17226" s="51"/>
      <c r="D17226" s="51"/>
    </row>
    <row r="17227" spans="3:4" x14ac:dyDescent="0.35">
      <c r="C17227" s="51"/>
      <c r="D17227" s="51"/>
    </row>
    <row r="17228" spans="3:4" x14ac:dyDescent="0.35">
      <c r="C17228" s="51"/>
      <c r="D17228" s="51"/>
    </row>
    <row r="17229" spans="3:4" x14ac:dyDescent="0.35">
      <c r="C17229" s="51"/>
      <c r="D17229" s="51"/>
    </row>
    <row r="17230" spans="3:4" x14ac:dyDescent="0.35">
      <c r="C17230" s="51"/>
      <c r="D17230" s="51"/>
    </row>
    <row r="17231" spans="3:4" x14ac:dyDescent="0.35">
      <c r="C17231" s="51"/>
      <c r="D17231" s="51"/>
    </row>
    <row r="17232" spans="3:4" x14ac:dyDescent="0.35">
      <c r="C17232" s="51"/>
      <c r="D17232" s="51"/>
    </row>
    <row r="17233" spans="3:4" x14ac:dyDescent="0.35">
      <c r="C17233" s="51"/>
      <c r="D17233" s="51"/>
    </row>
    <row r="17234" spans="3:4" x14ac:dyDescent="0.35">
      <c r="C17234" s="51"/>
      <c r="D17234" s="51"/>
    </row>
    <row r="17235" spans="3:4" x14ac:dyDescent="0.35">
      <c r="C17235" s="51"/>
      <c r="D17235" s="51"/>
    </row>
    <row r="17236" spans="3:4" x14ac:dyDescent="0.35">
      <c r="C17236" s="51"/>
      <c r="D17236" s="51"/>
    </row>
    <row r="17237" spans="3:4" x14ac:dyDescent="0.35">
      <c r="C17237" s="51"/>
      <c r="D17237" s="51"/>
    </row>
    <row r="17238" spans="3:4" x14ac:dyDescent="0.35">
      <c r="C17238" s="51"/>
      <c r="D17238" s="51"/>
    </row>
    <row r="17239" spans="3:4" x14ac:dyDescent="0.35">
      <c r="C17239" s="51"/>
      <c r="D17239" s="51"/>
    </row>
    <row r="17240" spans="3:4" x14ac:dyDescent="0.35">
      <c r="C17240" s="51"/>
      <c r="D17240" s="51"/>
    </row>
    <row r="17241" spans="3:4" x14ac:dyDescent="0.35">
      <c r="C17241" s="51"/>
      <c r="D17241" s="51"/>
    </row>
    <row r="17242" spans="3:4" x14ac:dyDescent="0.35">
      <c r="C17242" s="51"/>
      <c r="D17242" s="51"/>
    </row>
    <row r="17243" spans="3:4" x14ac:dyDescent="0.35">
      <c r="C17243" s="51"/>
      <c r="D17243" s="51"/>
    </row>
    <row r="17244" spans="3:4" x14ac:dyDescent="0.35">
      <c r="C17244" s="51"/>
      <c r="D17244" s="51"/>
    </row>
    <row r="17245" spans="3:4" x14ac:dyDescent="0.35">
      <c r="C17245" s="51"/>
      <c r="D17245" s="51"/>
    </row>
    <row r="17246" spans="3:4" x14ac:dyDescent="0.35">
      <c r="C17246" s="51"/>
      <c r="D17246" s="51"/>
    </row>
    <row r="17247" spans="3:4" x14ac:dyDescent="0.35">
      <c r="C17247" s="51"/>
      <c r="D17247" s="51"/>
    </row>
    <row r="17248" spans="3:4" x14ac:dyDescent="0.35">
      <c r="C17248" s="51"/>
      <c r="D17248" s="51"/>
    </row>
    <row r="17249" spans="3:4" x14ac:dyDescent="0.35">
      <c r="C17249" s="51"/>
      <c r="D17249" s="51"/>
    </row>
    <row r="17250" spans="3:4" x14ac:dyDescent="0.35">
      <c r="C17250" s="51"/>
      <c r="D17250" s="51"/>
    </row>
    <row r="17251" spans="3:4" x14ac:dyDescent="0.35">
      <c r="C17251" s="51"/>
      <c r="D17251" s="51"/>
    </row>
    <row r="17252" spans="3:4" x14ac:dyDescent="0.35">
      <c r="C17252" s="51"/>
      <c r="D17252" s="51"/>
    </row>
    <row r="17253" spans="3:4" x14ac:dyDescent="0.35">
      <c r="C17253" s="51"/>
      <c r="D17253" s="51"/>
    </row>
    <row r="17254" spans="3:4" x14ac:dyDescent="0.35">
      <c r="C17254" s="51"/>
      <c r="D17254" s="51"/>
    </row>
    <row r="17255" spans="3:4" x14ac:dyDescent="0.35">
      <c r="C17255" s="51"/>
      <c r="D17255" s="51"/>
    </row>
    <row r="17256" spans="3:4" x14ac:dyDescent="0.35">
      <c r="C17256" s="51"/>
      <c r="D17256" s="51"/>
    </row>
    <row r="17257" spans="3:4" x14ac:dyDescent="0.35">
      <c r="C17257" s="51"/>
      <c r="D17257" s="51"/>
    </row>
    <row r="17258" spans="3:4" x14ac:dyDescent="0.35">
      <c r="C17258" s="51"/>
      <c r="D17258" s="51"/>
    </row>
    <row r="17259" spans="3:4" x14ac:dyDescent="0.35">
      <c r="C17259" s="51"/>
      <c r="D17259" s="51"/>
    </row>
    <row r="17260" spans="3:4" x14ac:dyDescent="0.35">
      <c r="C17260" s="51"/>
      <c r="D17260" s="51"/>
    </row>
    <row r="17261" spans="3:4" x14ac:dyDescent="0.35">
      <c r="C17261" s="51"/>
      <c r="D17261" s="51"/>
    </row>
    <row r="17262" spans="3:4" x14ac:dyDescent="0.35">
      <c r="C17262" s="51"/>
      <c r="D17262" s="51"/>
    </row>
    <row r="17263" spans="3:4" x14ac:dyDescent="0.35">
      <c r="C17263" s="51"/>
      <c r="D17263" s="51"/>
    </row>
    <row r="17264" spans="3:4" x14ac:dyDescent="0.35">
      <c r="C17264" s="51"/>
      <c r="D17264" s="51"/>
    </row>
    <row r="17265" spans="3:4" x14ac:dyDescent="0.35">
      <c r="C17265" s="51"/>
      <c r="D17265" s="51"/>
    </row>
    <row r="17266" spans="3:4" x14ac:dyDescent="0.35">
      <c r="C17266" s="51"/>
      <c r="D17266" s="51"/>
    </row>
    <row r="17267" spans="3:4" x14ac:dyDescent="0.35">
      <c r="C17267" s="51"/>
      <c r="D17267" s="51"/>
    </row>
    <row r="17268" spans="3:4" x14ac:dyDescent="0.35">
      <c r="C17268" s="51"/>
      <c r="D17268" s="51"/>
    </row>
    <row r="17269" spans="3:4" x14ac:dyDescent="0.35">
      <c r="C17269" s="51"/>
      <c r="D17269" s="51"/>
    </row>
    <row r="17270" spans="3:4" x14ac:dyDescent="0.35">
      <c r="C17270" s="51"/>
      <c r="D17270" s="51"/>
    </row>
    <row r="17271" spans="3:4" x14ac:dyDescent="0.35">
      <c r="C17271" s="51"/>
      <c r="D17271" s="51"/>
    </row>
    <row r="17272" spans="3:4" x14ac:dyDescent="0.35">
      <c r="C17272" s="51"/>
      <c r="D17272" s="51"/>
    </row>
    <row r="17273" spans="3:4" x14ac:dyDescent="0.35">
      <c r="C17273" s="51"/>
      <c r="D17273" s="51"/>
    </row>
    <row r="17274" spans="3:4" x14ac:dyDescent="0.35">
      <c r="C17274" s="51"/>
      <c r="D17274" s="51"/>
    </row>
    <row r="17275" spans="3:4" x14ac:dyDescent="0.35">
      <c r="C17275" s="51"/>
      <c r="D17275" s="51"/>
    </row>
    <row r="17276" spans="3:4" x14ac:dyDescent="0.35">
      <c r="C17276" s="51"/>
      <c r="D17276" s="51"/>
    </row>
    <row r="17277" spans="3:4" x14ac:dyDescent="0.35">
      <c r="C17277" s="51"/>
      <c r="D17277" s="51"/>
    </row>
    <row r="17278" spans="3:4" x14ac:dyDescent="0.35">
      <c r="C17278" s="51"/>
      <c r="D17278" s="51"/>
    </row>
    <row r="17279" spans="3:4" x14ac:dyDescent="0.35">
      <c r="C17279" s="51"/>
      <c r="D17279" s="51"/>
    </row>
    <row r="17280" spans="3:4" x14ac:dyDescent="0.35">
      <c r="C17280" s="51"/>
      <c r="D17280" s="51"/>
    </row>
    <row r="17281" spans="3:4" x14ac:dyDescent="0.35">
      <c r="C17281" s="51"/>
      <c r="D17281" s="51"/>
    </row>
    <row r="17282" spans="3:4" x14ac:dyDescent="0.35">
      <c r="C17282" s="51"/>
      <c r="D17282" s="51"/>
    </row>
    <row r="17283" spans="3:4" x14ac:dyDescent="0.35">
      <c r="C17283" s="51"/>
      <c r="D17283" s="51"/>
    </row>
    <row r="17284" spans="3:4" x14ac:dyDescent="0.35">
      <c r="C17284" s="51"/>
      <c r="D17284" s="51"/>
    </row>
    <row r="17285" spans="3:4" x14ac:dyDescent="0.35">
      <c r="C17285" s="51"/>
      <c r="D17285" s="51"/>
    </row>
    <row r="17286" spans="3:4" x14ac:dyDescent="0.35">
      <c r="C17286" s="51"/>
      <c r="D17286" s="51"/>
    </row>
    <row r="17287" spans="3:4" x14ac:dyDescent="0.35">
      <c r="C17287" s="51"/>
      <c r="D17287" s="51"/>
    </row>
    <row r="17288" spans="3:4" x14ac:dyDescent="0.35">
      <c r="C17288" s="51"/>
      <c r="D17288" s="51"/>
    </row>
    <row r="17289" spans="3:4" x14ac:dyDescent="0.35">
      <c r="C17289" s="51"/>
      <c r="D17289" s="51"/>
    </row>
    <row r="17290" spans="3:4" x14ac:dyDescent="0.35">
      <c r="C17290" s="51"/>
      <c r="D17290" s="51"/>
    </row>
    <row r="17291" spans="3:4" x14ac:dyDescent="0.35">
      <c r="C17291" s="51"/>
      <c r="D17291" s="51"/>
    </row>
    <row r="17292" spans="3:4" x14ac:dyDescent="0.35">
      <c r="C17292" s="51"/>
      <c r="D17292" s="51"/>
    </row>
    <row r="17293" spans="3:4" x14ac:dyDescent="0.35">
      <c r="C17293" s="51"/>
      <c r="D17293" s="51"/>
    </row>
    <row r="17294" spans="3:4" x14ac:dyDescent="0.35">
      <c r="C17294" s="51"/>
      <c r="D17294" s="51"/>
    </row>
    <row r="17295" spans="3:4" x14ac:dyDescent="0.35">
      <c r="C17295" s="51"/>
      <c r="D17295" s="51"/>
    </row>
    <row r="17296" spans="3:4" x14ac:dyDescent="0.35">
      <c r="C17296" s="51"/>
      <c r="D17296" s="51"/>
    </row>
    <row r="17297" spans="3:4" x14ac:dyDescent="0.35">
      <c r="C17297" s="51"/>
      <c r="D17297" s="51"/>
    </row>
    <row r="17298" spans="3:4" x14ac:dyDescent="0.35">
      <c r="C17298" s="51"/>
      <c r="D17298" s="51"/>
    </row>
    <row r="17299" spans="3:4" x14ac:dyDescent="0.35">
      <c r="C17299" s="51"/>
      <c r="D17299" s="51"/>
    </row>
    <row r="17300" spans="3:4" x14ac:dyDescent="0.35">
      <c r="C17300" s="51"/>
      <c r="D17300" s="51"/>
    </row>
    <row r="17301" spans="3:4" x14ac:dyDescent="0.35">
      <c r="C17301" s="51"/>
      <c r="D17301" s="51"/>
    </row>
    <row r="17302" spans="3:4" x14ac:dyDescent="0.35">
      <c r="C17302" s="51"/>
      <c r="D17302" s="51"/>
    </row>
    <row r="17303" spans="3:4" x14ac:dyDescent="0.35">
      <c r="C17303" s="51"/>
      <c r="D17303" s="51"/>
    </row>
    <row r="17304" spans="3:4" x14ac:dyDescent="0.35">
      <c r="C17304" s="51"/>
      <c r="D17304" s="51"/>
    </row>
    <row r="17305" spans="3:4" x14ac:dyDescent="0.35">
      <c r="C17305" s="51"/>
      <c r="D17305" s="51"/>
    </row>
    <row r="17306" spans="3:4" x14ac:dyDescent="0.35">
      <c r="C17306" s="51"/>
      <c r="D17306" s="51"/>
    </row>
    <row r="17307" spans="3:4" x14ac:dyDescent="0.35">
      <c r="C17307" s="51"/>
      <c r="D17307" s="51"/>
    </row>
    <row r="17308" spans="3:4" x14ac:dyDescent="0.35">
      <c r="C17308" s="51"/>
      <c r="D17308" s="51"/>
    </row>
    <row r="17309" spans="3:4" x14ac:dyDescent="0.35">
      <c r="C17309" s="51"/>
      <c r="D17309" s="51"/>
    </row>
    <row r="17310" spans="3:4" x14ac:dyDescent="0.35">
      <c r="C17310" s="51"/>
      <c r="D17310" s="51"/>
    </row>
    <row r="17311" spans="3:4" x14ac:dyDescent="0.35">
      <c r="C17311" s="51"/>
      <c r="D17311" s="51"/>
    </row>
    <row r="17312" spans="3:4" x14ac:dyDescent="0.35">
      <c r="C17312" s="51"/>
      <c r="D17312" s="51"/>
    </row>
    <row r="17313" spans="3:4" x14ac:dyDescent="0.35">
      <c r="C17313" s="51"/>
      <c r="D17313" s="51"/>
    </row>
    <row r="17314" spans="3:4" x14ac:dyDescent="0.35">
      <c r="C17314" s="51"/>
      <c r="D17314" s="51"/>
    </row>
    <row r="17315" spans="3:4" x14ac:dyDescent="0.35">
      <c r="C17315" s="51"/>
      <c r="D17315" s="51"/>
    </row>
    <row r="17316" spans="3:4" x14ac:dyDescent="0.35">
      <c r="C17316" s="51"/>
      <c r="D17316" s="51"/>
    </row>
    <row r="17317" spans="3:4" x14ac:dyDescent="0.35">
      <c r="C17317" s="51"/>
      <c r="D17317" s="51"/>
    </row>
    <row r="17318" spans="3:4" x14ac:dyDescent="0.35">
      <c r="C17318" s="51"/>
      <c r="D17318" s="51"/>
    </row>
    <row r="17319" spans="3:4" x14ac:dyDescent="0.35">
      <c r="C17319" s="51"/>
      <c r="D17319" s="51"/>
    </row>
    <row r="17320" spans="3:4" x14ac:dyDescent="0.35">
      <c r="C17320" s="51"/>
      <c r="D17320" s="51"/>
    </row>
    <row r="17321" spans="3:4" x14ac:dyDescent="0.35">
      <c r="C17321" s="51"/>
      <c r="D17321" s="51"/>
    </row>
    <row r="17322" spans="3:4" x14ac:dyDescent="0.35">
      <c r="C17322" s="51"/>
      <c r="D17322" s="51"/>
    </row>
    <row r="17323" spans="3:4" x14ac:dyDescent="0.35">
      <c r="C17323" s="51"/>
      <c r="D17323" s="51"/>
    </row>
    <row r="17324" spans="3:4" x14ac:dyDescent="0.35">
      <c r="C17324" s="51"/>
      <c r="D17324" s="51"/>
    </row>
    <row r="17325" spans="3:4" x14ac:dyDescent="0.35">
      <c r="C17325" s="51"/>
      <c r="D17325" s="51"/>
    </row>
    <row r="17326" spans="3:4" x14ac:dyDescent="0.35">
      <c r="C17326" s="51"/>
      <c r="D17326" s="51"/>
    </row>
    <row r="17327" spans="3:4" x14ac:dyDescent="0.35">
      <c r="C17327" s="51"/>
      <c r="D17327" s="51"/>
    </row>
    <row r="17328" spans="3:4" x14ac:dyDescent="0.35">
      <c r="C17328" s="51"/>
      <c r="D17328" s="51"/>
    </row>
    <row r="17329" spans="3:4" x14ac:dyDescent="0.35">
      <c r="C17329" s="51"/>
      <c r="D17329" s="51"/>
    </row>
    <row r="17330" spans="3:4" x14ac:dyDescent="0.35">
      <c r="C17330" s="51"/>
      <c r="D17330" s="51"/>
    </row>
    <row r="17331" spans="3:4" x14ac:dyDescent="0.35">
      <c r="C17331" s="51"/>
      <c r="D17331" s="51"/>
    </row>
    <row r="17332" spans="3:4" x14ac:dyDescent="0.35">
      <c r="C17332" s="51"/>
      <c r="D17332" s="51"/>
    </row>
    <row r="17333" spans="3:4" x14ac:dyDescent="0.35">
      <c r="C17333" s="51"/>
      <c r="D17333" s="51"/>
    </row>
    <row r="17334" spans="3:4" x14ac:dyDescent="0.35">
      <c r="C17334" s="51"/>
      <c r="D17334" s="51"/>
    </row>
    <row r="17335" spans="3:4" x14ac:dyDescent="0.35">
      <c r="C17335" s="51"/>
      <c r="D17335" s="51"/>
    </row>
    <row r="17336" spans="3:4" x14ac:dyDescent="0.35">
      <c r="C17336" s="51"/>
      <c r="D17336" s="51"/>
    </row>
    <row r="17337" spans="3:4" x14ac:dyDescent="0.35">
      <c r="C17337" s="51"/>
      <c r="D17337" s="51"/>
    </row>
    <row r="17338" spans="3:4" x14ac:dyDescent="0.35">
      <c r="C17338" s="51"/>
      <c r="D17338" s="51"/>
    </row>
    <row r="17339" spans="3:4" x14ac:dyDescent="0.35">
      <c r="C17339" s="51"/>
      <c r="D17339" s="51"/>
    </row>
    <row r="17340" spans="3:4" x14ac:dyDescent="0.35">
      <c r="C17340" s="51"/>
      <c r="D17340" s="51"/>
    </row>
    <row r="17341" spans="3:4" x14ac:dyDescent="0.35">
      <c r="C17341" s="51"/>
      <c r="D17341" s="51"/>
    </row>
    <row r="17342" spans="3:4" x14ac:dyDescent="0.35">
      <c r="C17342" s="51"/>
      <c r="D17342" s="51"/>
    </row>
    <row r="17343" spans="3:4" x14ac:dyDescent="0.35">
      <c r="C17343" s="51"/>
      <c r="D17343" s="51"/>
    </row>
    <row r="17344" spans="3:4" x14ac:dyDescent="0.35">
      <c r="C17344" s="51"/>
      <c r="D17344" s="51"/>
    </row>
    <row r="17345" spans="3:4" x14ac:dyDescent="0.35">
      <c r="C17345" s="51"/>
      <c r="D17345" s="51"/>
    </row>
    <row r="17346" spans="3:4" x14ac:dyDescent="0.35">
      <c r="C17346" s="51"/>
      <c r="D17346" s="51"/>
    </row>
    <row r="17347" spans="3:4" x14ac:dyDescent="0.35">
      <c r="C17347" s="51"/>
      <c r="D17347" s="51"/>
    </row>
    <row r="17348" spans="3:4" x14ac:dyDescent="0.35">
      <c r="C17348" s="51"/>
      <c r="D17348" s="51"/>
    </row>
    <row r="17349" spans="3:4" x14ac:dyDescent="0.35">
      <c r="C17349" s="51"/>
      <c r="D17349" s="51"/>
    </row>
    <row r="17350" spans="3:4" x14ac:dyDescent="0.35">
      <c r="C17350" s="51"/>
      <c r="D17350" s="51"/>
    </row>
    <row r="17351" spans="3:4" x14ac:dyDescent="0.35">
      <c r="C17351" s="51"/>
      <c r="D17351" s="51"/>
    </row>
    <row r="17352" spans="3:4" x14ac:dyDescent="0.35">
      <c r="C17352" s="51"/>
      <c r="D17352" s="51"/>
    </row>
    <row r="17353" spans="3:4" x14ac:dyDescent="0.35">
      <c r="C17353" s="51"/>
      <c r="D17353" s="51"/>
    </row>
    <row r="17354" spans="3:4" x14ac:dyDescent="0.35">
      <c r="C17354" s="51"/>
      <c r="D17354" s="51"/>
    </row>
    <row r="17355" spans="3:4" x14ac:dyDescent="0.35">
      <c r="C17355" s="51"/>
      <c r="D17355" s="51"/>
    </row>
    <row r="17356" spans="3:4" x14ac:dyDescent="0.35">
      <c r="C17356" s="51"/>
      <c r="D17356" s="51"/>
    </row>
    <row r="17357" spans="3:4" x14ac:dyDescent="0.35">
      <c r="C17357" s="51"/>
      <c r="D17357" s="51"/>
    </row>
    <row r="17358" spans="3:4" x14ac:dyDescent="0.35">
      <c r="C17358" s="51"/>
      <c r="D17358" s="51"/>
    </row>
    <row r="17359" spans="3:4" x14ac:dyDescent="0.35">
      <c r="C17359" s="51"/>
      <c r="D17359" s="51"/>
    </row>
    <row r="17360" spans="3:4" x14ac:dyDescent="0.35">
      <c r="C17360" s="51"/>
      <c r="D17360" s="51"/>
    </row>
    <row r="17361" spans="3:4" x14ac:dyDescent="0.35">
      <c r="C17361" s="51"/>
      <c r="D17361" s="51"/>
    </row>
    <row r="17362" spans="3:4" x14ac:dyDescent="0.35">
      <c r="C17362" s="51"/>
      <c r="D17362" s="51"/>
    </row>
    <row r="17363" spans="3:4" x14ac:dyDescent="0.35">
      <c r="C17363" s="51"/>
      <c r="D17363" s="51"/>
    </row>
    <row r="17364" spans="3:4" x14ac:dyDescent="0.35">
      <c r="C17364" s="51"/>
      <c r="D17364" s="51"/>
    </row>
    <row r="17365" spans="3:4" x14ac:dyDescent="0.35">
      <c r="C17365" s="51"/>
      <c r="D17365" s="51"/>
    </row>
    <row r="17366" spans="3:4" x14ac:dyDescent="0.35">
      <c r="C17366" s="51"/>
      <c r="D17366" s="51"/>
    </row>
    <row r="17367" spans="3:4" x14ac:dyDescent="0.35">
      <c r="C17367" s="51"/>
      <c r="D17367" s="51"/>
    </row>
    <row r="17368" spans="3:4" x14ac:dyDescent="0.35">
      <c r="C17368" s="51"/>
      <c r="D17368" s="51"/>
    </row>
    <row r="17369" spans="3:4" x14ac:dyDescent="0.35">
      <c r="C17369" s="51"/>
      <c r="D17369" s="51"/>
    </row>
    <row r="17370" spans="3:4" x14ac:dyDescent="0.35">
      <c r="C17370" s="51"/>
      <c r="D17370" s="51"/>
    </row>
    <row r="17371" spans="3:4" x14ac:dyDescent="0.35">
      <c r="C17371" s="51"/>
      <c r="D17371" s="51"/>
    </row>
    <row r="17372" spans="3:4" x14ac:dyDescent="0.35">
      <c r="C17372" s="51"/>
      <c r="D17372" s="51"/>
    </row>
    <row r="17373" spans="3:4" x14ac:dyDescent="0.35">
      <c r="C17373" s="51"/>
      <c r="D17373" s="51"/>
    </row>
    <row r="17374" spans="3:4" x14ac:dyDescent="0.35">
      <c r="C17374" s="51"/>
      <c r="D17374" s="51"/>
    </row>
    <row r="17375" spans="3:4" x14ac:dyDescent="0.35">
      <c r="C17375" s="51"/>
      <c r="D17375" s="51"/>
    </row>
    <row r="17376" spans="3:4" x14ac:dyDescent="0.35">
      <c r="C17376" s="51"/>
      <c r="D17376" s="51"/>
    </row>
    <row r="17377" spans="3:4" x14ac:dyDescent="0.35">
      <c r="C17377" s="51"/>
      <c r="D17377" s="51"/>
    </row>
    <row r="17378" spans="3:4" x14ac:dyDescent="0.35">
      <c r="C17378" s="51"/>
      <c r="D17378" s="51"/>
    </row>
    <row r="17379" spans="3:4" x14ac:dyDescent="0.35">
      <c r="C17379" s="51"/>
      <c r="D17379" s="51"/>
    </row>
    <row r="17380" spans="3:4" x14ac:dyDescent="0.35">
      <c r="C17380" s="51"/>
      <c r="D17380" s="51"/>
    </row>
    <row r="17381" spans="3:4" x14ac:dyDescent="0.35">
      <c r="C17381" s="51"/>
      <c r="D17381" s="51"/>
    </row>
    <row r="17382" spans="3:4" x14ac:dyDescent="0.35">
      <c r="C17382" s="51"/>
      <c r="D17382" s="51"/>
    </row>
    <row r="17383" spans="3:4" x14ac:dyDescent="0.35">
      <c r="C17383" s="51"/>
      <c r="D17383" s="51"/>
    </row>
    <row r="17384" spans="3:4" x14ac:dyDescent="0.35">
      <c r="C17384" s="51"/>
      <c r="D17384" s="51"/>
    </row>
    <row r="17385" spans="3:4" x14ac:dyDescent="0.35">
      <c r="C17385" s="51"/>
      <c r="D17385" s="51"/>
    </row>
    <row r="17386" spans="3:4" x14ac:dyDescent="0.35">
      <c r="C17386" s="51"/>
      <c r="D17386" s="51"/>
    </row>
    <row r="17387" spans="3:4" x14ac:dyDescent="0.35">
      <c r="C17387" s="51"/>
      <c r="D17387" s="51"/>
    </row>
    <row r="17388" spans="3:4" x14ac:dyDescent="0.35">
      <c r="C17388" s="51"/>
      <c r="D17388" s="51"/>
    </row>
    <row r="17389" spans="3:4" x14ac:dyDescent="0.35">
      <c r="C17389" s="51"/>
      <c r="D17389" s="51"/>
    </row>
    <row r="17390" spans="3:4" x14ac:dyDescent="0.35">
      <c r="C17390" s="51"/>
      <c r="D17390" s="51"/>
    </row>
    <row r="17391" spans="3:4" x14ac:dyDescent="0.35">
      <c r="C17391" s="51"/>
      <c r="D17391" s="51"/>
    </row>
    <row r="17392" spans="3:4" x14ac:dyDescent="0.35">
      <c r="C17392" s="51"/>
      <c r="D17392" s="51"/>
    </row>
    <row r="17393" spans="3:4" x14ac:dyDescent="0.35">
      <c r="C17393" s="51"/>
      <c r="D17393" s="51"/>
    </row>
    <row r="17394" spans="3:4" x14ac:dyDescent="0.35">
      <c r="C17394" s="51"/>
      <c r="D17394" s="51"/>
    </row>
    <row r="17395" spans="3:4" x14ac:dyDescent="0.35">
      <c r="C17395" s="51"/>
      <c r="D17395" s="51"/>
    </row>
    <row r="17396" spans="3:4" x14ac:dyDescent="0.35">
      <c r="C17396" s="51"/>
      <c r="D17396" s="51"/>
    </row>
    <row r="17397" spans="3:4" x14ac:dyDescent="0.35">
      <c r="C17397" s="51"/>
      <c r="D17397" s="51"/>
    </row>
    <row r="17398" spans="3:4" x14ac:dyDescent="0.35">
      <c r="C17398" s="51"/>
      <c r="D17398" s="51"/>
    </row>
    <row r="17399" spans="3:4" x14ac:dyDescent="0.35">
      <c r="C17399" s="51"/>
      <c r="D17399" s="51"/>
    </row>
    <row r="17400" spans="3:4" x14ac:dyDescent="0.35">
      <c r="C17400" s="51"/>
      <c r="D17400" s="51"/>
    </row>
    <row r="17401" spans="3:4" x14ac:dyDescent="0.35">
      <c r="C17401" s="51"/>
      <c r="D17401" s="51"/>
    </row>
    <row r="17402" spans="3:4" x14ac:dyDescent="0.35">
      <c r="C17402" s="51"/>
      <c r="D17402" s="51"/>
    </row>
    <row r="17403" spans="3:4" x14ac:dyDescent="0.35">
      <c r="C17403" s="51"/>
      <c r="D17403" s="51"/>
    </row>
    <row r="17404" spans="3:4" x14ac:dyDescent="0.35">
      <c r="C17404" s="51"/>
      <c r="D17404" s="51"/>
    </row>
    <row r="17405" spans="3:4" x14ac:dyDescent="0.35">
      <c r="C17405" s="51"/>
      <c r="D17405" s="51"/>
    </row>
    <row r="17406" spans="3:4" x14ac:dyDescent="0.35">
      <c r="C17406" s="51"/>
      <c r="D17406" s="51"/>
    </row>
    <row r="17407" spans="3:4" x14ac:dyDescent="0.35">
      <c r="C17407" s="51"/>
      <c r="D17407" s="51"/>
    </row>
    <row r="17408" spans="3:4" x14ac:dyDescent="0.35">
      <c r="C17408" s="51"/>
      <c r="D17408" s="51"/>
    </row>
    <row r="17409" spans="3:4" x14ac:dyDescent="0.35">
      <c r="C17409" s="51"/>
      <c r="D17409" s="51"/>
    </row>
    <row r="17410" spans="3:4" x14ac:dyDescent="0.35">
      <c r="C17410" s="51"/>
      <c r="D17410" s="51"/>
    </row>
    <row r="17411" spans="3:4" x14ac:dyDescent="0.35">
      <c r="C17411" s="51"/>
      <c r="D17411" s="51"/>
    </row>
    <row r="17412" spans="3:4" x14ac:dyDescent="0.35">
      <c r="C17412" s="51"/>
      <c r="D17412" s="51"/>
    </row>
    <row r="17413" spans="3:4" x14ac:dyDescent="0.35">
      <c r="C17413" s="51"/>
      <c r="D17413" s="51"/>
    </row>
    <row r="17414" spans="3:4" x14ac:dyDescent="0.35">
      <c r="C17414" s="51"/>
      <c r="D17414" s="51"/>
    </row>
    <row r="17415" spans="3:4" x14ac:dyDescent="0.35">
      <c r="C17415" s="51"/>
      <c r="D17415" s="51"/>
    </row>
    <row r="17416" spans="3:4" x14ac:dyDescent="0.35">
      <c r="C17416" s="51"/>
      <c r="D17416" s="51"/>
    </row>
    <row r="17417" spans="3:4" x14ac:dyDescent="0.35">
      <c r="C17417" s="51"/>
      <c r="D17417" s="51"/>
    </row>
    <row r="17418" spans="3:4" x14ac:dyDescent="0.35">
      <c r="C17418" s="51"/>
      <c r="D17418" s="51"/>
    </row>
    <row r="17419" spans="3:4" x14ac:dyDescent="0.35">
      <c r="C17419" s="51"/>
      <c r="D17419" s="51"/>
    </row>
    <row r="17420" spans="3:4" x14ac:dyDescent="0.35">
      <c r="C17420" s="51"/>
      <c r="D17420" s="51"/>
    </row>
    <row r="17421" spans="3:4" x14ac:dyDescent="0.35">
      <c r="C17421" s="51"/>
      <c r="D17421" s="51"/>
    </row>
    <row r="17422" spans="3:4" x14ac:dyDescent="0.35">
      <c r="C17422" s="51"/>
      <c r="D17422" s="51"/>
    </row>
    <row r="17423" spans="3:4" x14ac:dyDescent="0.35">
      <c r="C17423" s="51"/>
      <c r="D17423" s="51"/>
    </row>
    <row r="17424" spans="3:4" x14ac:dyDescent="0.35">
      <c r="C17424" s="51"/>
      <c r="D17424" s="51"/>
    </row>
    <row r="17425" spans="3:4" x14ac:dyDescent="0.35">
      <c r="C17425" s="51"/>
      <c r="D17425" s="51"/>
    </row>
    <row r="17426" spans="3:4" x14ac:dyDescent="0.35">
      <c r="C17426" s="51"/>
      <c r="D17426" s="51"/>
    </row>
    <row r="17427" spans="3:4" x14ac:dyDescent="0.35">
      <c r="C17427" s="51"/>
      <c r="D17427" s="51"/>
    </row>
    <row r="17428" spans="3:4" x14ac:dyDescent="0.35">
      <c r="C17428" s="51"/>
      <c r="D17428" s="51"/>
    </row>
    <row r="17429" spans="3:4" x14ac:dyDescent="0.35">
      <c r="C17429" s="51"/>
      <c r="D17429" s="51"/>
    </row>
    <row r="17430" spans="3:4" x14ac:dyDescent="0.35">
      <c r="C17430" s="51"/>
      <c r="D17430" s="51"/>
    </row>
    <row r="17431" spans="3:4" x14ac:dyDescent="0.35">
      <c r="C17431" s="51"/>
      <c r="D17431" s="51"/>
    </row>
    <row r="17432" spans="3:4" x14ac:dyDescent="0.35">
      <c r="C17432" s="51"/>
      <c r="D17432" s="51"/>
    </row>
    <row r="17433" spans="3:4" x14ac:dyDescent="0.35">
      <c r="C17433" s="51"/>
      <c r="D17433" s="51"/>
    </row>
    <row r="17434" spans="3:4" x14ac:dyDescent="0.35">
      <c r="C17434" s="51"/>
      <c r="D17434" s="51"/>
    </row>
    <row r="17435" spans="3:4" x14ac:dyDescent="0.35">
      <c r="C17435" s="51"/>
      <c r="D17435" s="51"/>
    </row>
    <row r="17436" spans="3:4" x14ac:dyDescent="0.35">
      <c r="C17436" s="51"/>
      <c r="D17436" s="51"/>
    </row>
    <row r="17437" spans="3:4" x14ac:dyDescent="0.35">
      <c r="C17437" s="51"/>
      <c r="D17437" s="51"/>
    </row>
    <row r="17438" spans="3:4" x14ac:dyDescent="0.35">
      <c r="C17438" s="51"/>
      <c r="D17438" s="51"/>
    </row>
    <row r="17439" spans="3:4" x14ac:dyDescent="0.35">
      <c r="C17439" s="51"/>
      <c r="D17439" s="51"/>
    </row>
    <row r="17440" spans="3:4" x14ac:dyDescent="0.35">
      <c r="C17440" s="51"/>
      <c r="D17440" s="51"/>
    </row>
    <row r="17441" spans="3:4" x14ac:dyDescent="0.35">
      <c r="C17441" s="51"/>
      <c r="D17441" s="51"/>
    </row>
    <row r="17442" spans="3:4" x14ac:dyDescent="0.35">
      <c r="C17442" s="51"/>
      <c r="D17442" s="51"/>
    </row>
    <row r="17443" spans="3:4" x14ac:dyDescent="0.35">
      <c r="C17443" s="51"/>
      <c r="D17443" s="51"/>
    </row>
    <row r="17444" spans="3:4" x14ac:dyDescent="0.35">
      <c r="C17444" s="51"/>
      <c r="D17444" s="51"/>
    </row>
    <row r="17445" spans="3:4" x14ac:dyDescent="0.35">
      <c r="C17445" s="51"/>
      <c r="D17445" s="51"/>
    </row>
    <row r="17446" spans="3:4" x14ac:dyDescent="0.35">
      <c r="C17446" s="51"/>
      <c r="D17446" s="51"/>
    </row>
    <row r="17447" spans="3:4" x14ac:dyDescent="0.35">
      <c r="C17447" s="51"/>
      <c r="D17447" s="51"/>
    </row>
    <row r="17448" spans="3:4" x14ac:dyDescent="0.35">
      <c r="C17448" s="51"/>
      <c r="D17448" s="51"/>
    </row>
    <row r="17449" spans="3:4" x14ac:dyDescent="0.35">
      <c r="C17449" s="51"/>
      <c r="D17449" s="51"/>
    </row>
    <row r="17450" spans="3:4" x14ac:dyDescent="0.35">
      <c r="C17450" s="51"/>
      <c r="D17450" s="51"/>
    </row>
    <row r="17451" spans="3:4" x14ac:dyDescent="0.35">
      <c r="C17451" s="51"/>
      <c r="D17451" s="51"/>
    </row>
    <row r="17452" spans="3:4" x14ac:dyDescent="0.35">
      <c r="C17452" s="51"/>
      <c r="D17452" s="51"/>
    </row>
    <row r="17453" spans="3:4" x14ac:dyDescent="0.35">
      <c r="C17453" s="51"/>
      <c r="D17453" s="51"/>
    </row>
    <row r="17454" spans="3:4" x14ac:dyDescent="0.35">
      <c r="C17454" s="51"/>
      <c r="D17454" s="51"/>
    </row>
    <row r="17455" spans="3:4" x14ac:dyDescent="0.35">
      <c r="C17455" s="51"/>
      <c r="D17455" s="51"/>
    </row>
    <row r="17456" spans="3:4" x14ac:dyDescent="0.35">
      <c r="C17456" s="51"/>
      <c r="D17456" s="51"/>
    </row>
    <row r="17457" spans="3:4" x14ac:dyDescent="0.35">
      <c r="C17457" s="51"/>
      <c r="D17457" s="51"/>
    </row>
    <row r="17458" spans="3:4" x14ac:dyDescent="0.35">
      <c r="C17458" s="51"/>
      <c r="D17458" s="51"/>
    </row>
    <row r="17459" spans="3:4" x14ac:dyDescent="0.35">
      <c r="C17459" s="51"/>
      <c r="D17459" s="51"/>
    </row>
    <row r="17460" spans="3:4" x14ac:dyDescent="0.35">
      <c r="C17460" s="51"/>
      <c r="D17460" s="51"/>
    </row>
    <row r="17461" spans="3:4" x14ac:dyDescent="0.35">
      <c r="C17461" s="51"/>
      <c r="D17461" s="51"/>
    </row>
    <row r="17462" spans="3:4" x14ac:dyDescent="0.35">
      <c r="C17462" s="51"/>
      <c r="D17462" s="51"/>
    </row>
    <row r="17463" spans="3:4" x14ac:dyDescent="0.35">
      <c r="C17463" s="51"/>
      <c r="D17463" s="51"/>
    </row>
    <row r="17464" spans="3:4" x14ac:dyDescent="0.35">
      <c r="C17464" s="51"/>
      <c r="D17464" s="51"/>
    </row>
    <row r="17465" spans="3:4" x14ac:dyDescent="0.35">
      <c r="C17465" s="51"/>
      <c r="D17465" s="51"/>
    </row>
    <row r="17466" spans="3:4" x14ac:dyDescent="0.35">
      <c r="C17466" s="51"/>
      <c r="D17466" s="51"/>
    </row>
    <row r="17467" spans="3:4" x14ac:dyDescent="0.35">
      <c r="C17467" s="51"/>
      <c r="D17467" s="51"/>
    </row>
    <row r="17468" spans="3:4" x14ac:dyDescent="0.35">
      <c r="C17468" s="51"/>
      <c r="D17468" s="51"/>
    </row>
    <row r="17469" spans="3:4" x14ac:dyDescent="0.35">
      <c r="C17469" s="51"/>
      <c r="D17469" s="51"/>
    </row>
    <row r="17470" spans="3:4" x14ac:dyDescent="0.35">
      <c r="C17470" s="51"/>
      <c r="D17470" s="51"/>
    </row>
    <row r="17471" spans="3:4" x14ac:dyDescent="0.35">
      <c r="C17471" s="51"/>
      <c r="D17471" s="51"/>
    </row>
    <row r="17472" spans="3:4" x14ac:dyDescent="0.35">
      <c r="C17472" s="51"/>
      <c r="D17472" s="51"/>
    </row>
    <row r="17473" spans="3:4" x14ac:dyDescent="0.35">
      <c r="C17473" s="51"/>
      <c r="D17473" s="51"/>
    </row>
    <row r="17474" spans="3:4" x14ac:dyDescent="0.35">
      <c r="C17474" s="51"/>
      <c r="D17474" s="51"/>
    </row>
    <row r="17475" spans="3:4" x14ac:dyDescent="0.35">
      <c r="C17475" s="51"/>
      <c r="D17475" s="51"/>
    </row>
    <row r="17476" spans="3:4" x14ac:dyDescent="0.35">
      <c r="C17476" s="51"/>
      <c r="D17476" s="51"/>
    </row>
    <row r="17477" spans="3:4" x14ac:dyDescent="0.35">
      <c r="C17477" s="51"/>
      <c r="D17477" s="51"/>
    </row>
    <row r="17478" spans="3:4" x14ac:dyDescent="0.35">
      <c r="C17478" s="51"/>
      <c r="D17478" s="51"/>
    </row>
    <row r="17479" spans="3:4" x14ac:dyDescent="0.35">
      <c r="C17479" s="51"/>
      <c r="D17479" s="51"/>
    </row>
    <row r="17480" spans="3:4" x14ac:dyDescent="0.35">
      <c r="C17480" s="51"/>
      <c r="D17480" s="51"/>
    </row>
    <row r="17481" spans="3:4" x14ac:dyDescent="0.35">
      <c r="C17481" s="51"/>
      <c r="D17481" s="51"/>
    </row>
    <row r="17482" spans="3:4" x14ac:dyDescent="0.35">
      <c r="C17482" s="51"/>
      <c r="D17482" s="51"/>
    </row>
    <row r="17483" spans="3:4" x14ac:dyDescent="0.35">
      <c r="C17483" s="51"/>
      <c r="D17483" s="51"/>
    </row>
    <row r="17484" spans="3:4" x14ac:dyDescent="0.35">
      <c r="C17484" s="51"/>
      <c r="D17484" s="51"/>
    </row>
    <row r="17485" spans="3:4" x14ac:dyDescent="0.35">
      <c r="C17485" s="51"/>
      <c r="D17485" s="51"/>
    </row>
    <row r="17486" spans="3:4" x14ac:dyDescent="0.35">
      <c r="C17486" s="51"/>
      <c r="D17486" s="51"/>
    </row>
    <row r="17487" spans="3:4" x14ac:dyDescent="0.35">
      <c r="C17487" s="51"/>
      <c r="D17487" s="51"/>
    </row>
    <row r="17488" spans="3:4" x14ac:dyDescent="0.35">
      <c r="C17488" s="51"/>
      <c r="D17488" s="51"/>
    </row>
    <row r="17489" spans="3:4" x14ac:dyDescent="0.35">
      <c r="C17489" s="51"/>
      <c r="D17489" s="51"/>
    </row>
    <row r="17490" spans="3:4" x14ac:dyDescent="0.35">
      <c r="C17490" s="51"/>
      <c r="D17490" s="51"/>
    </row>
    <row r="17491" spans="3:4" x14ac:dyDescent="0.35">
      <c r="C17491" s="51"/>
      <c r="D17491" s="51"/>
    </row>
    <row r="17492" spans="3:4" x14ac:dyDescent="0.35">
      <c r="C17492" s="51"/>
      <c r="D17492" s="51"/>
    </row>
    <row r="17493" spans="3:4" x14ac:dyDescent="0.35">
      <c r="C17493" s="51"/>
      <c r="D17493" s="51"/>
    </row>
    <row r="17494" spans="3:4" x14ac:dyDescent="0.35">
      <c r="C17494" s="51"/>
      <c r="D17494" s="51"/>
    </row>
    <row r="17495" spans="3:4" x14ac:dyDescent="0.35">
      <c r="C17495" s="51"/>
      <c r="D17495" s="51"/>
    </row>
    <row r="17496" spans="3:4" x14ac:dyDescent="0.35">
      <c r="C17496" s="51"/>
      <c r="D17496" s="51"/>
    </row>
    <row r="17497" spans="3:4" x14ac:dyDescent="0.35">
      <c r="C17497" s="51"/>
      <c r="D17497" s="51"/>
    </row>
    <row r="17498" spans="3:4" x14ac:dyDescent="0.35">
      <c r="C17498" s="51"/>
      <c r="D17498" s="51"/>
    </row>
    <row r="17499" spans="3:4" x14ac:dyDescent="0.35">
      <c r="C17499" s="51"/>
      <c r="D17499" s="51"/>
    </row>
    <row r="17500" spans="3:4" x14ac:dyDescent="0.35">
      <c r="C17500" s="51"/>
      <c r="D17500" s="51"/>
    </row>
    <row r="17501" spans="3:4" x14ac:dyDescent="0.35">
      <c r="C17501" s="51"/>
      <c r="D17501" s="51"/>
    </row>
    <row r="17502" spans="3:4" x14ac:dyDescent="0.35">
      <c r="C17502" s="51"/>
      <c r="D17502" s="51"/>
    </row>
    <row r="17503" spans="3:4" x14ac:dyDescent="0.35">
      <c r="C17503" s="51"/>
      <c r="D17503" s="51"/>
    </row>
    <row r="17504" spans="3:4" x14ac:dyDescent="0.35">
      <c r="C17504" s="51"/>
      <c r="D17504" s="51"/>
    </row>
    <row r="17505" spans="3:4" x14ac:dyDescent="0.35">
      <c r="C17505" s="51"/>
      <c r="D17505" s="51"/>
    </row>
    <row r="17506" spans="3:4" x14ac:dyDescent="0.35">
      <c r="C17506" s="51"/>
      <c r="D17506" s="51"/>
    </row>
    <row r="17507" spans="3:4" x14ac:dyDescent="0.35">
      <c r="C17507" s="51"/>
      <c r="D17507" s="51"/>
    </row>
    <row r="17508" spans="3:4" x14ac:dyDescent="0.35">
      <c r="C17508" s="51"/>
      <c r="D17508" s="51"/>
    </row>
    <row r="17509" spans="3:4" x14ac:dyDescent="0.35">
      <c r="C17509" s="51"/>
      <c r="D17509" s="51"/>
    </row>
    <row r="17510" spans="3:4" x14ac:dyDescent="0.35">
      <c r="C17510" s="51"/>
      <c r="D17510" s="51"/>
    </row>
    <row r="17511" spans="3:4" x14ac:dyDescent="0.35">
      <c r="C17511" s="51"/>
      <c r="D17511" s="51"/>
    </row>
    <row r="17512" spans="3:4" x14ac:dyDescent="0.35">
      <c r="C17512" s="51"/>
      <c r="D17512" s="51"/>
    </row>
    <row r="17513" spans="3:4" x14ac:dyDescent="0.35">
      <c r="C17513" s="51"/>
      <c r="D17513" s="51"/>
    </row>
    <row r="17514" spans="3:4" x14ac:dyDescent="0.35">
      <c r="C17514" s="51"/>
      <c r="D17514" s="51"/>
    </row>
    <row r="17515" spans="3:4" x14ac:dyDescent="0.35">
      <c r="C17515" s="51"/>
      <c r="D17515" s="51"/>
    </row>
    <row r="17516" spans="3:4" x14ac:dyDescent="0.35">
      <c r="C17516" s="51"/>
      <c r="D17516" s="51"/>
    </row>
    <row r="17517" spans="3:4" x14ac:dyDescent="0.35">
      <c r="C17517" s="51"/>
      <c r="D17517" s="51"/>
    </row>
    <row r="17518" spans="3:4" x14ac:dyDescent="0.35">
      <c r="C17518" s="51"/>
      <c r="D17518" s="51"/>
    </row>
    <row r="17519" spans="3:4" x14ac:dyDescent="0.35">
      <c r="C17519" s="51"/>
      <c r="D17519" s="51"/>
    </row>
    <row r="17520" spans="3:4" x14ac:dyDescent="0.35">
      <c r="C17520" s="51"/>
      <c r="D17520" s="51"/>
    </row>
    <row r="17521" spans="3:4" x14ac:dyDescent="0.35">
      <c r="C17521" s="51"/>
      <c r="D17521" s="51"/>
    </row>
    <row r="17522" spans="3:4" x14ac:dyDescent="0.35">
      <c r="C17522" s="51"/>
      <c r="D17522" s="51"/>
    </row>
    <row r="17523" spans="3:4" x14ac:dyDescent="0.35">
      <c r="C17523" s="51"/>
      <c r="D17523" s="51"/>
    </row>
    <row r="17524" spans="3:4" x14ac:dyDescent="0.35">
      <c r="C17524" s="51"/>
      <c r="D17524" s="51"/>
    </row>
    <row r="17525" spans="3:4" x14ac:dyDescent="0.35">
      <c r="C17525" s="51"/>
      <c r="D17525" s="51"/>
    </row>
    <row r="17526" spans="3:4" x14ac:dyDescent="0.35">
      <c r="C17526" s="51"/>
      <c r="D17526" s="51"/>
    </row>
    <row r="17527" spans="3:4" x14ac:dyDescent="0.35">
      <c r="C17527" s="51"/>
      <c r="D17527" s="51"/>
    </row>
    <row r="17528" spans="3:4" x14ac:dyDescent="0.35">
      <c r="C17528" s="51"/>
      <c r="D17528" s="51"/>
    </row>
    <row r="17529" spans="3:4" x14ac:dyDescent="0.35">
      <c r="C17529" s="51"/>
      <c r="D17529" s="51"/>
    </row>
    <row r="17530" spans="3:4" x14ac:dyDescent="0.35">
      <c r="C17530" s="51"/>
      <c r="D17530" s="51"/>
    </row>
    <row r="17531" spans="3:4" x14ac:dyDescent="0.35">
      <c r="C17531" s="51"/>
      <c r="D17531" s="51"/>
    </row>
    <row r="17532" spans="3:4" x14ac:dyDescent="0.35">
      <c r="C17532" s="51"/>
      <c r="D17532" s="51"/>
    </row>
    <row r="17533" spans="3:4" x14ac:dyDescent="0.35">
      <c r="C17533" s="51"/>
      <c r="D17533" s="51"/>
    </row>
    <row r="17534" spans="3:4" x14ac:dyDescent="0.35">
      <c r="C17534" s="51"/>
      <c r="D17534" s="51"/>
    </row>
    <row r="17535" spans="3:4" x14ac:dyDescent="0.35">
      <c r="C17535" s="51"/>
      <c r="D17535" s="51"/>
    </row>
    <row r="17536" spans="3:4" x14ac:dyDescent="0.35">
      <c r="C17536" s="51"/>
      <c r="D17536" s="51"/>
    </row>
    <row r="17537" spans="3:4" x14ac:dyDescent="0.35">
      <c r="C17537" s="51"/>
      <c r="D17537" s="51"/>
    </row>
    <row r="17538" spans="3:4" x14ac:dyDescent="0.35">
      <c r="C17538" s="51"/>
      <c r="D17538" s="51"/>
    </row>
    <row r="17539" spans="3:4" x14ac:dyDescent="0.35">
      <c r="C17539" s="51"/>
      <c r="D17539" s="51"/>
    </row>
    <row r="17540" spans="3:4" x14ac:dyDescent="0.35">
      <c r="C17540" s="51"/>
      <c r="D17540" s="51"/>
    </row>
    <row r="17541" spans="3:4" x14ac:dyDescent="0.35">
      <c r="C17541" s="51"/>
      <c r="D17541" s="51"/>
    </row>
    <row r="17542" spans="3:4" x14ac:dyDescent="0.35">
      <c r="C17542" s="51"/>
      <c r="D17542" s="51"/>
    </row>
    <row r="17543" spans="3:4" x14ac:dyDescent="0.35">
      <c r="C17543" s="51"/>
      <c r="D17543" s="51"/>
    </row>
    <row r="17544" spans="3:4" x14ac:dyDescent="0.35">
      <c r="C17544" s="51"/>
      <c r="D17544" s="51"/>
    </row>
    <row r="17545" spans="3:4" x14ac:dyDescent="0.35">
      <c r="C17545" s="51"/>
      <c r="D17545" s="51"/>
    </row>
    <row r="17546" spans="3:4" x14ac:dyDescent="0.35">
      <c r="C17546" s="51"/>
      <c r="D17546" s="51"/>
    </row>
    <row r="17547" spans="3:4" x14ac:dyDescent="0.35">
      <c r="C17547" s="51"/>
      <c r="D17547" s="51"/>
    </row>
    <row r="17548" spans="3:4" x14ac:dyDescent="0.35">
      <c r="C17548" s="51"/>
      <c r="D17548" s="51"/>
    </row>
    <row r="17549" spans="3:4" x14ac:dyDescent="0.35">
      <c r="C17549" s="51"/>
      <c r="D17549" s="51"/>
    </row>
    <row r="17550" spans="3:4" x14ac:dyDescent="0.35">
      <c r="C17550" s="51"/>
      <c r="D17550" s="51"/>
    </row>
    <row r="17551" spans="3:4" x14ac:dyDescent="0.35">
      <c r="C17551" s="51"/>
      <c r="D17551" s="51"/>
    </row>
    <row r="17552" spans="3:4" x14ac:dyDescent="0.35">
      <c r="C17552" s="51"/>
      <c r="D17552" s="51"/>
    </row>
    <row r="17553" spans="3:4" x14ac:dyDescent="0.35">
      <c r="C17553" s="51"/>
      <c r="D17553" s="51"/>
    </row>
    <row r="17554" spans="3:4" x14ac:dyDescent="0.35">
      <c r="C17554" s="51"/>
      <c r="D17554" s="51"/>
    </row>
    <row r="17555" spans="3:4" x14ac:dyDescent="0.35">
      <c r="C17555" s="51"/>
      <c r="D17555" s="51"/>
    </row>
    <row r="17556" spans="3:4" x14ac:dyDescent="0.35">
      <c r="C17556" s="51"/>
      <c r="D17556" s="51"/>
    </row>
    <row r="17557" spans="3:4" x14ac:dyDescent="0.35">
      <c r="C17557" s="51"/>
      <c r="D17557" s="51"/>
    </row>
    <row r="17558" spans="3:4" x14ac:dyDescent="0.35">
      <c r="C17558" s="51"/>
      <c r="D17558" s="51"/>
    </row>
    <row r="17559" spans="3:4" x14ac:dyDescent="0.35">
      <c r="C17559" s="51"/>
      <c r="D17559" s="51"/>
    </row>
    <row r="17560" spans="3:4" x14ac:dyDescent="0.35">
      <c r="C17560" s="51"/>
      <c r="D17560" s="51"/>
    </row>
    <row r="17561" spans="3:4" x14ac:dyDescent="0.35">
      <c r="C17561" s="51"/>
      <c r="D17561" s="51"/>
    </row>
    <row r="17562" spans="3:4" x14ac:dyDescent="0.35">
      <c r="C17562" s="51"/>
      <c r="D17562" s="51"/>
    </row>
    <row r="17563" spans="3:4" x14ac:dyDescent="0.35">
      <c r="C17563" s="51"/>
      <c r="D17563" s="51"/>
    </row>
    <row r="17564" spans="3:4" x14ac:dyDescent="0.35">
      <c r="C17564" s="51"/>
      <c r="D17564" s="51"/>
    </row>
    <row r="17565" spans="3:4" x14ac:dyDescent="0.35">
      <c r="C17565" s="51"/>
      <c r="D17565" s="51"/>
    </row>
    <row r="17566" spans="3:4" x14ac:dyDescent="0.35">
      <c r="C17566" s="51"/>
      <c r="D17566" s="51"/>
    </row>
    <row r="17567" spans="3:4" x14ac:dyDescent="0.35">
      <c r="C17567" s="51"/>
      <c r="D17567" s="51"/>
    </row>
    <row r="17568" spans="3:4" x14ac:dyDescent="0.35">
      <c r="C17568" s="51"/>
      <c r="D17568" s="51"/>
    </row>
    <row r="17569" spans="3:4" x14ac:dyDescent="0.35">
      <c r="C17569" s="51"/>
      <c r="D17569" s="51"/>
    </row>
    <row r="17570" spans="3:4" x14ac:dyDescent="0.35">
      <c r="C17570" s="51"/>
      <c r="D17570" s="51"/>
    </row>
    <row r="17571" spans="3:4" x14ac:dyDescent="0.35">
      <c r="C17571" s="51"/>
      <c r="D17571" s="51"/>
    </row>
    <row r="17572" spans="3:4" x14ac:dyDescent="0.35">
      <c r="C17572" s="51"/>
      <c r="D17572" s="51"/>
    </row>
    <row r="17573" spans="3:4" x14ac:dyDescent="0.35">
      <c r="C17573" s="51"/>
      <c r="D17573" s="51"/>
    </row>
    <row r="17574" spans="3:4" x14ac:dyDescent="0.35">
      <c r="C17574" s="51"/>
      <c r="D17574" s="51"/>
    </row>
    <row r="17575" spans="3:4" x14ac:dyDescent="0.35">
      <c r="C17575" s="51"/>
      <c r="D17575" s="51"/>
    </row>
    <row r="17576" spans="3:4" x14ac:dyDescent="0.35">
      <c r="C17576" s="51"/>
      <c r="D17576" s="51"/>
    </row>
    <row r="17577" spans="3:4" x14ac:dyDescent="0.35">
      <c r="C17577" s="51"/>
      <c r="D17577" s="51"/>
    </row>
    <row r="17578" spans="3:4" x14ac:dyDescent="0.35">
      <c r="C17578" s="51"/>
      <c r="D17578" s="51"/>
    </row>
    <row r="17579" spans="3:4" x14ac:dyDescent="0.35">
      <c r="C17579" s="51"/>
      <c r="D17579" s="51"/>
    </row>
    <row r="17580" spans="3:4" x14ac:dyDescent="0.35">
      <c r="C17580" s="51"/>
      <c r="D17580" s="51"/>
    </row>
    <row r="17581" spans="3:4" x14ac:dyDescent="0.35">
      <c r="C17581" s="51"/>
      <c r="D17581" s="51"/>
    </row>
    <row r="17582" spans="3:4" x14ac:dyDescent="0.35">
      <c r="C17582" s="51"/>
      <c r="D17582" s="51"/>
    </row>
    <row r="17583" spans="3:4" x14ac:dyDescent="0.35">
      <c r="C17583" s="51"/>
      <c r="D17583" s="51"/>
    </row>
    <row r="17584" spans="3:4" x14ac:dyDescent="0.35">
      <c r="C17584" s="51"/>
      <c r="D17584" s="51"/>
    </row>
    <row r="17585" spans="3:4" x14ac:dyDescent="0.35">
      <c r="C17585" s="51"/>
      <c r="D17585" s="51"/>
    </row>
    <row r="17586" spans="3:4" x14ac:dyDescent="0.35">
      <c r="C17586" s="51"/>
      <c r="D17586" s="51"/>
    </row>
    <row r="17587" spans="3:4" x14ac:dyDescent="0.35">
      <c r="C17587" s="51"/>
      <c r="D17587" s="51"/>
    </row>
    <row r="17588" spans="3:4" x14ac:dyDescent="0.35">
      <c r="C17588" s="51"/>
      <c r="D17588" s="51"/>
    </row>
    <row r="17589" spans="3:4" x14ac:dyDescent="0.35">
      <c r="C17589" s="51"/>
      <c r="D17589" s="51"/>
    </row>
    <row r="17590" spans="3:4" x14ac:dyDescent="0.35">
      <c r="C17590" s="51"/>
      <c r="D17590" s="51"/>
    </row>
    <row r="17591" spans="3:4" x14ac:dyDescent="0.35">
      <c r="C17591" s="51"/>
      <c r="D17591" s="51"/>
    </row>
    <row r="17592" spans="3:4" x14ac:dyDescent="0.35">
      <c r="C17592" s="51"/>
      <c r="D17592" s="51"/>
    </row>
    <row r="17593" spans="3:4" x14ac:dyDescent="0.35">
      <c r="C17593" s="51"/>
      <c r="D17593" s="51"/>
    </row>
    <row r="17594" spans="3:4" x14ac:dyDescent="0.35">
      <c r="C17594" s="51"/>
      <c r="D17594" s="51"/>
    </row>
    <row r="17595" spans="3:4" x14ac:dyDescent="0.35">
      <c r="C17595" s="51"/>
      <c r="D17595" s="51"/>
    </row>
    <row r="17596" spans="3:4" x14ac:dyDescent="0.35">
      <c r="C17596" s="51"/>
      <c r="D17596" s="51"/>
    </row>
    <row r="17597" spans="3:4" x14ac:dyDescent="0.35">
      <c r="C17597" s="51"/>
      <c r="D17597" s="51"/>
    </row>
    <row r="17598" spans="3:4" x14ac:dyDescent="0.35">
      <c r="C17598" s="51"/>
      <c r="D17598" s="51"/>
    </row>
    <row r="17599" spans="3:4" x14ac:dyDescent="0.35">
      <c r="C17599" s="51"/>
      <c r="D17599" s="51"/>
    </row>
    <row r="17600" spans="3:4" x14ac:dyDescent="0.35">
      <c r="C17600" s="51"/>
      <c r="D17600" s="51"/>
    </row>
    <row r="17601" spans="3:4" x14ac:dyDescent="0.35">
      <c r="C17601" s="51"/>
      <c r="D17601" s="51"/>
    </row>
    <row r="17602" spans="3:4" x14ac:dyDescent="0.35">
      <c r="C17602" s="51"/>
      <c r="D17602" s="51"/>
    </row>
    <row r="17603" spans="3:4" x14ac:dyDescent="0.35">
      <c r="C17603" s="51"/>
      <c r="D17603" s="51"/>
    </row>
    <row r="17604" spans="3:4" x14ac:dyDescent="0.35">
      <c r="C17604" s="51"/>
      <c r="D17604" s="51"/>
    </row>
    <row r="17605" spans="3:4" x14ac:dyDescent="0.35">
      <c r="C17605" s="51"/>
      <c r="D17605" s="51"/>
    </row>
    <row r="17606" spans="3:4" x14ac:dyDescent="0.35">
      <c r="C17606" s="51"/>
      <c r="D17606" s="51"/>
    </row>
    <row r="17607" spans="3:4" x14ac:dyDescent="0.35">
      <c r="C17607" s="51"/>
      <c r="D17607" s="51"/>
    </row>
    <row r="17608" spans="3:4" x14ac:dyDescent="0.35">
      <c r="C17608" s="51"/>
      <c r="D17608" s="51"/>
    </row>
    <row r="17609" spans="3:4" x14ac:dyDescent="0.35">
      <c r="C17609" s="51"/>
      <c r="D17609" s="51"/>
    </row>
    <row r="17610" spans="3:4" x14ac:dyDescent="0.35">
      <c r="C17610" s="51"/>
      <c r="D17610" s="51"/>
    </row>
    <row r="17611" spans="3:4" x14ac:dyDescent="0.35">
      <c r="C17611" s="51"/>
      <c r="D17611" s="51"/>
    </row>
    <row r="17612" spans="3:4" x14ac:dyDescent="0.35">
      <c r="C17612" s="51"/>
      <c r="D17612" s="51"/>
    </row>
    <row r="17613" spans="3:4" x14ac:dyDescent="0.35">
      <c r="C17613" s="51"/>
      <c r="D17613" s="51"/>
    </row>
    <row r="17614" spans="3:4" x14ac:dyDescent="0.35">
      <c r="C17614" s="51"/>
      <c r="D17614" s="51"/>
    </row>
    <row r="17615" spans="3:4" x14ac:dyDescent="0.35">
      <c r="C17615" s="51"/>
      <c r="D17615" s="51"/>
    </row>
    <row r="17616" spans="3:4" x14ac:dyDescent="0.35">
      <c r="C17616" s="51"/>
      <c r="D17616" s="51"/>
    </row>
    <row r="17617" spans="3:4" x14ac:dyDescent="0.35">
      <c r="C17617" s="51"/>
      <c r="D17617" s="51"/>
    </row>
    <row r="17618" spans="3:4" x14ac:dyDescent="0.35">
      <c r="C17618" s="51"/>
      <c r="D17618" s="51"/>
    </row>
    <row r="17619" spans="3:4" x14ac:dyDescent="0.35">
      <c r="C17619" s="51"/>
      <c r="D17619" s="51"/>
    </row>
    <row r="17620" spans="3:4" x14ac:dyDescent="0.35">
      <c r="C17620" s="51"/>
      <c r="D17620" s="51"/>
    </row>
    <row r="17621" spans="3:4" x14ac:dyDescent="0.35">
      <c r="C17621" s="51"/>
      <c r="D17621" s="51"/>
    </row>
    <row r="17622" spans="3:4" x14ac:dyDescent="0.35">
      <c r="C17622" s="51"/>
      <c r="D17622" s="51"/>
    </row>
    <row r="17623" spans="3:4" x14ac:dyDescent="0.35">
      <c r="C17623" s="51"/>
      <c r="D17623" s="51"/>
    </row>
    <row r="17624" spans="3:4" x14ac:dyDescent="0.35">
      <c r="C17624" s="51"/>
      <c r="D17624" s="51"/>
    </row>
    <row r="17625" spans="3:4" x14ac:dyDescent="0.35">
      <c r="C17625" s="51"/>
      <c r="D17625" s="51"/>
    </row>
    <row r="17626" spans="3:4" x14ac:dyDescent="0.35">
      <c r="C17626" s="51"/>
      <c r="D17626" s="51"/>
    </row>
    <row r="17627" spans="3:4" x14ac:dyDescent="0.35">
      <c r="C17627" s="51"/>
      <c r="D17627" s="51"/>
    </row>
    <row r="17628" spans="3:4" x14ac:dyDescent="0.35">
      <c r="C17628" s="51"/>
      <c r="D17628" s="51"/>
    </row>
    <row r="17629" spans="3:4" x14ac:dyDescent="0.35">
      <c r="C17629" s="51"/>
      <c r="D17629" s="51"/>
    </row>
    <row r="17630" spans="3:4" x14ac:dyDescent="0.35">
      <c r="C17630" s="51"/>
      <c r="D17630" s="51"/>
    </row>
    <row r="17631" spans="3:4" x14ac:dyDescent="0.35">
      <c r="C17631" s="51"/>
      <c r="D17631" s="51"/>
    </row>
    <row r="17632" spans="3:4" x14ac:dyDescent="0.35">
      <c r="C17632" s="51"/>
      <c r="D17632" s="51"/>
    </row>
    <row r="17633" spans="3:4" x14ac:dyDescent="0.35">
      <c r="C17633" s="51"/>
      <c r="D17633" s="51"/>
    </row>
    <row r="17634" spans="3:4" x14ac:dyDescent="0.35">
      <c r="C17634" s="51"/>
      <c r="D17634" s="51"/>
    </row>
    <row r="17635" spans="3:4" x14ac:dyDescent="0.35">
      <c r="C17635" s="51"/>
      <c r="D17635" s="51"/>
    </row>
    <row r="17636" spans="3:4" x14ac:dyDescent="0.35">
      <c r="C17636" s="51"/>
      <c r="D17636" s="51"/>
    </row>
    <row r="17637" spans="3:4" x14ac:dyDescent="0.35">
      <c r="C17637" s="51"/>
      <c r="D17637" s="51"/>
    </row>
    <row r="17638" spans="3:4" x14ac:dyDescent="0.35">
      <c r="C17638" s="51"/>
      <c r="D17638" s="51"/>
    </row>
    <row r="17639" spans="3:4" x14ac:dyDescent="0.35">
      <c r="C17639" s="51"/>
      <c r="D17639" s="51"/>
    </row>
    <row r="17640" spans="3:4" x14ac:dyDescent="0.35">
      <c r="C17640" s="51"/>
      <c r="D17640" s="51"/>
    </row>
    <row r="17641" spans="3:4" x14ac:dyDescent="0.35">
      <c r="C17641" s="51"/>
      <c r="D17641" s="51"/>
    </row>
    <row r="17642" spans="3:4" x14ac:dyDescent="0.35">
      <c r="C17642" s="51"/>
      <c r="D17642" s="51"/>
    </row>
    <row r="17643" spans="3:4" x14ac:dyDescent="0.35">
      <c r="C17643" s="51"/>
      <c r="D17643" s="51"/>
    </row>
    <row r="17644" spans="3:4" x14ac:dyDescent="0.35">
      <c r="C17644" s="51"/>
      <c r="D17644" s="51"/>
    </row>
    <row r="17645" spans="3:4" x14ac:dyDescent="0.35">
      <c r="C17645" s="51"/>
      <c r="D17645" s="51"/>
    </row>
    <row r="17646" spans="3:4" x14ac:dyDescent="0.35">
      <c r="C17646" s="51"/>
      <c r="D17646" s="51"/>
    </row>
    <row r="17647" spans="3:4" x14ac:dyDescent="0.35">
      <c r="C17647" s="51"/>
      <c r="D17647" s="51"/>
    </row>
    <row r="17648" spans="3:4" x14ac:dyDescent="0.35">
      <c r="C17648" s="51"/>
      <c r="D17648" s="51"/>
    </row>
    <row r="17649" spans="3:4" x14ac:dyDescent="0.35">
      <c r="C17649" s="51"/>
      <c r="D17649" s="51"/>
    </row>
    <row r="17650" spans="3:4" x14ac:dyDescent="0.35">
      <c r="C17650" s="51"/>
      <c r="D17650" s="51"/>
    </row>
    <row r="17651" spans="3:4" x14ac:dyDescent="0.35">
      <c r="C17651" s="51"/>
      <c r="D17651" s="51"/>
    </row>
    <row r="17652" spans="3:4" x14ac:dyDescent="0.35">
      <c r="C17652" s="51"/>
      <c r="D17652" s="51"/>
    </row>
    <row r="17653" spans="3:4" x14ac:dyDescent="0.35">
      <c r="C17653" s="51"/>
      <c r="D17653" s="51"/>
    </row>
    <row r="17654" spans="3:4" x14ac:dyDescent="0.35">
      <c r="C17654" s="51"/>
      <c r="D17654" s="51"/>
    </row>
    <row r="17655" spans="3:4" x14ac:dyDescent="0.35">
      <c r="C17655" s="51"/>
      <c r="D17655" s="51"/>
    </row>
    <row r="17656" spans="3:4" x14ac:dyDescent="0.35">
      <c r="C17656" s="51"/>
      <c r="D17656" s="51"/>
    </row>
    <row r="17657" spans="3:4" x14ac:dyDescent="0.35">
      <c r="C17657" s="51"/>
      <c r="D17657" s="51"/>
    </row>
    <row r="17658" spans="3:4" x14ac:dyDescent="0.35">
      <c r="C17658" s="51"/>
      <c r="D17658" s="51"/>
    </row>
    <row r="17659" spans="3:4" x14ac:dyDescent="0.35">
      <c r="C17659" s="51"/>
      <c r="D17659" s="51"/>
    </row>
    <row r="17660" spans="3:4" x14ac:dyDescent="0.35">
      <c r="C17660" s="51"/>
      <c r="D17660" s="51"/>
    </row>
    <row r="17661" spans="3:4" x14ac:dyDescent="0.35">
      <c r="C17661" s="51"/>
      <c r="D17661" s="51"/>
    </row>
    <row r="17662" spans="3:4" x14ac:dyDescent="0.35">
      <c r="C17662" s="51"/>
      <c r="D17662" s="51"/>
    </row>
    <row r="17663" spans="3:4" x14ac:dyDescent="0.35">
      <c r="C17663" s="51"/>
      <c r="D17663" s="51"/>
    </row>
    <row r="17664" spans="3:4" x14ac:dyDescent="0.35">
      <c r="C17664" s="51"/>
      <c r="D17664" s="51"/>
    </row>
    <row r="17665" spans="3:4" x14ac:dyDescent="0.35">
      <c r="C17665" s="51"/>
      <c r="D17665" s="51"/>
    </row>
    <row r="17666" spans="3:4" x14ac:dyDescent="0.35">
      <c r="C17666" s="51"/>
      <c r="D17666" s="51"/>
    </row>
    <row r="17667" spans="3:4" x14ac:dyDescent="0.35">
      <c r="C17667" s="51"/>
      <c r="D17667" s="51"/>
    </row>
    <row r="17668" spans="3:4" x14ac:dyDescent="0.35">
      <c r="C17668" s="51"/>
      <c r="D17668" s="51"/>
    </row>
    <row r="17669" spans="3:4" x14ac:dyDescent="0.35">
      <c r="C17669" s="51"/>
      <c r="D17669" s="51"/>
    </row>
    <row r="17670" spans="3:4" x14ac:dyDescent="0.35">
      <c r="C17670" s="51"/>
      <c r="D17670" s="51"/>
    </row>
    <row r="17671" spans="3:4" x14ac:dyDescent="0.35">
      <c r="C17671" s="51"/>
      <c r="D17671" s="51"/>
    </row>
    <row r="17672" spans="3:4" x14ac:dyDescent="0.35">
      <c r="C17672" s="51"/>
      <c r="D17672" s="51"/>
    </row>
    <row r="17673" spans="3:4" x14ac:dyDescent="0.35">
      <c r="C17673" s="51"/>
      <c r="D17673" s="51"/>
    </row>
    <row r="17674" spans="3:4" x14ac:dyDescent="0.35">
      <c r="C17674" s="51"/>
      <c r="D17674" s="51"/>
    </row>
    <row r="17675" spans="3:4" x14ac:dyDescent="0.35">
      <c r="C17675" s="51"/>
      <c r="D17675" s="51"/>
    </row>
    <row r="17676" spans="3:4" x14ac:dyDescent="0.35">
      <c r="C17676" s="51"/>
      <c r="D17676" s="51"/>
    </row>
    <row r="17677" spans="3:4" x14ac:dyDescent="0.35">
      <c r="C17677" s="51"/>
      <c r="D17677" s="51"/>
    </row>
    <row r="17678" spans="3:4" x14ac:dyDescent="0.35">
      <c r="C17678" s="51"/>
      <c r="D17678" s="51"/>
    </row>
    <row r="17679" spans="3:4" x14ac:dyDescent="0.35">
      <c r="C17679" s="51"/>
      <c r="D17679" s="51"/>
    </row>
    <row r="17680" spans="3:4" x14ac:dyDescent="0.35">
      <c r="C17680" s="51"/>
      <c r="D17680" s="51"/>
    </row>
    <row r="17681" spans="3:4" x14ac:dyDescent="0.35">
      <c r="C17681" s="51"/>
      <c r="D17681" s="51"/>
    </row>
    <row r="17682" spans="3:4" x14ac:dyDescent="0.35">
      <c r="C17682" s="51"/>
      <c r="D17682" s="51"/>
    </row>
    <row r="17683" spans="3:4" x14ac:dyDescent="0.35">
      <c r="C17683" s="51"/>
      <c r="D17683" s="51"/>
    </row>
    <row r="17684" spans="3:4" x14ac:dyDescent="0.35">
      <c r="C17684" s="51"/>
      <c r="D17684" s="51"/>
    </row>
    <row r="17685" spans="3:4" x14ac:dyDescent="0.35">
      <c r="C17685" s="51"/>
      <c r="D17685" s="51"/>
    </row>
    <row r="17686" spans="3:4" x14ac:dyDescent="0.35">
      <c r="C17686" s="51"/>
      <c r="D17686" s="51"/>
    </row>
    <row r="17687" spans="3:4" x14ac:dyDescent="0.35">
      <c r="C17687" s="51"/>
      <c r="D17687" s="51"/>
    </row>
    <row r="17688" spans="3:4" x14ac:dyDescent="0.35">
      <c r="C17688" s="51"/>
      <c r="D17688" s="51"/>
    </row>
    <row r="17689" spans="3:4" x14ac:dyDescent="0.35">
      <c r="C17689" s="51"/>
      <c r="D17689" s="51"/>
    </row>
    <row r="17690" spans="3:4" x14ac:dyDescent="0.35">
      <c r="C17690" s="51"/>
      <c r="D17690" s="51"/>
    </row>
    <row r="17691" spans="3:4" x14ac:dyDescent="0.35">
      <c r="C17691" s="51"/>
      <c r="D17691" s="51"/>
    </row>
    <row r="17692" spans="3:4" x14ac:dyDescent="0.35">
      <c r="C17692" s="51"/>
      <c r="D17692" s="51"/>
    </row>
    <row r="17693" spans="3:4" x14ac:dyDescent="0.35">
      <c r="C17693" s="51"/>
      <c r="D17693" s="51"/>
    </row>
    <row r="17694" spans="3:4" x14ac:dyDescent="0.35">
      <c r="C17694" s="51"/>
      <c r="D17694" s="51"/>
    </row>
    <row r="17695" spans="3:4" x14ac:dyDescent="0.35">
      <c r="C17695" s="51"/>
      <c r="D17695" s="51"/>
    </row>
    <row r="17696" spans="3:4" x14ac:dyDescent="0.35">
      <c r="C17696" s="51"/>
      <c r="D17696" s="51"/>
    </row>
    <row r="17697" spans="3:4" x14ac:dyDescent="0.35">
      <c r="C17697" s="51"/>
      <c r="D17697" s="51"/>
    </row>
    <row r="17698" spans="3:4" x14ac:dyDescent="0.35">
      <c r="C17698" s="51"/>
      <c r="D17698" s="51"/>
    </row>
    <row r="17699" spans="3:4" x14ac:dyDescent="0.35">
      <c r="C17699" s="51"/>
      <c r="D17699" s="51"/>
    </row>
    <row r="17700" spans="3:4" x14ac:dyDescent="0.35">
      <c r="C17700" s="51"/>
      <c r="D17700" s="51"/>
    </row>
    <row r="17701" spans="3:4" x14ac:dyDescent="0.35">
      <c r="C17701" s="51"/>
      <c r="D17701" s="51"/>
    </row>
    <row r="17702" spans="3:4" x14ac:dyDescent="0.35">
      <c r="C17702" s="51"/>
      <c r="D17702" s="51"/>
    </row>
    <row r="17703" spans="3:4" x14ac:dyDescent="0.35">
      <c r="C17703" s="51"/>
      <c r="D17703" s="51"/>
    </row>
    <row r="17704" spans="3:4" x14ac:dyDescent="0.35">
      <c r="C17704" s="51"/>
      <c r="D17704" s="51"/>
    </row>
    <row r="17705" spans="3:4" x14ac:dyDescent="0.35">
      <c r="C17705" s="51"/>
      <c r="D17705" s="51"/>
    </row>
    <row r="17706" spans="3:4" x14ac:dyDescent="0.35">
      <c r="C17706" s="51"/>
      <c r="D17706" s="51"/>
    </row>
    <row r="17707" spans="3:4" x14ac:dyDescent="0.35">
      <c r="C17707" s="51"/>
      <c r="D17707" s="51"/>
    </row>
    <row r="17708" spans="3:4" x14ac:dyDescent="0.35">
      <c r="C17708" s="51"/>
      <c r="D17708" s="51"/>
    </row>
    <row r="17709" spans="3:4" x14ac:dyDescent="0.35">
      <c r="C17709" s="51"/>
      <c r="D17709" s="51"/>
    </row>
    <row r="17710" spans="3:4" x14ac:dyDescent="0.35">
      <c r="C17710" s="51"/>
      <c r="D17710" s="51"/>
    </row>
    <row r="17711" spans="3:4" x14ac:dyDescent="0.35">
      <c r="C17711" s="51"/>
      <c r="D17711" s="51"/>
    </row>
    <row r="17712" spans="3:4" x14ac:dyDescent="0.35">
      <c r="C17712" s="51"/>
      <c r="D17712" s="51"/>
    </row>
    <row r="17713" spans="3:4" x14ac:dyDescent="0.35">
      <c r="C17713" s="51"/>
      <c r="D17713" s="51"/>
    </row>
    <row r="17714" spans="3:4" x14ac:dyDescent="0.35">
      <c r="C17714" s="51"/>
      <c r="D17714" s="51"/>
    </row>
    <row r="17715" spans="3:4" x14ac:dyDescent="0.35">
      <c r="C17715" s="51"/>
      <c r="D17715" s="51"/>
    </row>
    <row r="17716" spans="3:4" x14ac:dyDescent="0.35">
      <c r="C17716" s="51"/>
      <c r="D17716" s="51"/>
    </row>
    <row r="17717" spans="3:4" x14ac:dyDescent="0.35">
      <c r="C17717" s="51"/>
      <c r="D17717" s="51"/>
    </row>
    <row r="17718" spans="3:4" x14ac:dyDescent="0.35">
      <c r="C17718" s="51"/>
      <c r="D17718" s="51"/>
    </row>
    <row r="17719" spans="3:4" x14ac:dyDescent="0.35">
      <c r="C17719" s="51"/>
      <c r="D17719" s="51"/>
    </row>
    <row r="17720" spans="3:4" x14ac:dyDescent="0.35">
      <c r="C17720" s="51"/>
      <c r="D17720" s="51"/>
    </row>
    <row r="17721" spans="3:4" x14ac:dyDescent="0.35">
      <c r="C17721" s="51"/>
      <c r="D17721" s="51"/>
    </row>
    <row r="17722" spans="3:4" x14ac:dyDescent="0.35">
      <c r="C17722" s="51"/>
      <c r="D17722" s="51"/>
    </row>
    <row r="17723" spans="3:4" x14ac:dyDescent="0.35">
      <c r="C17723" s="51"/>
      <c r="D17723" s="51"/>
    </row>
    <row r="17724" spans="3:4" x14ac:dyDescent="0.35">
      <c r="C17724" s="51"/>
      <c r="D17724" s="51"/>
    </row>
    <row r="17725" spans="3:4" x14ac:dyDescent="0.35">
      <c r="C17725" s="51"/>
      <c r="D17725" s="51"/>
    </row>
    <row r="17726" spans="3:4" x14ac:dyDescent="0.35">
      <c r="C17726" s="51"/>
      <c r="D17726" s="51"/>
    </row>
    <row r="17727" spans="3:4" x14ac:dyDescent="0.35">
      <c r="C17727" s="51"/>
      <c r="D17727" s="51"/>
    </row>
    <row r="17728" spans="3:4" x14ac:dyDescent="0.35">
      <c r="C17728" s="51"/>
      <c r="D17728" s="51"/>
    </row>
    <row r="17729" spans="3:4" x14ac:dyDescent="0.35">
      <c r="C17729" s="51"/>
      <c r="D17729" s="51"/>
    </row>
    <row r="17730" spans="3:4" x14ac:dyDescent="0.35">
      <c r="C17730" s="51"/>
      <c r="D17730" s="51"/>
    </row>
    <row r="17731" spans="3:4" x14ac:dyDescent="0.35">
      <c r="C17731" s="51"/>
      <c r="D17731" s="51"/>
    </row>
    <row r="17732" spans="3:4" x14ac:dyDescent="0.35">
      <c r="C17732" s="51"/>
      <c r="D17732" s="51"/>
    </row>
    <row r="17733" spans="3:4" x14ac:dyDescent="0.35">
      <c r="C17733" s="51"/>
      <c r="D17733" s="51"/>
    </row>
    <row r="17734" spans="3:4" x14ac:dyDescent="0.35">
      <c r="C17734" s="51"/>
      <c r="D17734" s="51"/>
    </row>
    <row r="17735" spans="3:4" x14ac:dyDescent="0.35">
      <c r="C17735" s="51"/>
      <c r="D17735" s="51"/>
    </row>
    <row r="17736" spans="3:4" x14ac:dyDescent="0.35">
      <c r="C17736" s="51"/>
      <c r="D17736" s="51"/>
    </row>
    <row r="17737" spans="3:4" x14ac:dyDescent="0.35">
      <c r="C17737" s="51"/>
      <c r="D17737" s="51"/>
    </row>
    <row r="17738" spans="3:4" x14ac:dyDescent="0.35">
      <c r="C17738" s="51"/>
      <c r="D17738" s="51"/>
    </row>
    <row r="17739" spans="3:4" x14ac:dyDescent="0.35">
      <c r="C17739" s="51"/>
      <c r="D17739" s="51"/>
    </row>
    <row r="17740" spans="3:4" x14ac:dyDescent="0.35">
      <c r="C17740" s="51"/>
      <c r="D17740" s="51"/>
    </row>
    <row r="17741" spans="3:4" x14ac:dyDescent="0.35">
      <c r="C17741" s="51"/>
      <c r="D17741" s="51"/>
    </row>
    <row r="17742" spans="3:4" x14ac:dyDescent="0.35">
      <c r="C17742" s="51"/>
      <c r="D17742" s="51"/>
    </row>
    <row r="17743" spans="3:4" x14ac:dyDescent="0.35">
      <c r="C17743" s="51"/>
      <c r="D17743" s="51"/>
    </row>
    <row r="17744" spans="3:4" x14ac:dyDescent="0.35">
      <c r="C17744" s="51"/>
      <c r="D17744" s="51"/>
    </row>
    <row r="17745" spans="3:4" x14ac:dyDescent="0.35">
      <c r="C17745" s="51"/>
      <c r="D17745" s="51"/>
    </row>
    <row r="17746" spans="3:4" x14ac:dyDescent="0.35">
      <c r="C17746" s="51"/>
      <c r="D17746" s="51"/>
    </row>
    <row r="17747" spans="3:4" x14ac:dyDescent="0.35">
      <c r="C17747" s="51"/>
      <c r="D17747" s="51"/>
    </row>
    <row r="17748" spans="3:4" x14ac:dyDescent="0.35">
      <c r="C17748" s="51"/>
      <c r="D17748" s="51"/>
    </row>
    <row r="17749" spans="3:4" x14ac:dyDescent="0.35">
      <c r="C17749" s="51"/>
      <c r="D17749" s="51"/>
    </row>
    <row r="17750" spans="3:4" x14ac:dyDescent="0.35">
      <c r="C17750" s="51"/>
      <c r="D17750" s="51"/>
    </row>
    <row r="17751" spans="3:4" x14ac:dyDescent="0.35">
      <c r="C17751" s="51"/>
      <c r="D17751" s="51"/>
    </row>
    <row r="17752" spans="3:4" x14ac:dyDescent="0.35">
      <c r="C17752" s="51"/>
      <c r="D17752" s="51"/>
    </row>
    <row r="17753" spans="3:4" x14ac:dyDescent="0.35">
      <c r="C17753" s="51"/>
      <c r="D17753" s="51"/>
    </row>
    <row r="17754" spans="3:4" x14ac:dyDescent="0.35">
      <c r="C17754" s="51"/>
      <c r="D17754" s="51"/>
    </row>
    <row r="17755" spans="3:4" x14ac:dyDescent="0.35">
      <c r="C17755" s="51"/>
      <c r="D17755" s="51"/>
    </row>
    <row r="17756" spans="3:4" x14ac:dyDescent="0.35">
      <c r="C17756" s="51"/>
      <c r="D17756" s="51"/>
    </row>
    <row r="17757" spans="3:4" x14ac:dyDescent="0.35">
      <c r="C17757" s="51"/>
      <c r="D17757" s="51"/>
    </row>
    <row r="17758" spans="3:4" x14ac:dyDescent="0.35">
      <c r="C17758" s="51"/>
      <c r="D17758" s="51"/>
    </row>
    <row r="17759" spans="3:4" x14ac:dyDescent="0.35">
      <c r="C17759" s="51"/>
      <c r="D17759" s="51"/>
    </row>
    <row r="17760" spans="3:4" x14ac:dyDescent="0.35">
      <c r="C17760" s="51"/>
      <c r="D17760" s="51"/>
    </row>
    <row r="17761" spans="3:4" x14ac:dyDescent="0.35">
      <c r="C17761" s="51"/>
      <c r="D17761" s="51"/>
    </row>
    <row r="17762" spans="3:4" x14ac:dyDescent="0.35">
      <c r="C17762" s="51"/>
      <c r="D17762" s="51"/>
    </row>
    <row r="17763" spans="3:4" x14ac:dyDescent="0.35">
      <c r="C17763" s="51"/>
      <c r="D17763" s="51"/>
    </row>
    <row r="17764" spans="3:4" x14ac:dyDescent="0.35">
      <c r="C17764" s="51"/>
      <c r="D17764" s="51"/>
    </row>
    <row r="17765" spans="3:4" x14ac:dyDescent="0.35">
      <c r="C17765" s="51"/>
      <c r="D17765" s="51"/>
    </row>
    <row r="17766" spans="3:4" x14ac:dyDescent="0.35">
      <c r="C17766" s="51"/>
      <c r="D17766" s="51"/>
    </row>
    <row r="17767" spans="3:4" x14ac:dyDescent="0.35">
      <c r="C17767" s="51"/>
      <c r="D17767" s="51"/>
    </row>
    <row r="17768" spans="3:4" x14ac:dyDescent="0.35">
      <c r="C17768" s="51"/>
      <c r="D17768" s="51"/>
    </row>
    <row r="17769" spans="3:4" x14ac:dyDescent="0.35">
      <c r="C17769" s="51"/>
      <c r="D17769" s="51"/>
    </row>
    <row r="17770" spans="3:4" x14ac:dyDescent="0.35">
      <c r="C17770" s="51"/>
      <c r="D17770" s="51"/>
    </row>
    <row r="17771" spans="3:4" x14ac:dyDescent="0.35">
      <c r="C17771" s="51"/>
      <c r="D17771" s="51"/>
    </row>
    <row r="17772" spans="3:4" x14ac:dyDescent="0.35">
      <c r="C17772" s="51"/>
      <c r="D17772" s="51"/>
    </row>
    <row r="17773" spans="3:4" x14ac:dyDescent="0.35">
      <c r="C17773" s="51"/>
      <c r="D17773" s="51"/>
    </row>
    <row r="17774" spans="3:4" x14ac:dyDescent="0.35">
      <c r="C17774" s="51"/>
      <c r="D17774" s="51"/>
    </row>
    <row r="17775" spans="3:4" x14ac:dyDescent="0.35">
      <c r="C17775" s="51"/>
      <c r="D17775" s="51"/>
    </row>
    <row r="17776" spans="3:4" x14ac:dyDescent="0.35">
      <c r="C17776" s="51"/>
      <c r="D17776" s="51"/>
    </row>
    <row r="17777" spans="3:4" x14ac:dyDescent="0.35">
      <c r="C17777" s="51"/>
      <c r="D17777" s="51"/>
    </row>
    <row r="17778" spans="3:4" x14ac:dyDescent="0.35">
      <c r="C17778" s="51"/>
      <c r="D17778" s="51"/>
    </row>
    <row r="17779" spans="3:4" x14ac:dyDescent="0.35">
      <c r="C17779" s="51"/>
      <c r="D17779" s="51"/>
    </row>
    <row r="17780" spans="3:4" x14ac:dyDescent="0.35">
      <c r="C17780" s="51"/>
      <c r="D17780" s="51"/>
    </row>
    <row r="17781" spans="3:4" x14ac:dyDescent="0.35">
      <c r="C17781" s="51"/>
      <c r="D17781" s="51"/>
    </row>
    <row r="17782" spans="3:4" x14ac:dyDescent="0.35">
      <c r="C17782" s="51"/>
      <c r="D17782" s="51"/>
    </row>
    <row r="17783" spans="3:4" x14ac:dyDescent="0.35">
      <c r="C17783" s="51"/>
      <c r="D17783" s="51"/>
    </row>
    <row r="17784" spans="3:4" x14ac:dyDescent="0.35">
      <c r="C17784" s="51"/>
      <c r="D17784" s="51"/>
    </row>
    <row r="17785" spans="3:4" x14ac:dyDescent="0.35">
      <c r="C17785" s="51"/>
      <c r="D17785" s="51"/>
    </row>
    <row r="17786" spans="3:4" x14ac:dyDescent="0.35">
      <c r="C17786" s="51"/>
      <c r="D17786" s="51"/>
    </row>
    <row r="17787" spans="3:4" x14ac:dyDescent="0.35">
      <c r="C17787" s="51"/>
      <c r="D17787" s="51"/>
    </row>
    <row r="17788" spans="3:4" x14ac:dyDescent="0.35">
      <c r="C17788" s="51"/>
      <c r="D17788" s="51"/>
    </row>
    <row r="17789" spans="3:4" x14ac:dyDescent="0.35">
      <c r="C17789" s="51"/>
      <c r="D17789" s="51"/>
    </row>
    <row r="17790" spans="3:4" x14ac:dyDescent="0.35">
      <c r="C17790" s="51"/>
      <c r="D17790" s="51"/>
    </row>
    <row r="17791" spans="3:4" x14ac:dyDescent="0.35">
      <c r="C17791" s="51"/>
      <c r="D17791" s="51"/>
    </row>
    <row r="17792" spans="3:4" x14ac:dyDescent="0.35">
      <c r="C17792" s="51"/>
      <c r="D17792" s="51"/>
    </row>
    <row r="17793" spans="3:4" x14ac:dyDescent="0.35">
      <c r="C17793" s="51"/>
      <c r="D17793" s="51"/>
    </row>
    <row r="17794" spans="3:4" x14ac:dyDescent="0.35">
      <c r="C17794" s="51"/>
      <c r="D17794" s="51"/>
    </row>
    <row r="17795" spans="3:4" x14ac:dyDescent="0.35">
      <c r="C17795" s="51"/>
      <c r="D17795" s="51"/>
    </row>
    <row r="17796" spans="3:4" x14ac:dyDescent="0.35">
      <c r="C17796" s="51"/>
      <c r="D17796" s="51"/>
    </row>
    <row r="17797" spans="3:4" x14ac:dyDescent="0.35">
      <c r="C17797" s="51"/>
      <c r="D17797" s="51"/>
    </row>
    <row r="17798" spans="3:4" x14ac:dyDescent="0.35">
      <c r="C17798" s="51"/>
      <c r="D17798" s="51"/>
    </row>
    <row r="17799" spans="3:4" x14ac:dyDescent="0.35">
      <c r="C17799" s="51"/>
      <c r="D17799" s="51"/>
    </row>
    <row r="17800" spans="3:4" x14ac:dyDescent="0.35">
      <c r="C17800" s="51"/>
      <c r="D17800" s="51"/>
    </row>
    <row r="17801" spans="3:4" x14ac:dyDescent="0.35">
      <c r="C17801" s="51"/>
      <c r="D17801" s="51"/>
    </row>
    <row r="17802" spans="3:4" x14ac:dyDescent="0.35">
      <c r="C17802" s="51"/>
      <c r="D17802" s="51"/>
    </row>
    <row r="17803" spans="3:4" x14ac:dyDescent="0.35">
      <c r="C17803" s="51"/>
      <c r="D17803" s="51"/>
    </row>
    <row r="17804" spans="3:4" x14ac:dyDescent="0.35">
      <c r="C17804" s="51"/>
      <c r="D17804" s="51"/>
    </row>
    <row r="17805" spans="3:4" x14ac:dyDescent="0.35">
      <c r="C17805" s="51"/>
      <c r="D17805" s="51"/>
    </row>
    <row r="17806" spans="3:4" x14ac:dyDescent="0.35">
      <c r="C17806" s="51"/>
      <c r="D17806" s="51"/>
    </row>
    <row r="17807" spans="3:4" x14ac:dyDescent="0.35">
      <c r="C17807" s="51"/>
      <c r="D17807" s="51"/>
    </row>
    <row r="17808" spans="3:4" x14ac:dyDescent="0.35">
      <c r="C17808" s="51"/>
      <c r="D17808" s="51"/>
    </row>
    <row r="17809" spans="3:4" x14ac:dyDescent="0.35">
      <c r="C17809" s="51"/>
      <c r="D17809" s="51"/>
    </row>
    <row r="17810" spans="3:4" x14ac:dyDescent="0.35">
      <c r="C17810" s="51"/>
      <c r="D17810" s="51"/>
    </row>
    <row r="17811" spans="3:4" x14ac:dyDescent="0.35">
      <c r="C17811" s="51"/>
      <c r="D17811" s="51"/>
    </row>
    <row r="17812" spans="3:4" x14ac:dyDescent="0.35">
      <c r="C17812" s="51"/>
      <c r="D17812" s="51"/>
    </row>
    <row r="17813" spans="3:4" x14ac:dyDescent="0.35">
      <c r="C17813" s="51"/>
      <c r="D17813" s="51"/>
    </row>
    <row r="17814" spans="3:4" x14ac:dyDescent="0.35">
      <c r="C17814" s="51"/>
      <c r="D17814" s="51"/>
    </row>
    <row r="17815" spans="3:4" x14ac:dyDescent="0.35">
      <c r="C17815" s="51"/>
      <c r="D17815" s="51"/>
    </row>
    <row r="17816" spans="3:4" x14ac:dyDescent="0.35">
      <c r="C17816" s="51"/>
      <c r="D17816" s="51"/>
    </row>
    <row r="17817" spans="3:4" x14ac:dyDescent="0.35">
      <c r="C17817" s="51"/>
      <c r="D17817" s="51"/>
    </row>
    <row r="17818" spans="3:4" x14ac:dyDescent="0.35">
      <c r="C17818" s="51"/>
      <c r="D17818" s="51"/>
    </row>
    <row r="17819" spans="3:4" x14ac:dyDescent="0.35">
      <c r="C17819" s="51"/>
      <c r="D17819" s="51"/>
    </row>
    <row r="17820" spans="3:4" x14ac:dyDescent="0.35">
      <c r="C17820" s="51"/>
      <c r="D17820" s="51"/>
    </row>
    <row r="17821" spans="3:4" x14ac:dyDescent="0.35">
      <c r="C17821" s="51"/>
      <c r="D17821" s="51"/>
    </row>
    <row r="17822" spans="3:4" x14ac:dyDescent="0.35">
      <c r="C17822" s="51"/>
      <c r="D17822" s="51"/>
    </row>
    <row r="17823" spans="3:4" x14ac:dyDescent="0.35">
      <c r="C17823" s="51"/>
      <c r="D17823" s="51"/>
    </row>
    <row r="17824" spans="3:4" x14ac:dyDescent="0.35">
      <c r="C17824" s="51"/>
      <c r="D17824" s="51"/>
    </row>
    <row r="17825" spans="3:4" x14ac:dyDescent="0.35">
      <c r="C17825" s="51"/>
      <c r="D17825" s="51"/>
    </row>
    <row r="17826" spans="3:4" x14ac:dyDescent="0.35">
      <c r="C17826" s="51"/>
      <c r="D17826" s="51"/>
    </row>
    <row r="17827" spans="3:4" x14ac:dyDescent="0.35">
      <c r="C17827" s="51"/>
      <c r="D17827" s="51"/>
    </row>
    <row r="17828" spans="3:4" x14ac:dyDescent="0.35">
      <c r="C17828" s="51"/>
      <c r="D17828" s="51"/>
    </row>
    <row r="17829" spans="3:4" x14ac:dyDescent="0.35">
      <c r="C17829" s="51"/>
      <c r="D17829" s="51"/>
    </row>
    <row r="17830" spans="3:4" x14ac:dyDescent="0.35">
      <c r="C17830" s="51"/>
      <c r="D17830" s="51"/>
    </row>
    <row r="17831" spans="3:4" x14ac:dyDescent="0.35">
      <c r="C17831" s="51"/>
      <c r="D17831" s="51"/>
    </row>
    <row r="17832" spans="3:4" x14ac:dyDescent="0.35">
      <c r="C17832" s="51"/>
      <c r="D17832" s="51"/>
    </row>
    <row r="17833" spans="3:4" x14ac:dyDescent="0.35">
      <c r="C17833" s="51"/>
      <c r="D17833" s="51"/>
    </row>
    <row r="17834" spans="3:4" x14ac:dyDescent="0.35">
      <c r="C17834" s="51"/>
      <c r="D17834" s="51"/>
    </row>
    <row r="17835" spans="3:4" x14ac:dyDescent="0.35">
      <c r="C17835" s="51"/>
      <c r="D17835" s="51"/>
    </row>
    <row r="17836" spans="3:4" x14ac:dyDescent="0.35">
      <c r="C17836" s="51"/>
      <c r="D17836" s="51"/>
    </row>
    <row r="17837" spans="3:4" x14ac:dyDescent="0.35">
      <c r="C17837" s="51"/>
      <c r="D17837" s="51"/>
    </row>
    <row r="17838" spans="3:4" x14ac:dyDescent="0.35">
      <c r="C17838" s="51"/>
      <c r="D17838" s="51"/>
    </row>
    <row r="17839" spans="3:4" x14ac:dyDescent="0.35">
      <c r="C17839" s="51"/>
      <c r="D17839" s="51"/>
    </row>
    <row r="17840" spans="3:4" x14ac:dyDescent="0.35">
      <c r="C17840" s="51"/>
      <c r="D17840" s="51"/>
    </row>
    <row r="17841" spans="3:4" x14ac:dyDescent="0.35">
      <c r="C17841" s="51"/>
      <c r="D17841" s="51"/>
    </row>
    <row r="17842" spans="3:4" x14ac:dyDescent="0.35">
      <c r="C17842" s="51"/>
      <c r="D17842" s="51"/>
    </row>
    <row r="17843" spans="3:4" x14ac:dyDescent="0.35">
      <c r="C17843" s="51"/>
      <c r="D17843" s="51"/>
    </row>
    <row r="17844" spans="3:4" x14ac:dyDescent="0.35">
      <c r="C17844" s="51"/>
      <c r="D17844" s="51"/>
    </row>
    <row r="17845" spans="3:4" x14ac:dyDescent="0.35">
      <c r="C17845" s="51"/>
      <c r="D17845" s="51"/>
    </row>
    <row r="17846" spans="3:4" x14ac:dyDescent="0.35">
      <c r="C17846" s="51"/>
      <c r="D17846" s="51"/>
    </row>
    <row r="17847" spans="3:4" x14ac:dyDescent="0.35">
      <c r="C17847" s="51"/>
      <c r="D17847" s="51"/>
    </row>
    <row r="17848" spans="3:4" x14ac:dyDescent="0.35">
      <c r="C17848" s="51"/>
      <c r="D17848" s="51"/>
    </row>
    <row r="17849" spans="3:4" x14ac:dyDescent="0.35">
      <c r="C17849" s="51"/>
      <c r="D17849" s="51"/>
    </row>
    <row r="17850" spans="3:4" x14ac:dyDescent="0.35">
      <c r="C17850" s="51"/>
      <c r="D17850" s="51"/>
    </row>
    <row r="17851" spans="3:4" x14ac:dyDescent="0.35">
      <c r="C17851" s="51"/>
      <c r="D17851" s="51"/>
    </row>
    <row r="17852" spans="3:4" x14ac:dyDescent="0.35">
      <c r="C17852" s="51"/>
      <c r="D17852" s="51"/>
    </row>
    <row r="17853" spans="3:4" x14ac:dyDescent="0.35">
      <c r="C17853" s="51"/>
      <c r="D17853" s="51"/>
    </row>
    <row r="17854" spans="3:4" x14ac:dyDescent="0.35">
      <c r="C17854" s="51"/>
      <c r="D17854" s="51"/>
    </row>
    <row r="17855" spans="3:4" x14ac:dyDescent="0.35">
      <c r="C17855" s="51"/>
      <c r="D17855" s="51"/>
    </row>
    <row r="17856" spans="3:4" x14ac:dyDescent="0.35">
      <c r="C17856" s="51"/>
      <c r="D17856" s="51"/>
    </row>
    <row r="17857" spans="3:4" x14ac:dyDescent="0.35">
      <c r="C17857" s="51"/>
      <c r="D17857" s="51"/>
    </row>
    <row r="17858" spans="3:4" x14ac:dyDescent="0.35">
      <c r="C17858" s="51"/>
      <c r="D17858" s="51"/>
    </row>
    <row r="17859" spans="3:4" x14ac:dyDescent="0.35">
      <c r="C17859" s="51"/>
      <c r="D17859" s="51"/>
    </row>
    <row r="17860" spans="3:4" x14ac:dyDescent="0.35">
      <c r="C17860" s="51"/>
      <c r="D17860" s="51"/>
    </row>
    <row r="17861" spans="3:4" x14ac:dyDescent="0.35">
      <c r="C17861" s="51"/>
      <c r="D17861" s="51"/>
    </row>
    <row r="17862" spans="3:4" x14ac:dyDescent="0.35">
      <c r="C17862" s="51"/>
      <c r="D17862" s="51"/>
    </row>
    <row r="17863" spans="3:4" x14ac:dyDescent="0.35">
      <c r="C17863" s="51"/>
      <c r="D17863" s="51"/>
    </row>
    <row r="17864" spans="3:4" x14ac:dyDescent="0.35">
      <c r="C17864" s="51"/>
      <c r="D17864" s="51"/>
    </row>
    <row r="17865" spans="3:4" x14ac:dyDescent="0.35">
      <c r="C17865" s="51"/>
      <c r="D17865" s="51"/>
    </row>
    <row r="17866" spans="3:4" x14ac:dyDescent="0.35">
      <c r="C17866" s="51"/>
      <c r="D17866" s="51"/>
    </row>
    <row r="17867" spans="3:4" x14ac:dyDescent="0.35">
      <c r="C17867" s="51"/>
      <c r="D17867" s="51"/>
    </row>
    <row r="17868" spans="3:4" x14ac:dyDescent="0.35">
      <c r="C17868" s="51"/>
      <c r="D17868" s="51"/>
    </row>
    <row r="17869" spans="3:4" x14ac:dyDescent="0.35">
      <c r="C17869" s="51"/>
      <c r="D17869" s="51"/>
    </row>
    <row r="17870" spans="3:4" x14ac:dyDescent="0.35">
      <c r="C17870" s="51"/>
      <c r="D17870" s="51"/>
    </row>
    <row r="17871" spans="3:4" x14ac:dyDescent="0.35">
      <c r="C17871" s="51"/>
      <c r="D17871" s="51"/>
    </row>
    <row r="17872" spans="3:4" x14ac:dyDescent="0.35">
      <c r="C17872" s="51"/>
      <c r="D17872" s="51"/>
    </row>
    <row r="17873" spans="3:4" x14ac:dyDescent="0.35">
      <c r="C17873" s="51"/>
      <c r="D17873" s="51"/>
    </row>
    <row r="17874" spans="3:4" x14ac:dyDescent="0.35">
      <c r="C17874" s="51"/>
      <c r="D17874" s="51"/>
    </row>
    <row r="17875" spans="3:4" x14ac:dyDescent="0.35">
      <c r="C17875" s="51"/>
      <c r="D17875" s="51"/>
    </row>
    <row r="17876" spans="3:4" x14ac:dyDescent="0.35">
      <c r="C17876" s="51"/>
      <c r="D17876" s="51"/>
    </row>
    <row r="17877" spans="3:4" x14ac:dyDescent="0.35">
      <c r="C17877" s="51"/>
      <c r="D17877" s="51"/>
    </row>
    <row r="17878" spans="3:4" x14ac:dyDescent="0.35">
      <c r="C17878" s="51"/>
      <c r="D17878" s="51"/>
    </row>
    <row r="17879" spans="3:4" x14ac:dyDescent="0.35">
      <c r="C17879" s="51"/>
      <c r="D17879" s="51"/>
    </row>
    <row r="17880" spans="3:4" x14ac:dyDescent="0.35">
      <c r="C17880" s="51"/>
      <c r="D17880" s="51"/>
    </row>
    <row r="17881" spans="3:4" x14ac:dyDescent="0.35">
      <c r="C17881" s="51"/>
      <c r="D17881" s="51"/>
    </row>
    <row r="17882" spans="3:4" x14ac:dyDescent="0.35">
      <c r="C17882" s="51"/>
      <c r="D17882" s="51"/>
    </row>
    <row r="17883" spans="3:4" x14ac:dyDescent="0.35">
      <c r="C17883" s="51"/>
      <c r="D17883" s="51"/>
    </row>
    <row r="17884" spans="3:4" x14ac:dyDescent="0.35">
      <c r="C17884" s="51"/>
      <c r="D17884" s="51"/>
    </row>
    <row r="17885" spans="3:4" x14ac:dyDescent="0.35">
      <c r="C17885" s="51"/>
      <c r="D17885" s="51"/>
    </row>
    <row r="17886" spans="3:4" x14ac:dyDescent="0.35">
      <c r="C17886" s="51"/>
      <c r="D17886" s="51"/>
    </row>
    <row r="17887" spans="3:4" x14ac:dyDescent="0.35">
      <c r="C17887" s="51"/>
      <c r="D17887" s="51"/>
    </row>
    <row r="17888" spans="3:4" x14ac:dyDescent="0.35">
      <c r="C17888" s="51"/>
      <c r="D17888" s="51"/>
    </row>
    <row r="17889" spans="3:4" x14ac:dyDescent="0.35">
      <c r="C17889" s="51"/>
      <c r="D17889" s="51"/>
    </row>
    <row r="17890" spans="3:4" x14ac:dyDescent="0.35">
      <c r="C17890" s="51"/>
      <c r="D17890" s="51"/>
    </row>
    <row r="17891" spans="3:4" x14ac:dyDescent="0.35">
      <c r="C17891" s="51"/>
      <c r="D17891" s="51"/>
    </row>
    <row r="17892" spans="3:4" x14ac:dyDescent="0.35">
      <c r="C17892" s="51"/>
      <c r="D17892" s="51"/>
    </row>
    <row r="17893" spans="3:4" x14ac:dyDescent="0.35">
      <c r="C17893" s="51"/>
      <c r="D17893" s="51"/>
    </row>
    <row r="17894" spans="3:4" x14ac:dyDescent="0.35">
      <c r="C17894" s="51"/>
      <c r="D17894" s="51"/>
    </row>
    <row r="17895" spans="3:4" x14ac:dyDescent="0.35">
      <c r="C17895" s="51"/>
      <c r="D17895" s="51"/>
    </row>
    <row r="17896" spans="3:4" x14ac:dyDescent="0.35">
      <c r="C17896" s="51"/>
      <c r="D17896" s="51"/>
    </row>
    <row r="17897" spans="3:4" x14ac:dyDescent="0.35">
      <c r="C17897" s="51"/>
      <c r="D17897" s="51"/>
    </row>
    <row r="17898" spans="3:4" x14ac:dyDescent="0.35">
      <c r="C17898" s="51"/>
      <c r="D17898" s="51"/>
    </row>
    <row r="17899" spans="3:4" x14ac:dyDescent="0.35">
      <c r="C17899" s="51"/>
      <c r="D17899" s="51"/>
    </row>
    <row r="17900" spans="3:4" x14ac:dyDescent="0.35">
      <c r="C17900" s="51"/>
      <c r="D17900" s="51"/>
    </row>
    <row r="17901" spans="3:4" x14ac:dyDescent="0.35">
      <c r="C17901" s="51"/>
      <c r="D17901" s="51"/>
    </row>
    <row r="17902" spans="3:4" x14ac:dyDescent="0.35">
      <c r="C17902" s="51"/>
      <c r="D17902" s="51"/>
    </row>
    <row r="17903" spans="3:4" x14ac:dyDescent="0.35">
      <c r="C17903" s="51"/>
      <c r="D17903" s="51"/>
    </row>
    <row r="17904" spans="3:4" x14ac:dyDescent="0.35">
      <c r="C17904" s="51"/>
      <c r="D17904" s="51"/>
    </row>
    <row r="17905" spans="3:4" x14ac:dyDescent="0.35">
      <c r="C17905" s="51"/>
      <c r="D17905" s="51"/>
    </row>
    <row r="17906" spans="3:4" x14ac:dyDescent="0.35">
      <c r="C17906" s="51"/>
      <c r="D17906" s="51"/>
    </row>
    <row r="17907" spans="3:4" x14ac:dyDescent="0.35">
      <c r="C17907" s="51"/>
      <c r="D17907" s="51"/>
    </row>
    <row r="17908" spans="3:4" x14ac:dyDescent="0.35">
      <c r="C17908" s="51"/>
      <c r="D17908" s="51"/>
    </row>
    <row r="17909" spans="3:4" x14ac:dyDescent="0.35">
      <c r="C17909" s="51"/>
      <c r="D17909" s="51"/>
    </row>
    <row r="17910" spans="3:4" x14ac:dyDescent="0.35">
      <c r="C17910" s="51"/>
      <c r="D17910" s="51"/>
    </row>
    <row r="17911" spans="3:4" x14ac:dyDescent="0.35">
      <c r="C17911" s="51"/>
      <c r="D17911" s="51"/>
    </row>
    <row r="17912" spans="3:4" x14ac:dyDescent="0.35">
      <c r="C17912" s="51"/>
      <c r="D17912" s="51"/>
    </row>
    <row r="17913" spans="3:4" x14ac:dyDescent="0.35">
      <c r="C17913" s="51"/>
      <c r="D17913" s="51"/>
    </row>
    <row r="17914" spans="3:4" x14ac:dyDescent="0.35">
      <c r="C17914" s="51"/>
      <c r="D17914" s="51"/>
    </row>
    <row r="17915" spans="3:4" x14ac:dyDescent="0.35">
      <c r="C17915" s="51"/>
      <c r="D17915" s="51"/>
    </row>
    <row r="17916" spans="3:4" x14ac:dyDescent="0.35">
      <c r="C17916" s="51"/>
      <c r="D17916" s="51"/>
    </row>
    <row r="17917" spans="3:4" x14ac:dyDescent="0.35">
      <c r="C17917" s="51"/>
      <c r="D17917" s="51"/>
    </row>
    <row r="17918" spans="3:4" x14ac:dyDescent="0.35">
      <c r="C17918" s="51"/>
      <c r="D17918" s="51"/>
    </row>
    <row r="17919" spans="3:4" x14ac:dyDescent="0.35">
      <c r="C17919" s="51"/>
      <c r="D17919" s="51"/>
    </row>
    <row r="17920" spans="3:4" x14ac:dyDescent="0.35">
      <c r="C17920" s="51"/>
      <c r="D17920" s="51"/>
    </row>
    <row r="17921" spans="3:4" x14ac:dyDescent="0.35">
      <c r="C17921" s="51"/>
      <c r="D17921" s="51"/>
    </row>
    <row r="17922" spans="3:4" x14ac:dyDescent="0.35">
      <c r="C17922" s="51"/>
      <c r="D17922" s="51"/>
    </row>
    <row r="17923" spans="3:4" x14ac:dyDescent="0.35">
      <c r="C17923" s="51"/>
      <c r="D17923" s="51"/>
    </row>
    <row r="17924" spans="3:4" x14ac:dyDescent="0.35">
      <c r="C17924" s="51"/>
      <c r="D17924" s="51"/>
    </row>
    <row r="17925" spans="3:4" x14ac:dyDescent="0.35">
      <c r="C17925" s="51"/>
      <c r="D17925" s="51"/>
    </row>
    <row r="17926" spans="3:4" x14ac:dyDescent="0.35">
      <c r="C17926" s="51"/>
      <c r="D17926" s="51"/>
    </row>
    <row r="17927" spans="3:4" x14ac:dyDescent="0.35">
      <c r="C17927" s="51"/>
      <c r="D17927" s="51"/>
    </row>
    <row r="17928" spans="3:4" x14ac:dyDescent="0.35">
      <c r="C17928" s="51"/>
      <c r="D17928" s="51"/>
    </row>
    <row r="17929" spans="3:4" x14ac:dyDescent="0.35">
      <c r="C17929" s="51"/>
      <c r="D17929" s="51"/>
    </row>
    <row r="17930" spans="3:4" x14ac:dyDescent="0.35">
      <c r="C17930" s="51"/>
      <c r="D17930" s="51"/>
    </row>
    <row r="17931" spans="3:4" x14ac:dyDescent="0.35">
      <c r="C17931" s="51"/>
      <c r="D17931" s="51"/>
    </row>
    <row r="17932" spans="3:4" x14ac:dyDescent="0.35">
      <c r="C17932" s="51"/>
      <c r="D17932" s="51"/>
    </row>
    <row r="17933" spans="3:4" x14ac:dyDescent="0.35">
      <c r="C17933" s="51"/>
      <c r="D17933" s="51"/>
    </row>
    <row r="17934" spans="3:4" x14ac:dyDescent="0.35">
      <c r="C17934" s="51"/>
      <c r="D17934" s="51"/>
    </row>
    <row r="17935" spans="3:4" x14ac:dyDescent="0.35">
      <c r="C17935" s="51"/>
      <c r="D17935" s="51"/>
    </row>
    <row r="17936" spans="3:4" x14ac:dyDescent="0.35">
      <c r="C17936" s="51"/>
      <c r="D17936" s="51"/>
    </row>
    <row r="17937" spans="3:4" x14ac:dyDescent="0.35">
      <c r="C17937" s="51"/>
      <c r="D17937" s="51"/>
    </row>
    <row r="17938" spans="3:4" x14ac:dyDescent="0.35">
      <c r="C17938" s="51"/>
      <c r="D17938" s="51"/>
    </row>
    <row r="17939" spans="3:4" x14ac:dyDescent="0.35">
      <c r="C17939" s="51"/>
      <c r="D17939" s="51"/>
    </row>
    <row r="17940" spans="3:4" x14ac:dyDescent="0.35">
      <c r="C17940" s="51"/>
      <c r="D17940" s="51"/>
    </row>
    <row r="17941" spans="3:4" x14ac:dyDescent="0.35">
      <c r="C17941" s="51"/>
      <c r="D17941" s="51"/>
    </row>
    <row r="17942" spans="3:4" x14ac:dyDescent="0.35">
      <c r="C17942" s="51"/>
      <c r="D17942" s="51"/>
    </row>
    <row r="17943" spans="3:4" x14ac:dyDescent="0.35">
      <c r="C17943" s="51"/>
      <c r="D17943" s="51"/>
    </row>
    <row r="17944" spans="3:4" x14ac:dyDescent="0.35">
      <c r="C17944" s="51"/>
      <c r="D17944" s="51"/>
    </row>
    <row r="17945" spans="3:4" x14ac:dyDescent="0.35">
      <c r="C17945" s="51"/>
      <c r="D17945" s="51"/>
    </row>
    <row r="17946" spans="3:4" x14ac:dyDescent="0.35">
      <c r="C17946" s="51"/>
      <c r="D17946" s="51"/>
    </row>
    <row r="17947" spans="3:4" x14ac:dyDescent="0.35">
      <c r="C17947" s="51"/>
      <c r="D17947" s="51"/>
    </row>
    <row r="17948" spans="3:4" x14ac:dyDescent="0.35">
      <c r="C17948" s="51"/>
      <c r="D17948" s="51"/>
    </row>
    <row r="17949" spans="3:4" x14ac:dyDescent="0.35">
      <c r="C17949" s="51"/>
      <c r="D17949" s="51"/>
    </row>
    <row r="17950" spans="3:4" x14ac:dyDescent="0.35">
      <c r="C17950" s="51"/>
      <c r="D17950" s="51"/>
    </row>
    <row r="17951" spans="3:4" x14ac:dyDescent="0.35">
      <c r="C17951" s="51"/>
      <c r="D17951" s="51"/>
    </row>
    <row r="17952" spans="3:4" x14ac:dyDescent="0.35">
      <c r="C17952" s="51"/>
      <c r="D17952" s="51"/>
    </row>
    <row r="17953" spans="3:4" x14ac:dyDescent="0.35">
      <c r="C17953" s="51"/>
      <c r="D17953" s="51"/>
    </row>
    <row r="17954" spans="3:4" x14ac:dyDescent="0.35">
      <c r="C17954" s="51"/>
      <c r="D17954" s="51"/>
    </row>
    <row r="17955" spans="3:4" x14ac:dyDescent="0.35">
      <c r="C17955" s="51"/>
      <c r="D17955" s="51"/>
    </row>
    <row r="17956" spans="3:4" x14ac:dyDescent="0.35">
      <c r="C17956" s="51"/>
      <c r="D17956" s="51"/>
    </row>
    <row r="17957" spans="3:4" x14ac:dyDescent="0.35">
      <c r="C17957" s="51"/>
      <c r="D17957" s="51"/>
    </row>
    <row r="17958" spans="3:4" x14ac:dyDescent="0.35">
      <c r="C17958" s="51"/>
      <c r="D17958" s="51"/>
    </row>
    <row r="17959" spans="3:4" x14ac:dyDescent="0.35">
      <c r="C17959" s="51"/>
      <c r="D17959" s="51"/>
    </row>
    <row r="17960" spans="3:4" x14ac:dyDescent="0.35">
      <c r="C17960" s="51"/>
      <c r="D17960" s="51"/>
    </row>
    <row r="17961" spans="3:4" x14ac:dyDescent="0.35">
      <c r="C17961" s="51"/>
      <c r="D17961" s="51"/>
    </row>
    <row r="17962" spans="3:4" x14ac:dyDescent="0.35">
      <c r="C17962" s="51"/>
      <c r="D17962" s="51"/>
    </row>
    <row r="17963" spans="3:4" x14ac:dyDescent="0.35">
      <c r="C17963" s="51"/>
      <c r="D17963" s="51"/>
    </row>
    <row r="17964" spans="3:4" x14ac:dyDescent="0.35">
      <c r="C17964" s="51"/>
      <c r="D17964" s="51"/>
    </row>
    <row r="17965" spans="3:4" x14ac:dyDescent="0.35">
      <c r="C17965" s="51"/>
      <c r="D17965" s="51"/>
    </row>
    <row r="17966" spans="3:4" x14ac:dyDescent="0.35">
      <c r="C17966" s="51"/>
      <c r="D17966" s="51"/>
    </row>
    <row r="17967" spans="3:4" x14ac:dyDescent="0.35">
      <c r="C17967" s="51"/>
      <c r="D17967" s="51"/>
    </row>
    <row r="17968" spans="3:4" x14ac:dyDescent="0.35">
      <c r="C17968" s="51"/>
      <c r="D17968" s="51"/>
    </row>
    <row r="17969" spans="3:4" x14ac:dyDescent="0.35">
      <c r="C17969" s="51"/>
      <c r="D17969" s="51"/>
    </row>
    <row r="17970" spans="3:4" x14ac:dyDescent="0.35">
      <c r="C17970" s="51"/>
      <c r="D17970" s="51"/>
    </row>
    <row r="17971" spans="3:4" x14ac:dyDescent="0.35">
      <c r="C17971" s="51"/>
      <c r="D17971" s="51"/>
    </row>
    <row r="17972" spans="3:4" x14ac:dyDescent="0.35">
      <c r="C17972" s="51"/>
      <c r="D17972" s="51"/>
    </row>
    <row r="17973" spans="3:4" x14ac:dyDescent="0.35">
      <c r="C17973" s="51"/>
      <c r="D17973" s="51"/>
    </row>
    <row r="17974" spans="3:4" x14ac:dyDescent="0.35">
      <c r="C17974" s="51"/>
      <c r="D17974" s="51"/>
    </row>
    <row r="17975" spans="3:4" x14ac:dyDescent="0.35">
      <c r="C17975" s="51"/>
      <c r="D17975" s="51"/>
    </row>
    <row r="17976" spans="3:4" x14ac:dyDescent="0.35">
      <c r="C17976" s="51"/>
      <c r="D17976" s="51"/>
    </row>
    <row r="17977" spans="3:4" x14ac:dyDescent="0.35">
      <c r="C17977" s="51"/>
      <c r="D17977" s="51"/>
    </row>
    <row r="17978" spans="3:4" x14ac:dyDescent="0.35">
      <c r="C17978" s="51"/>
      <c r="D17978" s="51"/>
    </row>
    <row r="17979" spans="3:4" x14ac:dyDescent="0.35">
      <c r="C17979" s="51"/>
      <c r="D17979" s="51"/>
    </row>
    <row r="17980" spans="3:4" x14ac:dyDescent="0.35">
      <c r="C17980" s="51"/>
      <c r="D17980" s="51"/>
    </row>
    <row r="17981" spans="3:4" x14ac:dyDescent="0.35">
      <c r="C17981" s="51"/>
      <c r="D17981" s="51"/>
    </row>
    <row r="17982" spans="3:4" x14ac:dyDescent="0.35">
      <c r="C17982" s="51"/>
      <c r="D17982" s="51"/>
    </row>
    <row r="17983" spans="3:4" x14ac:dyDescent="0.35">
      <c r="C17983" s="51"/>
      <c r="D17983" s="51"/>
    </row>
    <row r="17984" spans="3:4" x14ac:dyDescent="0.35">
      <c r="C17984" s="51"/>
      <c r="D17984" s="51"/>
    </row>
    <row r="17985" spans="3:4" x14ac:dyDescent="0.35">
      <c r="C17985" s="51"/>
      <c r="D17985" s="51"/>
    </row>
    <row r="17986" spans="3:4" x14ac:dyDescent="0.35">
      <c r="C17986" s="51"/>
      <c r="D17986" s="51"/>
    </row>
    <row r="17987" spans="3:4" x14ac:dyDescent="0.35">
      <c r="C17987" s="51"/>
      <c r="D17987" s="51"/>
    </row>
    <row r="17988" spans="3:4" x14ac:dyDescent="0.35">
      <c r="C17988" s="51"/>
      <c r="D17988" s="51"/>
    </row>
    <row r="17989" spans="3:4" x14ac:dyDescent="0.35">
      <c r="C17989" s="51"/>
      <c r="D17989" s="51"/>
    </row>
    <row r="17990" spans="3:4" x14ac:dyDescent="0.35">
      <c r="C17990" s="51"/>
      <c r="D17990" s="51"/>
    </row>
    <row r="17991" spans="3:4" x14ac:dyDescent="0.35">
      <c r="C17991" s="51"/>
      <c r="D17991" s="51"/>
    </row>
    <row r="17992" spans="3:4" x14ac:dyDescent="0.35">
      <c r="C17992" s="51"/>
      <c r="D17992" s="51"/>
    </row>
    <row r="17993" spans="3:4" x14ac:dyDescent="0.35">
      <c r="C17993" s="51"/>
      <c r="D17993" s="51"/>
    </row>
    <row r="17994" spans="3:4" x14ac:dyDescent="0.35">
      <c r="C17994" s="51"/>
      <c r="D17994" s="51"/>
    </row>
    <row r="17995" spans="3:4" x14ac:dyDescent="0.35">
      <c r="C17995" s="51"/>
      <c r="D17995" s="51"/>
    </row>
    <row r="17996" spans="3:4" x14ac:dyDescent="0.35">
      <c r="C17996" s="51"/>
      <c r="D17996" s="51"/>
    </row>
    <row r="17997" spans="3:4" x14ac:dyDescent="0.35">
      <c r="C17997" s="51"/>
      <c r="D17997" s="51"/>
    </row>
    <row r="17998" spans="3:4" x14ac:dyDescent="0.35">
      <c r="C17998" s="51"/>
      <c r="D17998" s="51"/>
    </row>
    <row r="17999" spans="3:4" x14ac:dyDescent="0.35">
      <c r="C17999" s="51"/>
      <c r="D17999" s="51"/>
    </row>
    <row r="18000" spans="3:4" x14ac:dyDescent="0.35">
      <c r="C18000" s="51"/>
      <c r="D18000" s="51"/>
    </row>
    <row r="18001" spans="3:4" x14ac:dyDescent="0.35">
      <c r="C18001" s="51"/>
      <c r="D18001" s="51"/>
    </row>
    <row r="18002" spans="3:4" x14ac:dyDescent="0.35">
      <c r="C18002" s="51"/>
      <c r="D18002" s="51"/>
    </row>
    <row r="18003" spans="3:4" x14ac:dyDescent="0.35">
      <c r="C18003" s="51"/>
      <c r="D18003" s="51"/>
    </row>
    <row r="18004" spans="3:4" x14ac:dyDescent="0.35">
      <c r="C18004" s="51"/>
      <c r="D18004" s="51"/>
    </row>
    <row r="18005" spans="3:4" x14ac:dyDescent="0.35">
      <c r="C18005" s="51"/>
      <c r="D18005" s="51"/>
    </row>
    <row r="18006" spans="3:4" x14ac:dyDescent="0.35">
      <c r="C18006" s="51"/>
      <c r="D18006" s="51"/>
    </row>
    <row r="18007" spans="3:4" x14ac:dyDescent="0.35">
      <c r="C18007" s="51"/>
      <c r="D18007" s="51"/>
    </row>
    <row r="18008" spans="3:4" x14ac:dyDescent="0.35">
      <c r="C18008" s="51"/>
      <c r="D18008" s="51"/>
    </row>
    <row r="18009" spans="3:4" x14ac:dyDescent="0.35">
      <c r="C18009" s="51"/>
      <c r="D18009" s="51"/>
    </row>
    <row r="18010" spans="3:4" x14ac:dyDescent="0.35">
      <c r="C18010" s="51"/>
      <c r="D18010" s="51"/>
    </row>
    <row r="18011" spans="3:4" x14ac:dyDescent="0.35">
      <c r="C18011" s="51"/>
      <c r="D18011" s="51"/>
    </row>
    <row r="18012" spans="3:4" x14ac:dyDescent="0.35">
      <c r="C18012" s="51"/>
      <c r="D18012" s="51"/>
    </row>
    <row r="18013" spans="3:4" x14ac:dyDescent="0.35">
      <c r="C18013" s="51"/>
      <c r="D18013" s="51"/>
    </row>
    <row r="18014" spans="3:4" x14ac:dyDescent="0.35">
      <c r="C18014" s="51"/>
      <c r="D18014" s="51"/>
    </row>
    <row r="18015" spans="3:4" x14ac:dyDescent="0.35">
      <c r="C18015" s="51"/>
      <c r="D18015" s="51"/>
    </row>
    <row r="18016" spans="3:4" x14ac:dyDescent="0.35">
      <c r="C18016" s="51"/>
      <c r="D18016" s="51"/>
    </row>
    <row r="18017" spans="3:4" x14ac:dyDescent="0.35">
      <c r="C18017" s="51"/>
      <c r="D18017" s="51"/>
    </row>
    <row r="18018" spans="3:4" x14ac:dyDescent="0.35">
      <c r="C18018" s="51"/>
      <c r="D18018" s="51"/>
    </row>
    <row r="18019" spans="3:4" x14ac:dyDescent="0.35">
      <c r="C18019" s="51"/>
      <c r="D18019" s="51"/>
    </row>
    <row r="18020" spans="3:4" x14ac:dyDescent="0.35">
      <c r="C18020" s="51"/>
      <c r="D18020" s="51"/>
    </row>
    <row r="18021" spans="3:4" x14ac:dyDescent="0.35">
      <c r="C18021" s="51"/>
      <c r="D18021" s="51"/>
    </row>
    <row r="18022" spans="3:4" x14ac:dyDescent="0.35">
      <c r="C18022" s="51"/>
      <c r="D18022" s="51"/>
    </row>
    <row r="18023" spans="3:4" x14ac:dyDescent="0.35">
      <c r="C18023" s="51"/>
      <c r="D18023" s="51"/>
    </row>
    <row r="18024" spans="3:4" x14ac:dyDescent="0.35">
      <c r="C18024" s="51"/>
      <c r="D18024" s="51"/>
    </row>
    <row r="18025" spans="3:4" x14ac:dyDescent="0.35">
      <c r="C18025" s="51"/>
      <c r="D18025" s="51"/>
    </row>
    <row r="18026" spans="3:4" x14ac:dyDescent="0.35">
      <c r="C18026" s="51"/>
      <c r="D18026" s="51"/>
    </row>
    <row r="18027" spans="3:4" x14ac:dyDescent="0.35">
      <c r="C18027" s="51"/>
      <c r="D18027" s="51"/>
    </row>
    <row r="18028" spans="3:4" x14ac:dyDescent="0.35">
      <c r="C18028" s="51"/>
      <c r="D18028" s="51"/>
    </row>
    <row r="18029" spans="3:4" x14ac:dyDescent="0.35">
      <c r="C18029" s="51"/>
      <c r="D18029" s="51"/>
    </row>
    <row r="18030" spans="3:4" x14ac:dyDescent="0.35">
      <c r="C18030" s="51"/>
      <c r="D18030" s="51"/>
    </row>
    <row r="18031" spans="3:4" x14ac:dyDescent="0.35">
      <c r="C18031" s="51"/>
      <c r="D18031" s="51"/>
    </row>
    <row r="18032" spans="3:4" x14ac:dyDescent="0.35">
      <c r="C18032" s="51"/>
      <c r="D18032" s="51"/>
    </row>
    <row r="18033" spans="3:4" x14ac:dyDescent="0.35">
      <c r="C18033" s="51"/>
      <c r="D18033" s="51"/>
    </row>
    <row r="18034" spans="3:4" x14ac:dyDescent="0.35">
      <c r="C18034" s="51"/>
      <c r="D18034" s="51"/>
    </row>
    <row r="18035" spans="3:4" x14ac:dyDescent="0.35">
      <c r="C18035" s="51"/>
      <c r="D18035" s="51"/>
    </row>
    <row r="18036" spans="3:4" x14ac:dyDescent="0.35">
      <c r="C18036" s="51"/>
      <c r="D18036" s="51"/>
    </row>
    <row r="18037" spans="3:4" x14ac:dyDescent="0.35">
      <c r="C18037" s="51"/>
      <c r="D18037" s="51"/>
    </row>
    <row r="18038" spans="3:4" x14ac:dyDescent="0.35">
      <c r="C18038" s="51"/>
      <c r="D18038" s="51"/>
    </row>
    <row r="18039" spans="3:4" x14ac:dyDescent="0.35">
      <c r="C18039" s="51"/>
      <c r="D18039" s="51"/>
    </row>
    <row r="18040" spans="3:4" x14ac:dyDescent="0.35">
      <c r="C18040" s="51"/>
      <c r="D18040" s="51"/>
    </row>
    <row r="18041" spans="3:4" x14ac:dyDescent="0.35">
      <c r="C18041" s="51"/>
      <c r="D18041" s="51"/>
    </row>
    <row r="18042" spans="3:4" x14ac:dyDescent="0.35">
      <c r="C18042" s="51"/>
      <c r="D18042" s="51"/>
    </row>
    <row r="18043" spans="3:4" x14ac:dyDescent="0.35">
      <c r="C18043" s="51"/>
      <c r="D18043" s="51"/>
    </row>
    <row r="18044" spans="3:4" x14ac:dyDescent="0.35">
      <c r="C18044" s="51"/>
      <c r="D18044" s="51"/>
    </row>
    <row r="18045" spans="3:4" x14ac:dyDescent="0.35">
      <c r="C18045" s="51"/>
      <c r="D18045" s="51"/>
    </row>
    <row r="18046" spans="3:4" x14ac:dyDescent="0.35">
      <c r="C18046" s="51"/>
      <c r="D18046" s="51"/>
    </row>
    <row r="18047" spans="3:4" x14ac:dyDescent="0.35">
      <c r="C18047" s="51"/>
      <c r="D18047" s="51"/>
    </row>
    <row r="18048" spans="3:4" x14ac:dyDescent="0.35">
      <c r="C18048" s="51"/>
      <c r="D18048" s="51"/>
    </row>
    <row r="18049" spans="3:4" x14ac:dyDescent="0.35">
      <c r="C18049" s="51"/>
      <c r="D18049" s="51"/>
    </row>
    <row r="18050" spans="3:4" x14ac:dyDescent="0.35">
      <c r="C18050" s="51"/>
      <c r="D18050" s="51"/>
    </row>
    <row r="18051" spans="3:4" x14ac:dyDescent="0.35">
      <c r="C18051" s="51"/>
      <c r="D18051" s="51"/>
    </row>
    <row r="18052" spans="3:4" x14ac:dyDescent="0.35">
      <c r="C18052" s="51"/>
      <c r="D18052" s="51"/>
    </row>
    <row r="18053" spans="3:4" x14ac:dyDescent="0.35">
      <c r="C18053" s="51"/>
      <c r="D18053" s="51"/>
    </row>
    <row r="18054" spans="3:4" x14ac:dyDescent="0.35">
      <c r="C18054" s="51"/>
      <c r="D18054" s="51"/>
    </row>
    <row r="18055" spans="3:4" x14ac:dyDescent="0.35">
      <c r="C18055" s="51"/>
      <c r="D18055" s="51"/>
    </row>
    <row r="18056" spans="3:4" x14ac:dyDescent="0.35">
      <c r="C18056" s="51"/>
      <c r="D18056" s="51"/>
    </row>
    <row r="18057" spans="3:4" x14ac:dyDescent="0.35">
      <c r="C18057" s="51"/>
      <c r="D18057" s="51"/>
    </row>
    <row r="18058" spans="3:4" x14ac:dyDescent="0.35">
      <c r="C18058" s="51"/>
      <c r="D18058" s="51"/>
    </row>
    <row r="18059" spans="3:4" x14ac:dyDescent="0.35">
      <c r="C18059" s="51"/>
      <c r="D18059" s="51"/>
    </row>
    <row r="18060" spans="3:4" x14ac:dyDescent="0.35">
      <c r="C18060" s="51"/>
      <c r="D18060" s="51"/>
    </row>
    <row r="18061" spans="3:4" x14ac:dyDescent="0.35">
      <c r="C18061" s="51"/>
      <c r="D18061" s="51"/>
    </row>
    <row r="18062" spans="3:4" x14ac:dyDescent="0.35">
      <c r="C18062" s="51"/>
      <c r="D18062" s="51"/>
    </row>
    <row r="18063" spans="3:4" x14ac:dyDescent="0.35">
      <c r="C18063" s="51"/>
      <c r="D18063" s="51"/>
    </row>
    <row r="18064" spans="3:4" x14ac:dyDescent="0.35">
      <c r="C18064" s="51"/>
      <c r="D18064" s="51"/>
    </row>
    <row r="18065" spans="3:4" x14ac:dyDescent="0.35">
      <c r="C18065" s="51"/>
      <c r="D18065" s="51"/>
    </row>
    <row r="18066" spans="3:4" x14ac:dyDescent="0.35">
      <c r="C18066" s="51"/>
      <c r="D18066" s="51"/>
    </row>
    <row r="18067" spans="3:4" x14ac:dyDescent="0.35">
      <c r="C18067" s="51"/>
      <c r="D18067" s="51"/>
    </row>
    <row r="18068" spans="3:4" x14ac:dyDescent="0.35">
      <c r="C18068" s="51"/>
      <c r="D18068" s="51"/>
    </row>
    <row r="18069" spans="3:4" x14ac:dyDescent="0.35">
      <c r="C18069" s="51"/>
      <c r="D18069" s="51"/>
    </row>
    <row r="18070" spans="3:4" x14ac:dyDescent="0.35">
      <c r="C18070" s="51"/>
      <c r="D18070" s="51"/>
    </row>
    <row r="18071" spans="3:4" x14ac:dyDescent="0.35">
      <c r="C18071" s="51"/>
      <c r="D18071" s="51"/>
    </row>
    <row r="18072" spans="3:4" x14ac:dyDescent="0.35">
      <c r="C18072" s="51"/>
      <c r="D18072" s="51"/>
    </row>
    <row r="18073" spans="3:4" x14ac:dyDescent="0.35">
      <c r="C18073" s="51"/>
      <c r="D18073" s="51"/>
    </row>
    <row r="18074" spans="3:4" x14ac:dyDescent="0.35">
      <c r="C18074" s="51"/>
      <c r="D18074" s="51"/>
    </row>
    <row r="18075" spans="3:4" x14ac:dyDescent="0.35">
      <c r="C18075" s="51"/>
      <c r="D18075" s="51"/>
    </row>
    <row r="18076" spans="3:4" x14ac:dyDescent="0.35">
      <c r="C18076" s="51"/>
      <c r="D18076" s="51"/>
    </row>
    <row r="18077" spans="3:4" x14ac:dyDescent="0.35">
      <c r="C18077" s="51"/>
      <c r="D18077" s="51"/>
    </row>
    <row r="18078" spans="3:4" x14ac:dyDescent="0.35">
      <c r="C18078" s="51"/>
      <c r="D18078" s="51"/>
    </row>
    <row r="18079" spans="3:4" x14ac:dyDescent="0.35">
      <c r="C18079" s="51"/>
      <c r="D18079" s="51"/>
    </row>
    <row r="18080" spans="3:4" x14ac:dyDescent="0.35">
      <c r="C18080" s="51"/>
      <c r="D18080" s="51"/>
    </row>
    <row r="18081" spans="3:4" x14ac:dyDescent="0.35">
      <c r="C18081" s="51"/>
      <c r="D18081" s="51"/>
    </row>
    <row r="18082" spans="3:4" x14ac:dyDescent="0.35">
      <c r="C18082" s="51"/>
      <c r="D18082" s="51"/>
    </row>
    <row r="18083" spans="3:4" x14ac:dyDescent="0.35">
      <c r="C18083" s="51"/>
      <c r="D18083" s="51"/>
    </row>
    <row r="18084" spans="3:4" x14ac:dyDescent="0.35">
      <c r="C18084" s="51"/>
      <c r="D18084" s="51"/>
    </row>
    <row r="18085" spans="3:4" x14ac:dyDescent="0.35">
      <c r="C18085" s="51"/>
      <c r="D18085" s="51"/>
    </row>
    <row r="18086" spans="3:4" x14ac:dyDescent="0.35">
      <c r="C18086" s="51"/>
      <c r="D18086" s="51"/>
    </row>
    <row r="18087" spans="3:4" x14ac:dyDescent="0.35">
      <c r="C18087" s="51"/>
      <c r="D18087" s="51"/>
    </row>
    <row r="18088" spans="3:4" x14ac:dyDescent="0.35">
      <c r="C18088" s="51"/>
      <c r="D18088" s="51"/>
    </row>
    <row r="18089" spans="3:4" x14ac:dyDescent="0.35">
      <c r="C18089" s="51"/>
      <c r="D18089" s="51"/>
    </row>
    <row r="18090" spans="3:4" x14ac:dyDescent="0.35">
      <c r="C18090" s="51"/>
      <c r="D18090" s="51"/>
    </row>
    <row r="18091" spans="3:4" x14ac:dyDescent="0.35">
      <c r="C18091" s="51"/>
      <c r="D18091" s="51"/>
    </row>
    <row r="18092" spans="3:4" x14ac:dyDescent="0.35">
      <c r="C18092" s="51"/>
      <c r="D18092" s="51"/>
    </row>
    <row r="18093" spans="3:4" x14ac:dyDescent="0.35">
      <c r="C18093" s="51"/>
      <c r="D18093" s="51"/>
    </row>
    <row r="18094" spans="3:4" x14ac:dyDescent="0.35">
      <c r="C18094" s="51"/>
      <c r="D18094" s="51"/>
    </row>
    <row r="18095" spans="3:4" x14ac:dyDescent="0.35">
      <c r="C18095" s="51"/>
      <c r="D18095" s="51"/>
    </row>
    <row r="18096" spans="3:4" x14ac:dyDescent="0.35">
      <c r="C18096" s="51"/>
      <c r="D18096" s="51"/>
    </row>
    <row r="18097" spans="3:4" x14ac:dyDescent="0.35">
      <c r="C18097" s="51"/>
      <c r="D18097" s="51"/>
    </row>
    <row r="18098" spans="3:4" x14ac:dyDescent="0.35">
      <c r="C18098" s="51"/>
      <c r="D18098" s="51"/>
    </row>
    <row r="18099" spans="3:4" x14ac:dyDescent="0.35">
      <c r="C18099" s="51"/>
      <c r="D18099" s="51"/>
    </row>
    <row r="18100" spans="3:4" x14ac:dyDescent="0.35">
      <c r="C18100" s="51"/>
      <c r="D18100" s="51"/>
    </row>
    <row r="18101" spans="3:4" x14ac:dyDescent="0.35">
      <c r="C18101" s="51"/>
      <c r="D18101" s="51"/>
    </row>
    <row r="18102" spans="3:4" x14ac:dyDescent="0.35">
      <c r="C18102" s="51"/>
      <c r="D18102" s="51"/>
    </row>
    <row r="18103" spans="3:4" x14ac:dyDescent="0.35">
      <c r="C18103" s="51"/>
      <c r="D18103" s="51"/>
    </row>
    <row r="18104" spans="3:4" x14ac:dyDescent="0.35">
      <c r="C18104" s="51"/>
      <c r="D18104" s="51"/>
    </row>
    <row r="18105" spans="3:4" x14ac:dyDescent="0.35">
      <c r="C18105" s="51"/>
      <c r="D18105" s="51"/>
    </row>
    <row r="18106" spans="3:4" x14ac:dyDescent="0.35">
      <c r="C18106" s="51"/>
      <c r="D18106" s="51"/>
    </row>
    <row r="18107" spans="3:4" x14ac:dyDescent="0.35">
      <c r="C18107" s="51"/>
      <c r="D18107" s="51"/>
    </row>
    <row r="18108" spans="3:4" x14ac:dyDescent="0.35">
      <c r="C18108" s="51"/>
      <c r="D18108" s="51"/>
    </row>
    <row r="18109" spans="3:4" x14ac:dyDescent="0.35">
      <c r="C18109" s="51"/>
      <c r="D18109" s="51"/>
    </row>
    <row r="18110" spans="3:4" x14ac:dyDescent="0.35">
      <c r="C18110" s="51"/>
      <c r="D18110" s="51"/>
    </row>
    <row r="18111" spans="3:4" x14ac:dyDescent="0.35">
      <c r="C18111" s="51"/>
      <c r="D18111" s="51"/>
    </row>
    <row r="18112" spans="3:4" x14ac:dyDescent="0.35">
      <c r="C18112" s="51"/>
      <c r="D18112" s="51"/>
    </row>
    <row r="18113" spans="3:4" x14ac:dyDescent="0.35">
      <c r="C18113" s="51"/>
      <c r="D18113" s="51"/>
    </row>
    <row r="18114" spans="3:4" x14ac:dyDescent="0.35">
      <c r="C18114" s="51"/>
      <c r="D18114" s="51"/>
    </row>
    <row r="18115" spans="3:4" x14ac:dyDescent="0.35">
      <c r="C18115" s="51"/>
      <c r="D18115" s="51"/>
    </row>
    <row r="18116" spans="3:4" x14ac:dyDescent="0.35">
      <c r="C18116" s="51"/>
      <c r="D18116" s="51"/>
    </row>
    <row r="18117" spans="3:4" x14ac:dyDescent="0.35">
      <c r="C18117" s="51"/>
      <c r="D18117" s="51"/>
    </row>
    <row r="18118" spans="3:4" x14ac:dyDescent="0.35">
      <c r="C18118" s="51"/>
      <c r="D18118" s="51"/>
    </row>
    <row r="18119" spans="3:4" x14ac:dyDescent="0.35">
      <c r="C18119" s="51"/>
      <c r="D18119" s="51"/>
    </row>
    <row r="18120" spans="3:4" x14ac:dyDescent="0.35">
      <c r="C18120" s="51"/>
      <c r="D18120" s="51"/>
    </row>
    <row r="18121" spans="3:4" x14ac:dyDescent="0.35">
      <c r="C18121" s="51"/>
      <c r="D18121" s="51"/>
    </row>
    <row r="18122" spans="3:4" x14ac:dyDescent="0.35">
      <c r="C18122" s="51"/>
      <c r="D18122" s="51"/>
    </row>
    <row r="18123" spans="3:4" x14ac:dyDescent="0.35">
      <c r="C18123" s="51"/>
      <c r="D18123" s="51"/>
    </row>
    <row r="18124" spans="3:4" x14ac:dyDescent="0.35">
      <c r="C18124" s="51"/>
      <c r="D18124" s="51"/>
    </row>
    <row r="18125" spans="3:4" x14ac:dyDescent="0.35">
      <c r="C18125" s="51"/>
      <c r="D18125" s="51"/>
    </row>
    <row r="18126" spans="3:4" x14ac:dyDescent="0.35">
      <c r="C18126" s="51"/>
      <c r="D18126" s="51"/>
    </row>
    <row r="18127" spans="3:4" x14ac:dyDescent="0.35">
      <c r="C18127" s="51"/>
      <c r="D18127" s="51"/>
    </row>
    <row r="18128" spans="3:4" x14ac:dyDescent="0.35">
      <c r="C18128" s="51"/>
      <c r="D18128" s="51"/>
    </row>
    <row r="18129" spans="3:4" x14ac:dyDescent="0.35">
      <c r="C18129" s="51"/>
      <c r="D18129" s="51"/>
    </row>
    <row r="18130" spans="3:4" x14ac:dyDescent="0.35">
      <c r="C18130" s="51"/>
      <c r="D18130" s="51"/>
    </row>
    <row r="18131" spans="3:4" x14ac:dyDescent="0.35">
      <c r="C18131" s="51"/>
      <c r="D18131" s="51"/>
    </row>
    <row r="18132" spans="3:4" x14ac:dyDescent="0.35">
      <c r="C18132" s="51"/>
      <c r="D18132" s="51"/>
    </row>
    <row r="18133" spans="3:4" x14ac:dyDescent="0.35">
      <c r="C18133" s="51"/>
      <c r="D18133" s="51"/>
    </row>
    <row r="18134" spans="3:4" x14ac:dyDescent="0.35">
      <c r="C18134" s="51"/>
      <c r="D18134" s="51"/>
    </row>
    <row r="18135" spans="3:4" x14ac:dyDescent="0.35">
      <c r="C18135" s="51"/>
      <c r="D18135" s="51"/>
    </row>
    <row r="18136" spans="3:4" x14ac:dyDescent="0.35">
      <c r="C18136" s="51"/>
      <c r="D18136" s="51"/>
    </row>
    <row r="18137" spans="3:4" x14ac:dyDescent="0.35">
      <c r="C18137" s="51"/>
      <c r="D18137" s="51"/>
    </row>
    <row r="18138" spans="3:4" x14ac:dyDescent="0.35">
      <c r="C18138" s="51"/>
      <c r="D18138" s="51"/>
    </row>
    <row r="18139" spans="3:4" x14ac:dyDescent="0.35">
      <c r="C18139" s="51"/>
      <c r="D18139" s="51"/>
    </row>
    <row r="18140" spans="3:4" x14ac:dyDescent="0.35">
      <c r="C18140" s="51"/>
      <c r="D18140" s="51"/>
    </row>
    <row r="18141" spans="3:4" x14ac:dyDescent="0.35">
      <c r="C18141" s="51"/>
      <c r="D18141" s="51"/>
    </row>
    <row r="18142" spans="3:4" x14ac:dyDescent="0.35">
      <c r="C18142" s="51"/>
      <c r="D18142" s="51"/>
    </row>
    <row r="18143" spans="3:4" x14ac:dyDescent="0.35">
      <c r="C18143" s="51"/>
      <c r="D18143" s="51"/>
    </row>
    <row r="18144" spans="3:4" x14ac:dyDescent="0.35">
      <c r="C18144" s="51"/>
      <c r="D18144" s="51"/>
    </row>
    <row r="18145" spans="3:4" x14ac:dyDescent="0.35">
      <c r="C18145" s="51"/>
      <c r="D18145" s="51"/>
    </row>
    <row r="18146" spans="3:4" x14ac:dyDescent="0.35">
      <c r="C18146" s="51"/>
      <c r="D18146" s="51"/>
    </row>
    <row r="18147" spans="3:4" x14ac:dyDescent="0.35">
      <c r="C18147" s="51"/>
      <c r="D18147" s="51"/>
    </row>
    <row r="18148" spans="3:4" x14ac:dyDescent="0.35">
      <c r="C18148" s="51"/>
      <c r="D18148" s="51"/>
    </row>
    <row r="18149" spans="3:4" x14ac:dyDescent="0.35">
      <c r="C18149" s="51"/>
      <c r="D18149" s="51"/>
    </row>
    <row r="18150" spans="3:4" x14ac:dyDescent="0.35">
      <c r="C18150" s="51"/>
      <c r="D18150" s="51"/>
    </row>
    <row r="18151" spans="3:4" x14ac:dyDescent="0.35">
      <c r="C18151" s="51"/>
      <c r="D18151" s="51"/>
    </row>
    <row r="18152" spans="3:4" x14ac:dyDescent="0.35">
      <c r="C18152" s="51"/>
      <c r="D18152" s="51"/>
    </row>
    <row r="18153" spans="3:4" x14ac:dyDescent="0.35">
      <c r="C18153" s="51"/>
      <c r="D18153" s="51"/>
    </row>
    <row r="18154" spans="3:4" x14ac:dyDescent="0.35">
      <c r="C18154" s="51"/>
      <c r="D18154" s="51"/>
    </row>
    <row r="18155" spans="3:4" x14ac:dyDescent="0.35">
      <c r="C18155" s="51"/>
      <c r="D18155" s="51"/>
    </row>
    <row r="18156" spans="3:4" x14ac:dyDescent="0.35">
      <c r="C18156" s="51"/>
      <c r="D18156" s="51"/>
    </row>
    <row r="18157" spans="3:4" x14ac:dyDescent="0.35">
      <c r="C18157" s="51"/>
      <c r="D18157" s="51"/>
    </row>
    <row r="18158" spans="3:4" x14ac:dyDescent="0.35">
      <c r="C18158" s="51"/>
      <c r="D18158" s="51"/>
    </row>
    <row r="18159" spans="3:4" x14ac:dyDescent="0.35">
      <c r="C18159" s="51"/>
      <c r="D18159" s="51"/>
    </row>
    <row r="18160" spans="3:4" x14ac:dyDescent="0.35">
      <c r="C18160" s="51"/>
      <c r="D18160" s="51"/>
    </row>
    <row r="18161" spans="3:4" x14ac:dyDescent="0.35">
      <c r="C18161" s="51"/>
      <c r="D18161" s="51"/>
    </row>
    <row r="18162" spans="3:4" x14ac:dyDescent="0.35">
      <c r="C18162" s="51"/>
      <c r="D18162" s="51"/>
    </row>
    <row r="18163" spans="3:4" x14ac:dyDescent="0.35">
      <c r="C18163" s="51"/>
      <c r="D18163" s="51"/>
    </row>
    <row r="18164" spans="3:4" x14ac:dyDescent="0.35">
      <c r="C18164" s="51"/>
      <c r="D18164" s="51"/>
    </row>
    <row r="18165" spans="3:4" x14ac:dyDescent="0.35">
      <c r="C18165" s="51"/>
      <c r="D18165" s="51"/>
    </row>
    <row r="18166" spans="3:4" x14ac:dyDescent="0.35">
      <c r="C18166" s="51"/>
      <c r="D18166" s="51"/>
    </row>
    <row r="18167" spans="3:4" x14ac:dyDescent="0.35">
      <c r="C18167" s="51"/>
      <c r="D18167" s="51"/>
    </row>
    <row r="18168" spans="3:4" x14ac:dyDescent="0.35">
      <c r="C18168" s="51"/>
      <c r="D18168" s="51"/>
    </row>
    <row r="18169" spans="3:4" x14ac:dyDescent="0.35">
      <c r="C18169" s="51"/>
      <c r="D18169" s="51"/>
    </row>
    <row r="18170" spans="3:4" x14ac:dyDescent="0.35">
      <c r="C18170" s="51"/>
      <c r="D18170" s="51"/>
    </row>
    <row r="18171" spans="3:4" x14ac:dyDescent="0.35">
      <c r="C18171" s="51"/>
      <c r="D18171" s="51"/>
    </row>
    <row r="18172" spans="3:4" x14ac:dyDescent="0.35">
      <c r="C18172" s="51"/>
      <c r="D18172" s="51"/>
    </row>
    <row r="18173" spans="3:4" x14ac:dyDescent="0.35">
      <c r="C18173" s="51"/>
      <c r="D18173" s="51"/>
    </row>
    <row r="18174" spans="3:4" x14ac:dyDescent="0.35">
      <c r="C18174" s="51"/>
      <c r="D18174" s="51"/>
    </row>
    <row r="18175" spans="3:4" x14ac:dyDescent="0.35">
      <c r="C18175" s="51"/>
      <c r="D18175" s="51"/>
    </row>
    <row r="18176" spans="3:4" x14ac:dyDescent="0.35">
      <c r="C18176" s="51"/>
      <c r="D18176" s="51"/>
    </row>
    <row r="18177" spans="3:4" x14ac:dyDescent="0.35">
      <c r="C18177" s="51"/>
      <c r="D18177" s="51"/>
    </row>
    <row r="18178" spans="3:4" x14ac:dyDescent="0.35">
      <c r="C18178" s="51"/>
      <c r="D18178" s="51"/>
    </row>
    <row r="18179" spans="3:4" x14ac:dyDescent="0.35">
      <c r="C18179" s="51"/>
      <c r="D18179" s="51"/>
    </row>
    <row r="18180" spans="3:4" x14ac:dyDescent="0.35">
      <c r="C18180" s="51"/>
      <c r="D18180" s="51"/>
    </row>
    <row r="18181" spans="3:4" x14ac:dyDescent="0.35">
      <c r="C18181" s="51"/>
      <c r="D18181" s="51"/>
    </row>
    <row r="18182" spans="3:4" x14ac:dyDescent="0.35">
      <c r="C18182" s="51"/>
      <c r="D18182" s="51"/>
    </row>
    <row r="18183" spans="3:4" x14ac:dyDescent="0.35">
      <c r="C18183" s="51"/>
      <c r="D18183" s="51"/>
    </row>
    <row r="18184" spans="3:4" x14ac:dyDescent="0.35">
      <c r="C18184" s="51"/>
      <c r="D18184" s="51"/>
    </row>
    <row r="18185" spans="3:4" x14ac:dyDescent="0.35">
      <c r="C18185" s="51"/>
      <c r="D18185" s="51"/>
    </row>
    <row r="18186" spans="3:4" x14ac:dyDescent="0.35">
      <c r="C18186" s="51"/>
      <c r="D18186" s="51"/>
    </row>
    <row r="18187" spans="3:4" x14ac:dyDescent="0.35">
      <c r="C18187" s="51"/>
      <c r="D18187" s="51"/>
    </row>
    <row r="18188" spans="3:4" x14ac:dyDescent="0.35">
      <c r="C18188" s="51"/>
      <c r="D18188" s="51"/>
    </row>
    <row r="18189" spans="3:4" x14ac:dyDescent="0.35">
      <c r="C18189" s="51"/>
      <c r="D18189" s="51"/>
    </row>
    <row r="18190" spans="3:4" x14ac:dyDescent="0.35">
      <c r="C18190" s="51"/>
      <c r="D18190" s="51"/>
    </row>
    <row r="18191" spans="3:4" x14ac:dyDescent="0.35">
      <c r="C18191" s="51"/>
      <c r="D18191" s="51"/>
    </row>
    <row r="18192" spans="3:4" x14ac:dyDescent="0.35">
      <c r="C18192" s="51"/>
      <c r="D18192" s="51"/>
    </row>
    <row r="18193" spans="3:4" x14ac:dyDescent="0.35">
      <c r="C18193" s="51"/>
      <c r="D18193" s="51"/>
    </row>
    <row r="18194" spans="3:4" x14ac:dyDescent="0.35">
      <c r="C18194" s="51"/>
      <c r="D18194" s="51"/>
    </row>
    <row r="18195" spans="3:4" x14ac:dyDescent="0.35">
      <c r="C18195" s="51"/>
      <c r="D18195" s="51"/>
    </row>
    <row r="18196" spans="3:4" x14ac:dyDescent="0.35">
      <c r="C18196" s="51"/>
      <c r="D18196" s="51"/>
    </row>
    <row r="18197" spans="3:4" x14ac:dyDescent="0.35">
      <c r="C18197" s="51"/>
      <c r="D18197" s="51"/>
    </row>
    <row r="18198" spans="3:4" x14ac:dyDescent="0.35">
      <c r="C18198" s="51"/>
      <c r="D18198" s="51"/>
    </row>
    <row r="18199" spans="3:4" x14ac:dyDescent="0.35">
      <c r="C18199" s="51"/>
      <c r="D18199" s="51"/>
    </row>
    <row r="18200" spans="3:4" x14ac:dyDescent="0.35">
      <c r="C18200" s="51"/>
      <c r="D18200" s="51"/>
    </row>
  </sheetData>
  <sheetProtection algorithmName="SHA-512" hashValue="5xmxoWTEY5H8fFYRrKX4Kna/c9hHp/1O6nP2IFvtwD1+3yOXpp5H2vP8+Xg+QBKDm3VDdbYicbvzVQMi3Zc70g==" saltValue="Enxl4Murn64VS8eV4tpkyA==" spinCount="100000" sheet="1" objects="1" scenarios="1"/>
  <sortState ref="A2:R1001">
    <sortCondition sortBy="cellColor" ref="D2:D1001" dxfId="9073"/>
    <sortCondition sortBy="cellColor" ref="D2:D1001" dxfId="9072"/>
  </sortState>
  <conditionalFormatting sqref="E215:R215 Q244:R244 R245 L256:R256 R283 R289 Q310:R310 A212:B316 A317:R319 A320:B338 A339:R411 A412:B424 E424:G424 A425 A426:B429 A48:B48 A496:I496 K496:R496 A497:B515 A516:R524 A545:B548 A525:A544 A49:A63 A64:G64 R64 A65:A73 A113:G113 A158:R161 E212:G212 Q214:R216 Q218:R219 Q227:R227 Q229:R237 Q241:R241 R242 L253:R253 R280 R286 Q297:R302 Q307:R307 B209:B313 B314:R316 L324:R324 L327:R327 M326:R326 L329:R330 M328:R331 L332:R334 B317:B335 Q335:R335 B336:R408 B409:B421 E421:G421 B423:B426 B427:R492 A430:R495 B494:B512 A82:R82 B513:R521 A81:P81 B542:B545 B72:R72 A114:R115 B61:P61 R61 A74:R74 B73:G73 R73 J73:P73 B106:R107 A98:R99 B112:R115 A107:R107 A76:R76 R75 A75:P75 I48:P48 R48 B71:G71 I71:P71 R71 I94:P94 R94 A135:R136 A133:G134 I133:P134 R133:R134 Q222:R224 R220:R221 R238:R239 A112:R112 J110:P110 A121:R122 A120:G120 J120:P120 R120 A129:R132 A162:G162 J162:P162 R162 A102:R103 A100:H100 J100:R100 A549:A652 A653:B653 D48:G48 A654:A718 A719:B720 J91:P91 A93:R93 A80:G80 I80:P80 R80:R81 A2:A47 A86:R87 A163:R184 A79:R79 J78:P78 A118:R118 A721:A809 A810:B810 A83:G85 I83:P85 R83:R85 A91:G92 I92:P92 I111:P111 A77:G78 I77:R77 J104:P104 R91:R92 A201:R205 A200:P200 R200 A126:G128 J126:P128 A207:R211 A206:G206 I206:P206 B97:R99 A94:G97 I96:P96 R96 A101:G101 J101:P101 R101 A117:G117 I116:P117 A116:F116 R116:R117 A140:R140 A139:G139 I139:P139 R139 B45:N45 P45:R45 A119:H119 J119:R119 A811:A947 A948:B948 I64:P64 A90:R90 A104:G106 I105:P105 R104:R105 R206 A108:G111 I108:P109 R108:R111 A138:R138 A137:G137 I137:P137 R137 A142:R144 A141:G141 I141:P141 R141 A147:R153 I146:P146 R146 B157:R161 A156:G157 I156:P156 R156 A186:R186 A185:P185 R185 A188:R196 A187:P187 R187 A198:R199 A197:G197 I197:P197 R197 R78 A145:G146 J145:R145 A124:R125 A123:G123 I123:P123 R123 I212:R212 A949:A1001 I95:R95 A155:R155 A154:G154 I154:R154 A88:G89 I88:P88 R88:R89 J89:P89 R126:R128">
    <cfRule type="expression" dxfId="9071" priority="11323" stopIfTrue="1">
      <formula>AND($B2="Tender Received",$D2&lt;=(TODAY()+3))</formula>
    </cfRule>
    <cfRule type="expression" dxfId="9070" priority="11324" stopIfTrue="1">
      <formula>$B2="Tender Received"</formula>
    </cfRule>
  </conditionalFormatting>
  <conditionalFormatting sqref="C212:G212 I212:R212">
    <cfRule type="expression" dxfId="9069" priority="11315" stopIfTrue="1">
      <formula>AND($B212="Tender Received",$D212&lt;=(TODAY()+3))</formula>
    </cfRule>
    <cfRule type="expression" dxfId="9068" priority="11316" stopIfTrue="1">
      <formula>$B212="Tender Received"</formula>
    </cfRule>
  </conditionalFormatting>
  <conditionalFormatting sqref="C213:R213">
    <cfRule type="expression" dxfId="9067" priority="11313" stopIfTrue="1">
      <formula>AND($B213="Tender Received",$D213&lt;=(TODAY()+3))</formula>
    </cfRule>
    <cfRule type="expression" dxfId="9066" priority="11314" stopIfTrue="1">
      <formula>$B213="Tender Received"</formula>
    </cfRule>
  </conditionalFormatting>
  <conditionalFormatting sqref="C214:P214">
    <cfRule type="expression" dxfId="9065" priority="11311" stopIfTrue="1">
      <formula>AND($B214="Tender Received",$D214&lt;=(TODAY()+3))</formula>
    </cfRule>
    <cfRule type="expression" dxfId="9064" priority="11312" stopIfTrue="1">
      <formula>$B214="Tender Received"</formula>
    </cfRule>
  </conditionalFormatting>
  <conditionalFormatting sqref="C215:D215">
    <cfRule type="expression" dxfId="9063" priority="11309" stopIfTrue="1">
      <formula>AND($B215="Tender Received",$D215&lt;=(TODAY()+3))</formula>
    </cfRule>
    <cfRule type="expression" dxfId="9062" priority="11310" stopIfTrue="1">
      <formula>$B215="Tender Received"</formula>
    </cfRule>
  </conditionalFormatting>
  <conditionalFormatting sqref="E216:R216">
    <cfRule type="expression" dxfId="9061" priority="11307" stopIfTrue="1">
      <formula>AND($B216="Tender Received",$D216&lt;=(TODAY()+3))</formula>
    </cfRule>
    <cfRule type="expression" dxfId="9060" priority="11308" stopIfTrue="1">
      <formula>$B216="Tender Received"</formula>
    </cfRule>
  </conditionalFormatting>
  <conditionalFormatting sqref="C216:D216">
    <cfRule type="expression" dxfId="9059" priority="11305" stopIfTrue="1">
      <formula>AND($B216="Tender Received",$D216&lt;=(TODAY()+3))</formula>
    </cfRule>
    <cfRule type="expression" dxfId="9058" priority="11306" stopIfTrue="1">
      <formula>$B216="Tender Received"</formula>
    </cfRule>
  </conditionalFormatting>
  <conditionalFormatting sqref="R217">
    <cfRule type="expression" dxfId="9057" priority="11303" stopIfTrue="1">
      <formula>AND($B217="Tender Received",$D217&lt;=(TODAY()+3))</formula>
    </cfRule>
    <cfRule type="expression" dxfId="9056" priority="11304" stopIfTrue="1">
      <formula>$B217="Tender Received"</formula>
    </cfRule>
  </conditionalFormatting>
  <conditionalFormatting sqref="C217:G217 I217:P217">
    <cfRule type="expression" dxfId="9055" priority="11301" stopIfTrue="1">
      <formula>AND($B217="Tender Received",$D217&lt;=(TODAY()+3))</formula>
    </cfRule>
    <cfRule type="expression" dxfId="9054" priority="11302" stopIfTrue="1">
      <formula>$B217="Tender Received"</formula>
    </cfRule>
  </conditionalFormatting>
  <conditionalFormatting sqref="C218:P218">
    <cfRule type="expression" dxfId="9053" priority="11297" stopIfTrue="1">
      <formula>AND($B218="Tender Received",$D218&lt;=(TODAY()+3))</formula>
    </cfRule>
    <cfRule type="expression" dxfId="9052" priority="11298" stopIfTrue="1">
      <formula>$B218="Tender Received"</formula>
    </cfRule>
  </conditionalFormatting>
  <conditionalFormatting sqref="C219:P219">
    <cfRule type="expression" dxfId="9051" priority="11295" stopIfTrue="1">
      <formula>AND($B219="Tender Received",$D219&lt;=(TODAY()+3))</formula>
    </cfRule>
    <cfRule type="expression" dxfId="9050" priority="11296" stopIfTrue="1">
      <formula>$B219="Tender Received"</formula>
    </cfRule>
  </conditionalFormatting>
  <conditionalFormatting sqref="R220">
    <cfRule type="expression" dxfId="9049" priority="11293" stopIfTrue="1">
      <formula>AND($B220="Tender Received",$D220&lt;=(TODAY()+3))</formula>
    </cfRule>
    <cfRule type="expression" dxfId="9048" priority="11294" stopIfTrue="1">
      <formula>$B220="Tender Received"</formula>
    </cfRule>
  </conditionalFormatting>
  <conditionalFormatting sqref="C220:G220 J220:P220">
    <cfRule type="expression" dxfId="9047" priority="11291" stopIfTrue="1">
      <formula>AND($B220="Tender Received",$D220&lt;=(TODAY()+3))</formula>
    </cfRule>
    <cfRule type="expression" dxfId="9046" priority="11292" stopIfTrue="1">
      <formula>$B220="Tender Received"</formula>
    </cfRule>
  </conditionalFormatting>
  <conditionalFormatting sqref="C221:G221 J221:P221">
    <cfRule type="expression" dxfId="9045" priority="11289" stopIfTrue="1">
      <formula>AND($B221="Tender Received",$D221&lt;=(TODAY()+3))</formula>
    </cfRule>
    <cfRule type="expression" dxfId="9044" priority="11290" stopIfTrue="1">
      <formula>$B221="Tender Received"</formula>
    </cfRule>
  </conditionalFormatting>
  <conditionalFormatting sqref="C222:P222">
    <cfRule type="expression" dxfId="9043" priority="11287" stopIfTrue="1">
      <formula>AND($B222="Tender Received",$D222&lt;=(TODAY()+3))</formula>
    </cfRule>
    <cfRule type="expression" dxfId="9042" priority="11288" stopIfTrue="1">
      <formula>$B222="Tender Received"</formula>
    </cfRule>
  </conditionalFormatting>
  <conditionalFormatting sqref="C223:P223">
    <cfRule type="expression" dxfId="9041" priority="11285" stopIfTrue="1">
      <formula>AND($B223="Tender Received",$D223&lt;=(TODAY()+3))</formula>
    </cfRule>
    <cfRule type="expression" dxfId="9040" priority="11286" stopIfTrue="1">
      <formula>$B223="Tender Received"</formula>
    </cfRule>
  </conditionalFormatting>
  <conditionalFormatting sqref="C224:P224">
    <cfRule type="expression" dxfId="9039" priority="11283" stopIfTrue="1">
      <formula>AND($B224="Tender Received",$D224&lt;=(TODAY()+3))</formula>
    </cfRule>
    <cfRule type="expression" dxfId="9038" priority="11284" stopIfTrue="1">
      <formula>$B224="Tender Received"</formula>
    </cfRule>
  </conditionalFormatting>
  <conditionalFormatting sqref="Q225:R225">
    <cfRule type="expression" dxfId="9037" priority="11281" stopIfTrue="1">
      <formula>AND($B225="Tender Received",$D225&lt;=(TODAY()+3))</formula>
    </cfRule>
    <cfRule type="expression" dxfId="9036" priority="11282" stopIfTrue="1">
      <formula>$B225="Tender Received"</formula>
    </cfRule>
  </conditionalFormatting>
  <conditionalFormatting sqref="C225:P225">
    <cfRule type="expression" dxfId="9035" priority="11279" stopIfTrue="1">
      <formula>AND($B225="Tender Received",$D225&lt;=(TODAY()+3))</formula>
    </cfRule>
    <cfRule type="expression" dxfId="9034" priority="11280" stopIfTrue="1">
      <formula>$B225="Tender Received"</formula>
    </cfRule>
  </conditionalFormatting>
  <conditionalFormatting sqref="Q226:R226">
    <cfRule type="expression" dxfId="9033" priority="11277" stopIfTrue="1">
      <formula>AND($B226="Tender Received",$D226&lt;=(TODAY()+3))</formula>
    </cfRule>
    <cfRule type="expression" dxfId="9032" priority="11278" stopIfTrue="1">
      <formula>$B226="Tender Received"</formula>
    </cfRule>
  </conditionalFormatting>
  <conditionalFormatting sqref="C226:P226">
    <cfRule type="expression" dxfId="9031" priority="11275" stopIfTrue="1">
      <formula>AND($B226="Tender Received",$D226&lt;=(TODAY()+3))</formula>
    </cfRule>
    <cfRule type="expression" dxfId="9030" priority="11276" stopIfTrue="1">
      <formula>$B226="Tender Received"</formula>
    </cfRule>
  </conditionalFormatting>
  <conditionalFormatting sqref="Q227:R227">
    <cfRule type="expression" dxfId="9029" priority="11265" stopIfTrue="1">
      <formula>AND($B227="Tender Received",$D227&lt;=(TODAY()+3))</formula>
    </cfRule>
    <cfRule type="expression" dxfId="9028" priority="11266" stopIfTrue="1">
      <formula>$B227="Tender Received"</formula>
    </cfRule>
  </conditionalFormatting>
  <conditionalFormatting sqref="C227:P227">
    <cfRule type="expression" dxfId="9027" priority="11263" stopIfTrue="1">
      <formula>AND($B227="Tender Received",$D227&lt;=(TODAY()+3))</formula>
    </cfRule>
    <cfRule type="expression" dxfId="9026" priority="11264" stopIfTrue="1">
      <formula>$B227="Tender Received"</formula>
    </cfRule>
  </conditionalFormatting>
  <conditionalFormatting sqref="Q228:R228">
    <cfRule type="expression" dxfId="9025" priority="11261" stopIfTrue="1">
      <formula>AND($B228="Tender Received",$D228&lt;=(TODAY()+3))</formula>
    </cfRule>
    <cfRule type="expression" dxfId="9024" priority="11262" stopIfTrue="1">
      <formula>$B228="Tender Received"</formula>
    </cfRule>
  </conditionalFormatting>
  <conditionalFormatting sqref="C228:P228">
    <cfRule type="expression" dxfId="9023" priority="11259" stopIfTrue="1">
      <formula>AND($B228="Tender Received",$D228&lt;=(TODAY()+3))</formula>
    </cfRule>
    <cfRule type="expression" dxfId="9022" priority="11260" stopIfTrue="1">
      <formula>$B228="Tender Received"</formula>
    </cfRule>
  </conditionalFormatting>
  <conditionalFormatting sqref="Q229:R229">
    <cfRule type="expression" dxfId="9021" priority="11257" stopIfTrue="1">
      <formula>AND($B229="Tender Received",$D229&lt;=(TODAY()+3))</formula>
    </cfRule>
    <cfRule type="expression" dxfId="9020" priority="11258" stopIfTrue="1">
      <formula>$B229="Tender Received"</formula>
    </cfRule>
  </conditionalFormatting>
  <conditionalFormatting sqref="C229:P229">
    <cfRule type="expression" dxfId="9019" priority="11255" stopIfTrue="1">
      <formula>AND($B229="Tender Received",$D229&lt;=(TODAY()+3))</formula>
    </cfRule>
    <cfRule type="expression" dxfId="9018" priority="11256" stopIfTrue="1">
      <formula>$B229="Tender Received"</formula>
    </cfRule>
  </conditionalFormatting>
  <conditionalFormatting sqref="C230:P230">
    <cfRule type="expression" dxfId="9017" priority="11253" stopIfTrue="1">
      <formula>AND($B230="Tender Received",$D230&lt;=(TODAY()+3))</formula>
    </cfRule>
    <cfRule type="expression" dxfId="9016" priority="11254" stopIfTrue="1">
      <formula>$B230="Tender Received"</formula>
    </cfRule>
  </conditionalFormatting>
  <conditionalFormatting sqref="Q231:R231">
    <cfRule type="expression" dxfId="9015" priority="11251" stopIfTrue="1">
      <formula>AND($B231="Tender Received",$D231&lt;=(TODAY()+3))</formula>
    </cfRule>
    <cfRule type="expression" dxfId="9014" priority="11252" stopIfTrue="1">
      <formula>$B231="Tender Received"</formula>
    </cfRule>
  </conditionalFormatting>
  <conditionalFormatting sqref="C231:P231">
    <cfRule type="expression" dxfId="9013" priority="11249" stopIfTrue="1">
      <formula>AND($B231="Tender Received",$D231&lt;=(TODAY()+3))</formula>
    </cfRule>
    <cfRule type="expression" dxfId="9012" priority="11250" stopIfTrue="1">
      <formula>$B231="Tender Received"</formula>
    </cfRule>
  </conditionalFormatting>
  <conditionalFormatting sqref="C232:P233">
    <cfRule type="expression" dxfId="9011" priority="11247" stopIfTrue="1">
      <formula>AND($B232="Tender Received",$D232&lt;=(TODAY()+3))</formula>
    </cfRule>
    <cfRule type="expression" dxfId="9010" priority="11248" stopIfTrue="1">
      <formula>$B232="Tender Received"</formula>
    </cfRule>
  </conditionalFormatting>
  <conditionalFormatting sqref="C234:P234">
    <cfRule type="expression" dxfId="9009" priority="11245" stopIfTrue="1">
      <formula>AND($B234="Tender Received",$D234&lt;=(TODAY()+3))</formula>
    </cfRule>
    <cfRule type="expression" dxfId="9008" priority="11246" stopIfTrue="1">
      <formula>$B234="Tender Received"</formula>
    </cfRule>
  </conditionalFormatting>
  <conditionalFormatting sqref="Q235">
    <cfRule type="expression" dxfId="9007" priority="11243" stopIfTrue="1">
      <formula>AND($B235="Tender Received",$D235&lt;=(TODAY()+3))</formula>
    </cfRule>
    <cfRule type="expression" dxfId="9006" priority="11244" stopIfTrue="1">
      <formula>$B235="Tender Received"</formula>
    </cfRule>
  </conditionalFormatting>
  <conditionalFormatting sqref="C235:P235">
    <cfRule type="expression" dxfId="9005" priority="11241" stopIfTrue="1">
      <formula>AND($B235="Tender Received",$D235&lt;=(TODAY()+3))</formula>
    </cfRule>
    <cfRule type="expression" dxfId="9004" priority="11242" stopIfTrue="1">
      <formula>$B235="Tender Received"</formula>
    </cfRule>
  </conditionalFormatting>
  <conditionalFormatting sqref="C236:P236">
    <cfRule type="expression" dxfId="9003" priority="11239" stopIfTrue="1">
      <formula>AND($B236="Tender Received",$D236&lt;=(TODAY()+3))</formula>
    </cfRule>
    <cfRule type="expression" dxfId="9002" priority="11240" stopIfTrue="1">
      <formula>$B236="Tender Received"</formula>
    </cfRule>
  </conditionalFormatting>
  <conditionalFormatting sqref="C237:P237">
    <cfRule type="expression" dxfId="9001" priority="11237" stopIfTrue="1">
      <formula>AND($B237="Tender Received",$D237&lt;=(TODAY()+3))</formula>
    </cfRule>
    <cfRule type="expression" dxfId="9000" priority="11238" stopIfTrue="1">
      <formula>$B237="Tender Received"</formula>
    </cfRule>
  </conditionalFormatting>
  <conditionalFormatting sqref="C238:G238 J238:P238">
    <cfRule type="expression" dxfId="8999" priority="11235" stopIfTrue="1">
      <formula>AND($B238="Tender Received",$D238&lt;=(TODAY()+3))</formula>
    </cfRule>
    <cfRule type="expression" dxfId="8998" priority="11236" stopIfTrue="1">
      <formula>$B238="Tender Received"</formula>
    </cfRule>
  </conditionalFormatting>
  <conditionalFormatting sqref="Q239">
    <cfRule type="expression" dxfId="8997" priority="11233" stopIfTrue="1">
      <formula>AND($B239="Tender Received",$D239&lt;=(TODAY()+3))</formula>
    </cfRule>
    <cfRule type="expression" dxfId="8996" priority="11234" stopIfTrue="1">
      <formula>$B239="Tender Received"</formula>
    </cfRule>
  </conditionalFormatting>
  <conditionalFormatting sqref="F239:I239 K239:P239">
    <cfRule type="expression" dxfId="8995" priority="11231" stopIfTrue="1">
      <formula>AND($B239="Tender Received",$D239&lt;=(TODAY()+3))</formula>
    </cfRule>
    <cfRule type="expression" dxfId="8994" priority="11232" stopIfTrue="1">
      <formula>$B239="Tender Received"</formula>
    </cfRule>
  </conditionalFormatting>
  <conditionalFormatting sqref="E239">
    <cfRule type="expression" dxfId="8993" priority="11229" stopIfTrue="1">
      <formula>AND($B239="Tender Received",$D239&lt;=(TODAY()+3))</formula>
    </cfRule>
    <cfRule type="expression" dxfId="8992" priority="11230" stopIfTrue="1">
      <formula>$B239="Tender Received"</formula>
    </cfRule>
  </conditionalFormatting>
  <conditionalFormatting sqref="C239:D239">
    <cfRule type="expression" dxfId="8991" priority="11227" stopIfTrue="1">
      <formula>AND($B239="Tender Received",$D239&lt;=(TODAY()+3))</formula>
    </cfRule>
    <cfRule type="expression" dxfId="8990" priority="11228" stopIfTrue="1">
      <formula>$B239="Tender Received"</formula>
    </cfRule>
  </conditionalFormatting>
  <conditionalFormatting sqref="J239">
    <cfRule type="expression" dxfId="8989" priority="11225" stopIfTrue="1">
      <formula>AND($B239="Tender Received",$D239&lt;=(TODAY()+3))</formula>
    </cfRule>
    <cfRule type="expression" dxfId="8988" priority="11226" stopIfTrue="1">
      <formula>$B239="Tender Received"</formula>
    </cfRule>
  </conditionalFormatting>
  <conditionalFormatting sqref="R240">
    <cfRule type="expression" dxfId="8987" priority="11223" stopIfTrue="1">
      <formula>AND($B240="Tender Received",$D240&lt;=(TODAY()+3))</formula>
    </cfRule>
    <cfRule type="expression" dxfId="8986" priority="11224" stopIfTrue="1">
      <formula>$B240="Tender Received"</formula>
    </cfRule>
  </conditionalFormatting>
  <conditionalFormatting sqref="Q240">
    <cfRule type="expression" dxfId="8985" priority="11221" stopIfTrue="1">
      <formula>AND($B240="Tender Received",$D240&lt;=(TODAY()+3))</formula>
    </cfRule>
    <cfRule type="expression" dxfId="8984" priority="11222" stopIfTrue="1">
      <formula>$B240="Tender Received"</formula>
    </cfRule>
  </conditionalFormatting>
  <conditionalFormatting sqref="F240:I240 K240:P240">
    <cfRule type="expression" dxfId="8983" priority="11219" stopIfTrue="1">
      <formula>AND($B240="Tender Received",$D240&lt;=(TODAY()+3))</formula>
    </cfRule>
    <cfRule type="expression" dxfId="8982" priority="11220" stopIfTrue="1">
      <formula>$B240="Tender Received"</formula>
    </cfRule>
  </conditionalFormatting>
  <conditionalFormatting sqref="E240">
    <cfRule type="expression" dxfId="8981" priority="11217" stopIfTrue="1">
      <formula>AND($B240="Tender Received",$D240&lt;=(TODAY()+3))</formula>
    </cfRule>
    <cfRule type="expression" dxfId="8980" priority="11218" stopIfTrue="1">
      <formula>$B240="Tender Received"</formula>
    </cfRule>
  </conditionalFormatting>
  <conditionalFormatting sqref="C240:D240">
    <cfRule type="expression" dxfId="8979" priority="11215" stopIfTrue="1">
      <formula>AND($B240="Tender Received",$D240&lt;=(TODAY()+3))</formula>
    </cfRule>
    <cfRule type="expression" dxfId="8978" priority="11216" stopIfTrue="1">
      <formula>$B240="Tender Received"</formula>
    </cfRule>
  </conditionalFormatting>
  <conditionalFormatting sqref="J240">
    <cfRule type="expression" dxfId="8977" priority="11213" stopIfTrue="1">
      <formula>AND($B240="Tender Received",$D240&lt;=(TODAY()+3))</formula>
    </cfRule>
    <cfRule type="expression" dxfId="8976" priority="11214" stopIfTrue="1">
      <formula>$B240="Tender Received"</formula>
    </cfRule>
  </conditionalFormatting>
  <conditionalFormatting sqref="K241 M241:P241 F241:I241">
    <cfRule type="expression" dxfId="8975" priority="11207" stopIfTrue="1">
      <formula>AND($B241="Tender Received",$D241&lt;=(TODAY()+3))</formula>
    </cfRule>
    <cfRule type="expression" dxfId="8974" priority="11208" stopIfTrue="1">
      <formula>$B241="Tender Received"</formula>
    </cfRule>
  </conditionalFormatting>
  <conditionalFormatting sqref="E241">
    <cfRule type="expression" dxfId="8973" priority="11205" stopIfTrue="1">
      <formula>AND($B241="Tender Received",$D241&lt;=(TODAY()+3))</formula>
    </cfRule>
    <cfRule type="expression" dxfId="8972" priority="11206" stopIfTrue="1">
      <formula>$B241="Tender Received"</formula>
    </cfRule>
  </conditionalFormatting>
  <conditionalFormatting sqref="C241:D241">
    <cfRule type="expression" dxfId="8971" priority="11203" stopIfTrue="1">
      <formula>AND($B241="Tender Received",$D241&lt;=(TODAY()+3))</formula>
    </cfRule>
    <cfRule type="expression" dxfId="8970" priority="11204" stopIfTrue="1">
      <formula>$B241="Tender Received"</formula>
    </cfRule>
  </conditionalFormatting>
  <conditionalFormatting sqref="J241">
    <cfRule type="expression" dxfId="8969" priority="11201" stopIfTrue="1">
      <formula>AND($B241="Tender Received",$D241&lt;=(TODAY()+3))</formula>
    </cfRule>
    <cfRule type="expression" dxfId="8968" priority="11202" stopIfTrue="1">
      <formula>$B241="Tender Received"</formula>
    </cfRule>
  </conditionalFormatting>
  <conditionalFormatting sqref="L241">
    <cfRule type="expression" dxfId="8967" priority="11199" stopIfTrue="1">
      <formula>AND($B241="Tender Received",$D241&lt;=(TODAY()+3))</formula>
    </cfRule>
    <cfRule type="expression" dxfId="8966" priority="11200" stopIfTrue="1">
      <formula>$B241="Tender Received"</formula>
    </cfRule>
  </conditionalFormatting>
  <conditionalFormatting sqref="Q242:R242">
    <cfRule type="expression" dxfId="8965" priority="11197" stopIfTrue="1">
      <formula>AND($B242="Tender Received",$D242&lt;=(TODAY()+3))</formula>
    </cfRule>
    <cfRule type="expression" dxfId="8964" priority="11198" stopIfTrue="1">
      <formula>$B242="Tender Received"</formula>
    </cfRule>
  </conditionalFormatting>
  <conditionalFormatting sqref="F242:I242 K242 M242:P242">
    <cfRule type="expression" dxfId="8963" priority="11195" stopIfTrue="1">
      <formula>AND($B242="Tender Received",$D242&lt;=(TODAY()+3))</formula>
    </cfRule>
    <cfRule type="expression" dxfId="8962" priority="11196" stopIfTrue="1">
      <formula>$B242="Tender Received"</formula>
    </cfRule>
  </conditionalFormatting>
  <conditionalFormatting sqref="E242">
    <cfRule type="expression" dxfId="8961" priority="11193" stopIfTrue="1">
      <formula>AND($B242="Tender Received",$D242&lt;=(TODAY()+3))</formula>
    </cfRule>
    <cfRule type="expression" dxfId="8960" priority="11194" stopIfTrue="1">
      <formula>$B242="Tender Received"</formula>
    </cfRule>
  </conditionalFormatting>
  <conditionalFormatting sqref="C242:D242">
    <cfRule type="expression" dxfId="8959" priority="11191" stopIfTrue="1">
      <formula>AND($B242="Tender Received",$D242&lt;=(TODAY()+3))</formula>
    </cfRule>
    <cfRule type="expression" dxfId="8958" priority="11192" stopIfTrue="1">
      <formula>$B242="Tender Received"</formula>
    </cfRule>
  </conditionalFormatting>
  <conditionalFormatting sqref="J242">
    <cfRule type="expression" dxfId="8957" priority="11189" stopIfTrue="1">
      <formula>AND($B242="Tender Received",$D242&lt;=(TODAY()+3))</formula>
    </cfRule>
    <cfRule type="expression" dxfId="8956" priority="11190" stopIfTrue="1">
      <formula>$B242="Tender Received"</formula>
    </cfRule>
  </conditionalFormatting>
  <conditionalFormatting sqref="L242">
    <cfRule type="expression" dxfId="8955" priority="11187" stopIfTrue="1">
      <formula>AND($B242="Tender Received",$D242&lt;=(TODAY()+3))</formula>
    </cfRule>
    <cfRule type="expression" dxfId="8954" priority="11188" stopIfTrue="1">
      <formula>$B242="Tender Received"</formula>
    </cfRule>
  </conditionalFormatting>
  <conditionalFormatting sqref="Q243:R243">
    <cfRule type="expression" dxfId="8953" priority="11185" stopIfTrue="1">
      <formula>AND($B243="Tender Received",$D243&lt;=(TODAY()+3))</formula>
    </cfRule>
    <cfRule type="expression" dxfId="8952" priority="11186" stopIfTrue="1">
      <formula>$B243="Tender Received"</formula>
    </cfRule>
  </conditionalFormatting>
  <conditionalFormatting sqref="F243:I243 K243 M243:P243">
    <cfRule type="expression" dxfId="8951" priority="11183" stopIfTrue="1">
      <formula>AND($B243="Tender Received",$D243&lt;=(TODAY()+3))</formula>
    </cfRule>
    <cfRule type="expression" dxfId="8950" priority="11184" stopIfTrue="1">
      <formula>$B243="Tender Received"</formula>
    </cfRule>
  </conditionalFormatting>
  <conditionalFormatting sqref="E243">
    <cfRule type="expression" dxfId="8949" priority="11181" stopIfTrue="1">
      <formula>AND($B243="Tender Received",$D243&lt;=(TODAY()+3))</formula>
    </cfRule>
    <cfRule type="expression" dxfId="8948" priority="11182" stopIfTrue="1">
      <formula>$B243="Tender Received"</formula>
    </cfRule>
  </conditionalFormatting>
  <conditionalFormatting sqref="C243:D243">
    <cfRule type="expression" dxfId="8947" priority="11179" stopIfTrue="1">
      <formula>AND($B243="Tender Received",$D243&lt;=(TODAY()+3))</formula>
    </cfRule>
    <cfRule type="expression" dxfId="8946" priority="11180" stopIfTrue="1">
      <formula>$B243="Tender Received"</formula>
    </cfRule>
  </conditionalFormatting>
  <conditionalFormatting sqref="J243">
    <cfRule type="expression" dxfId="8945" priority="11177" stopIfTrue="1">
      <formula>AND($B243="Tender Received",$D243&lt;=(TODAY()+3))</formula>
    </cfRule>
    <cfRule type="expression" dxfId="8944" priority="11178" stopIfTrue="1">
      <formula>$B243="Tender Received"</formula>
    </cfRule>
  </conditionalFormatting>
  <conditionalFormatting sqref="L243">
    <cfRule type="expression" dxfId="8943" priority="11175" stopIfTrue="1">
      <formula>AND($B243="Tender Received",$D243&lt;=(TODAY()+3))</formula>
    </cfRule>
    <cfRule type="expression" dxfId="8942" priority="11176" stopIfTrue="1">
      <formula>$B243="Tender Received"</formula>
    </cfRule>
  </conditionalFormatting>
  <conditionalFormatting sqref="F244:I244 K244 M244:P244">
    <cfRule type="expression" dxfId="8941" priority="11173" stopIfTrue="1">
      <formula>AND($B244="Tender Received",$D244&lt;=(TODAY()+3))</formula>
    </cfRule>
    <cfRule type="expression" dxfId="8940" priority="11174" stopIfTrue="1">
      <formula>$B244="Tender Received"</formula>
    </cfRule>
  </conditionalFormatting>
  <conditionalFormatting sqref="E244">
    <cfRule type="expression" dxfId="8939" priority="11171" stopIfTrue="1">
      <formula>AND($B244="Tender Received",$D244&lt;=(TODAY()+3))</formula>
    </cfRule>
    <cfRule type="expression" dxfId="8938" priority="11172" stopIfTrue="1">
      <formula>$B244="Tender Received"</formula>
    </cfRule>
  </conditionalFormatting>
  <conditionalFormatting sqref="C244:D244">
    <cfRule type="expression" dxfId="8937" priority="11169" stopIfTrue="1">
      <formula>AND($B244="Tender Received",$D244&lt;=(TODAY()+3))</formula>
    </cfRule>
    <cfRule type="expression" dxfId="8936" priority="11170" stopIfTrue="1">
      <formula>$B244="Tender Received"</formula>
    </cfRule>
  </conditionalFormatting>
  <conditionalFormatting sqref="J244">
    <cfRule type="expression" dxfId="8935" priority="11167" stopIfTrue="1">
      <formula>AND($B244="Tender Received",$D244&lt;=(TODAY()+3))</formula>
    </cfRule>
    <cfRule type="expression" dxfId="8934" priority="11168" stopIfTrue="1">
      <formula>$B244="Tender Received"</formula>
    </cfRule>
  </conditionalFormatting>
  <conditionalFormatting sqref="L244">
    <cfRule type="expression" dxfId="8933" priority="11165" stopIfTrue="1">
      <formula>AND($B244="Tender Received",$D244&lt;=(TODAY()+3))</formula>
    </cfRule>
    <cfRule type="expression" dxfId="8932" priority="11166" stopIfTrue="1">
      <formula>$B244="Tender Received"</formula>
    </cfRule>
  </conditionalFormatting>
  <conditionalFormatting sqref="Q245">
    <cfRule type="expression" dxfId="8931" priority="11163" stopIfTrue="1">
      <formula>AND($B245="Tender Received",$D245&lt;=(TODAY()+3))</formula>
    </cfRule>
    <cfRule type="expression" dxfId="8930" priority="11164" stopIfTrue="1">
      <formula>$B245="Tender Received"</formula>
    </cfRule>
  </conditionalFormatting>
  <conditionalFormatting sqref="F245:I245 K245 M245:P245">
    <cfRule type="expression" dxfId="8929" priority="11161" stopIfTrue="1">
      <formula>AND($B245="Tender Received",$D245&lt;=(TODAY()+3))</formula>
    </cfRule>
    <cfRule type="expression" dxfId="8928" priority="11162" stopIfTrue="1">
      <formula>$B245="Tender Received"</formula>
    </cfRule>
  </conditionalFormatting>
  <conditionalFormatting sqref="E245">
    <cfRule type="expression" dxfId="8927" priority="11159" stopIfTrue="1">
      <formula>AND($B245="Tender Received",$D245&lt;=(TODAY()+3))</formula>
    </cfRule>
    <cfRule type="expression" dxfId="8926" priority="11160" stopIfTrue="1">
      <formula>$B245="Tender Received"</formula>
    </cfRule>
  </conditionalFormatting>
  <conditionalFormatting sqref="C245:D245">
    <cfRule type="expression" dxfId="8925" priority="11157" stopIfTrue="1">
      <formula>AND($B245="Tender Received",$D245&lt;=(TODAY()+3))</formula>
    </cfRule>
    <cfRule type="expression" dxfId="8924" priority="11158" stopIfTrue="1">
      <formula>$B245="Tender Received"</formula>
    </cfRule>
  </conditionalFormatting>
  <conditionalFormatting sqref="L245">
    <cfRule type="expression" dxfId="8923" priority="11153" stopIfTrue="1">
      <formula>AND($B245="Tender Received",$D245&lt;=(TODAY()+3))</formula>
    </cfRule>
    <cfRule type="expression" dxfId="8922" priority="11154" stopIfTrue="1">
      <formula>$B245="Tender Received"</formula>
    </cfRule>
  </conditionalFormatting>
  <conditionalFormatting sqref="J245">
    <cfRule type="expression" dxfId="8921" priority="11151" stopIfTrue="1">
      <formula>AND($B245="Tender Received",$D245&lt;=(TODAY()+3))</formula>
    </cfRule>
    <cfRule type="expression" dxfId="8920" priority="11152" stopIfTrue="1">
      <formula>$B245="Tender Received"</formula>
    </cfRule>
  </conditionalFormatting>
  <conditionalFormatting sqref="R246">
    <cfRule type="expression" dxfId="8919" priority="11149" stopIfTrue="1">
      <formula>AND($B246="Tender Received",$D246&lt;=(TODAY()+3))</formula>
    </cfRule>
    <cfRule type="expression" dxfId="8918" priority="11150" stopIfTrue="1">
      <formula>$B246="Tender Received"</formula>
    </cfRule>
  </conditionalFormatting>
  <conditionalFormatting sqref="Q246">
    <cfRule type="expression" dxfId="8917" priority="11147" stopIfTrue="1">
      <formula>AND($B246="Tender Received",$D246&lt;=(TODAY()+3))</formula>
    </cfRule>
    <cfRule type="expression" dxfId="8916" priority="11148" stopIfTrue="1">
      <formula>$B246="Tender Received"</formula>
    </cfRule>
  </conditionalFormatting>
  <conditionalFormatting sqref="F246:I246 K246 M246:P246">
    <cfRule type="expression" dxfId="8915" priority="11145" stopIfTrue="1">
      <formula>AND($B246="Tender Received",$D246&lt;=(TODAY()+3))</formula>
    </cfRule>
    <cfRule type="expression" dxfId="8914" priority="11146" stopIfTrue="1">
      <formula>$B246="Tender Received"</formula>
    </cfRule>
  </conditionalFormatting>
  <conditionalFormatting sqref="E246">
    <cfRule type="expression" dxfId="8913" priority="11143" stopIfTrue="1">
      <formula>AND($B246="Tender Received",$D246&lt;=(TODAY()+3))</formula>
    </cfRule>
    <cfRule type="expression" dxfId="8912" priority="11144" stopIfTrue="1">
      <formula>$B246="Tender Received"</formula>
    </cfRule>
  </conditionalFormatting>
  <conditionalFormatting sqref="C246:D246">
    <cfRule type="expression" dxfId="8911" priority="11141" stopIfTrue="1">
      <formula>AND($B246="Tender Received",$D246&lt;=(TODAY()+3))</formula>
    </cfRule>
    <cfRule type="expression" dxfId="8910" priority="11142" stopIfTrue="1">
      <formula>$B246="Tender Received"</formula>
    </cfRule>
  </conditionalFormatting>
  <conditionalFormatting sqref="L246">
    <cfRule type="expression" dxfId="8909" priority="11139" stopIfTrue="1">
      <formula>AND($B246="Tender Received",$D246&lt;=(TODAY()+3))</formula>
    </cfRule>
    <cfRule type="expression" dxfId="8908" priority="11140" stopIfTrue="1">
      <formula>$B246="Tender Received"</formula>
    </cfRule>
  </conditionalFormatting>
  <conditionalFormatting sqref="J246">
    <cfRule type="expression" dxfId="8907" priority="11137" stopIfTrue="1">
      <formula>AND($B246="Tender Received",$D246&lt;=(TODAY()+3))</formula>
    </cfRule>
    <cfRule type="expression" dxfId="8906" priority="11138" stopIfTrue="1">
      <formula>$B246="Tender Received"</formula>
    </cfRule>
  </conditionalFormatting>
  <conditionalFormatting sqref="R247">
    <cfRule type="expression" dxfId="8905" priority="11135" stopIfTrue="1">
      <formula>AND($B247="Tender Received",$D247&lt;=(TODAY()+3))</formula>
    </cfRule>
    <cfRule type="expression" dxfId="8904" priority="11136" stopIfTrue="1">
      <formula>$B247="Tender Received"</formula>
    </cfRule>
  </conditionalFormatting>
  <conditionalFormatting sqref="Q247">
    <cfRule type="expression" dxfId="8903" priority="11133" stopIfTrue="1">
      <formula>AND($B247="Tender Received",$D247&lt;=(TODAY()+3))</formula>
    </cfRule>
    <cfRule type="expression" dxfId="8902" priority="11134" stopIfTrue="1">
      <formula>$B247="Tender Received"</formula>
    </cfRule>
  </conditionalFormatting>
  <conditionalFormatting sqref="F247:I247 K247 M247:P247">
    <cfRule type="expression" dxfId="8901" priority="11131" stopIfTrue="1">
      <formula>AND($B247="Tender Received",$D247&lt;=(TODAY()+3))</formula>
    </cfRule>
    <cfRule type="expression" dxfId="8900" priority="11132" stopIfTrue="1">
      <formula>$B247="Tender Received"</formula>
    </cfRule>
  </conditionalFormatting>
  <conditionalFormatting sqref="E247">
    <cfRule type="expression" dxfId="8899" priority="11129" stopIfTrue="1">
      <formula>AND($B247="Tender Received",$D247&lt;=(TODAY()+3))</formula>
    </cfRule>
    <cfRule type="expression" dxfId="8898" priority="11130" stopIfTrue="1">
      <formula>$B247="Tender Received"</formula>
    </cfRule>
  </conditionalFormatting>
  <conditionalFormatting sqref="C247:D247">
    <cfRule type="expression" dxfId="8897" priority="11127" stopIfTrue="1">
      <formula>AND($B247="Tender Received",$D247&lt;=(TODAY()+3))</formula>
    </cfRule>
    <cfRule type="expression" dxfId="8896" priority="11128" stopIfTrue="1">
      <formula>$B247="Tender Received"</formula>
    </cfRule>
  </conditionalFormatting>
  <conditionalFormatting sqref="L247">
    <cfRule type="expression" dxfId="8895" priority="11125" stopIfTrue="1">
      <formula>AND($B247="Tender Received",$D247&lt;=(TODAY()+3))</formula>
    </cfRule>
    <cfRule type="expression" dxfId="8894" priority="11126" stopIfTrue="1">
      <formula>$B247="Tender Received"</formula>
    </cfRule>
  </conditionalFormatting>
  <conditionalFormatting sqref="J247">
    <cfRule type="expression" dxfId="8893" priority="11123" stopIfTrue="1">
      <formula>AND($B247="Tender Received",$D247&lt;=(TODAY()+3))</formula>
    </cfRule>
    <cfRule type="expression" dxfId="8892" priority="11124" stopIfTrue="1">
      <formula>$B247="Tender Received"</formula>
    </cfRule>
  </conditionalFormatting>
  <conditionalFormatting sqref="R248">
    <cfRule type="expression" dxfId="8891" priority="11121" stopIfTrue="1">
      <formula>AND($B248="Tender Received",$D248&lt;=(TODAY()+3))</formula>
    </cfRule>
    <cfRule type="expression" dxfId="8890" priority="11122" stopIfTrue="1">
      <formula>$B248="Tender Received"</formula>
    </cfRule>
  </conditionalFormatting>
  <conditionalFormatting sqref="Q248">
    <cfRule type="expression" dxfId="8889" priority="11119" stopIfTrue="1">
      <formula>AND($B248="Tender Received",$D248&lt;=(TODAY()+3))</formula>
    </cfRule>
    <cfRule type="expression" dxfId="8888" priority="11120" stopIfTrue="1">
      <formula>$B248="Tender Received"</formula>
    </cfRule>
  </conditionalFormatting>
  <conditionalFormatting sqref="F248:I248 K248 M248:P248">
    <cfRule type="expression" dxfId="8887" priority="11117" stopIfTrue="1">
      <formula>AND($B248="Tender Received",$D248&lt;=(TODAY()+3))</formula>
    </cfRule>
    <cfRule type="expression" dxfId="8886" priority="11118" stopIfTrue="1">
      <formula>$B248="Tender Received"</formula>
    </cfRule>
  </conditionalFormatting>
  <conditionalFormatting sqref="E248">
    <cfRule type="expression" dxfId="8885" priority="11115" stopIfTrue="1">
      <formula>AND($B248="Tender Received",$D248&lt;=(TODAY()+3))</formula>
    </cfRule>
    <cfRule type="expression" dxfId="8884" priority="11116" stopIfTrue="1">
      <formula>$B248="Tender Received"</formula>
    </cfRule>
  </conditionalFormatting>
  <conditionalFormatting sqref="C248:D248">
    <cfRule type="expression" dxfId="8883" priority="11113" stopIfTrue="1">
      <formula>AND($B248="Tender Received",$D248&lt;=(TODAY()+3))</formula>
    </cfRule>
    <cfRule type="expression" dxfId="8882" priority="11114" stopIfTrue="1">
      <formula>$B248="Tender Received"</formula>
    </cfRule>
  </conditionalFormatting>
  <conditionalFormatting sqref="L248">
    <cfRule type="expression" dxfId="8881" priority="11111" stopIfTrue="1">
      <formula>AND($B248="Tender Received",$D248&lt;=(TODAY()+3))</formula>
    </cfRule>
    <cfRule type="expression" dxfId="8880" priority="11112" stopIfTrue="1">
      <formula>$B248="Tender Received"</formula>
    </cfRule>
  </conditionalFormatting>
  <conditionalFormatting sqref="J248">
    <cfRule type="expression" dxfId="8879" priority="11109" stopIfTrue="1">
      <formula>AND($B248="Tender Received",$D248&lt;=(TODAY()+3))</formula>
    </cfRule>
    <cfRule type="expression" dxfId="8878" priority="11110" stopIfTrue="1">
      <formula>$B248="Tender Received"</formula>
    </cfRule>
  </conditionalFormatting>
  <conditionalFormatting sqref="R249">
    <cfRule type="expression" dxfId="8877" priority="11107" stopIfTrue="1">
      <formula>AND($B249="Tender Received",$D249&lt;=(TODAY()+3))</formula>
    </cfRule>
    <cfRule type="expression" dxfId="8876" priority="11108" stopIfTrue="1">
      <formula>$B249="Tender Received"</formula>
    </cfRule>
  </conditionalFormatting>
  <conditionalFormatting sqref="Q249">
    <cfRule type="expression" dxfId="8875" priority="11105" stopIfTrue="1">
      <formula>AND($B249="Tender Received",$D249&lt;=(TODAY()+3))</formula>
    </cfRule>
    <cfRule type="expression" dxfId="8874" priority="11106" stopIfTrue="1">
      <formula>$B249="Tender Received"</formula>
    </cfRule>
  </conditionalFormatting>
  <conditionalFormatting sqref="F249:I249 M249:P249">
    <cfRule type="expression" dxfId="8873" priority="11103" stopIfTrue="1">
      <formula>AND($B249="Tender Received",$D249&lt;=(TODAY()+3))</formula>
    </cfRule>
    <cfRule type="expression" dxfId="8872" priority="11104" stopIfTrue="1">
      <formula>$B249="Tender Received"</formula>
    </cfRule>
  </conditionalFormatting>
  <conditionalFormatting sqref="E249">
    <cfRule type="expression" dxfId="8871" priority="11101" stopIfTrue="1">
      <formula>AND($B249="Tender Received",$D249&lt;=(TODAY()+3))</formula>
    </cfRule>
    <cfRule type="expression" dxfId="8870" priority="11102" stopIfTrue="1">
      <formula>$B249="Tender Received"</formula>
    </cfRule>
  </conditionalFormatting>
  <conditionalFormatting sqref="C249:D249">
    <cfRule type="expression" dxfId="8869" priority="11099" stopIfTrue="1">
      <formula>AND($B249="Tender Received",$D249&lt;=(TODAY()+3))</formula>
    </cfRule>
    <cfRule type="expression" dxfId="8868" priority="11100" stopIfTrue="1">
      <formula>$B249="Tender Received"</formula>
    </cfRule>
  </conditionalFormatting>
  <conditionalFormatting sqref="L249">
    <cfRule type="expression" dxfId="8867" priority="11097" stopIfTrue="1">
      <formula>AND($B249="Tender Received",$D249&lt;=(TODAY()+3))</formula>
    </cfRule>
    <cfRule type="expression" dxfId="8866" priority="11098" stopIfTrue="1">
      <formula>$B249="Tender Received"</formula>
    </cfRule>
  </conditionalFormatting>
  <conditionalFormatting sqref="J249">
    <cfRule type="expression" dxfId="8865" priority="11093" stopIfTrue="1">
      <formula>AND($B249="Tender Received",$D249&lt;=(TODAY()+3))</formula>
    </cfRule>
    <cfRule type="expression" dxfId="8864" priority="11094" stopIfTrue="1">
      <formula>$B249="Tender Received"</formula>
    </cfRule>
  </conditionalFormatting>
  <conditionalFormatting sqref="K249">
    <cfRule type="expression" dxfId="8863" priority="11091" stopIfTrue="1">
      <formula>AND($B249="Tender Received",$D249&lt;=(TODAY()+3))</formula>
    </cfRule>
    <cfRule type="expression" dxfId="8862" priority="11092" stopIfTrue="1">
      <formula>$B249="Tender Received"</formula>
    </cfRule>
  </conditionalFormatting>
  <conditionalFormatting sqref="R250">
    <cfRule type="expression" dxfId="8861" priority="11089" stopIfTrue="1">
      <formula>AND($B250="Tender Received",$D250&lt;=(TODAY()+3))</formula>
    </cfRule>
    <cfRule type="expression" dxfId="8860" priority="11090" stopIfTrue="1">
      <formula>$B250="Tender Received"</formula>
    </cfRule>
  </conditionalFormatting>
  <conditionalFormatting sqref="Q250">
    <cfRule type="expression" dxfId="8859" priority="11087" stopIfTrue="1">
      <formula>AND($B250="Tender Received",$D250&lt;=(TODAY()+3))</formula>
    </cfRule>
    <cfRule type="expression" dxfId="8858" priority="11088" stopIfTrue="1">
      <formula>$B250="Tender Received"</formula>
    </cfRule>
  </conditionalFormatting>
  <conditionalFormatting sqref="F250:I250 K250 M250:P250">
    <cfRule type="expression" dxfId="8857" priority="11085" stopIfTrue="1">
      <formula>AND($B250="Tender Received",$D250&lt;=(TODAY()+3))</formula>
    </cfRule>
    <cfRule type="expression" dxfId="8856" priority="11086" stopIfTrue="1">
      <formula>$B250="Tender Received"</formula>
    </cfRule>
  </conditionalFormatting>
  <conditionalFormatting sqref="E250">
    <cfRule type="expression" dxfId="8855" priority="11083" stopIfTrue="1">
      <formula>AND($B250="Tender Received",$D250&lt;=(TODAY()+3))</formula>
    </cfRule>
    <cfRule type="expression" dxfId="8854" priority="11084" stopIfTrue="1">
      <formula>$B250="Tender Received"</formula>
    </cfRule>
  </conditionalFormatting>
  <conditionalFormatting sqref="C250:D250">
    <cfRule type="expression" dxfId="8853" priority="11081" stopIfTrue="1">
      <formula>AND($B250="Tender Received",$D250&lt;=(TODAY()+3))</formula>
    </cfRule>
    <cfRule type="expression" dxfId="8852" priority="11082" stopIfTrue="1">
      <formula>$B250="Tender Received"</formula>
    </cfRule>
  </conditionalFormatting>
  <conditionalFormatting sqref="L250">
    <cfRule type="expression" dxfId="8851" priority="11079" stopIfTrue="1">
      <formula>AND($B250="Tender Received",$D250&lt;=(TODAY()+3))</formula>
    </cfRule>
    <cfRule type="expression" dxfId="8850" priority="11080" stopIfTrue="1">
      <formula>$B250="Tender Received"</formula>
    </cfRule>
  </conditionalFormatting>
  <conditionalFormatting sqref="J250">
    <cfRule type="expression" dxfId="8849" priority="11077" stopIfTrue="1">
      <formula>AND($B250="Tender Received",$D250&lt;=(TODAY()+3))</formula>
    </cfRule>
    <cfRule type="expression" dxfId="8848" priority="11078" stopIfTrue="1">
      <formula>$B250="Tender Received"</formula>
    </cfRule>
  </conditionalFormatting>
  <conditionalFormatting sqref="R248:R255">
    <cfRule type="expression" dxfId="8847" priority="11075" stopIfTrue="1">
      <formula>AND($B248="Tender Received",$D248&lt;=(TODAY()+3))</formula>
    </cfRule>
    <cfRule type="expression" dxfId="8846" priority="11076" stopIfTrue="1">
      <formula>$B248="Tender Received"</formula>
    </cfRule>
  </conditionalFormatting>
  <conditionalFormatting sqref="Q248:Q255">
    <cfRule type="expression" dxfId="8845" priority="11073" stopIfTrue="1">
      <formula>AND($B248="Tender Received",$D248&lt;=(TODAY()+3))</formula>
    </cfRule>
    <cfRule type="expression" dxfId="8844" priority="11074" stopIfTrue="1">
      <formula>$B248="Tender Received"</formula>
    </cfRule>
  </conditionalFormatting>
  <conditionalFormatting sqref="K248:K255 M248:P255 F248:I255 F251:F256">
    <cfRule type="expression" dxfId="8843" priority="11071" stopIfTrue="1">
      <formula>AND($B248="Tender Received",$D248&lt;=(TODAY()+3))</formula>
    </cfRule>
    <cfRule type="expression" dxfId="8842" priority="11072" stopIfTrue="1">
      <formula>$B248="Tender Received"</formula>
    </cfRule>
  </conditionalFormatting>
  <conditionalFormatting sqref="E248:E255">
    <cfRule type="expression" dxfId="8841" priority="11069" stopIfTrue="1">
      <formula>AND($B248="Tender Received",$D248&lt;=(TODAY()+3))</formula>
    </cfRule>
    <cfRule type="expression" dxfId="8840" priority="11070" stopIfTrue="1">
      <formula>$B248="Tender Received"</formula>
    </cfRule>
  </conditionalFormatting>
  <conditionalFormatting sqref="C248:D255 D251:D256">
    <cfRule type="expression" dxfId="8839" priority="11067" stopIfTrue="1">
      <formula>AND($B248="Tender Received",$D248&lt;=(TODAY()+3))</formula>
    </cfRule>
    <cfRule type="expression" dxfId="8838" priority="11068" stopIfTrue="1">
      <formula>$B248="Tender Received"</formula>
    </cfRule>
  </conditionalFormatting>
  <conditionalFormatting sqref="L248:L255">
    <cfRule type="expression" dxfId="8837" priority="11065" stopIfTrue="1">
      <formula>AND($B248="Tender Received",$D248&lt;=(TODAY()+3))</formula>
    </cfRule>
    <cfRule type="expression" dxfId="8836" priority="11066" stopIfTrue="1">
      <formula>$B248="Tender Received"</formula>
    </cfRule>
  </conditionalFormatting>
  <conditionalFormatting sqref="J248:J255">
    <cfRule type="expression" dxfId="8835" priority="11063" stopIfTrue="1">
      <formula>AND($B248="Tender Received",$D248&lt;=(TODAY()+3))</formula>
    </cfRule>
    <cfRule type="expression" dxfId="8834" priority="11064" stopIfTrue="1">
      <formula>$B248="Tender Received"</formula>
    </cfRule>
  </conditionalFormatting>
  <conditionalFormatting sqref="K256 F256:I256">
    <cfRule type="expression" dxfId="8833" priority="11061" stopIfTrue="1">
      <formula>AND($B256="Tender Received",$D256&lt;=(TODAY()+3))</formula>
    </cfRule>
    <cfRule type="expression" dxfId="8832" priority="11062" stopIfTrue="1">
      <formula>$B256="Tender Received"</formula>
    </cfRule>
  </conditionalFormatting>
  <conditionalFormatting sqref="E256">
    <cfRule type="expression" dxfId="8831" priority="11059" stopIfTrue="1">
      <formula>AND($B256="Tender Received",$D256&lt;=(TODAY()+3))</formula>
    </cfRule>
    <cfRule type="expression" dxfId="8830" priority="11060" stopIfTrue="1">
      <formula>$B256="Tender Received"</formula>
    </cfRule>
  </conditionalFormatting>
  <conditionalFormatting sqref="C256:D256">
    <cfRule type="expression" dxfId="8829" priority="11057" stopIfTrue="1">
      <formula>AND($B256="Tender Received",$D256&lt;=(TODAY()+3))</formula>
    </cfRule>
    <cfRule type="expression" dxfId="8828" priority="11058" stopIfTrue="1">
      <formula>$B256="Tender Received"</formula>
    </cfRule>
  </conditionalFormatting>
  <conditionalFormatting sqref="J256">
    <cfRule type="expression" dxfId="8827" priority="11055" stopIfTrue="1">
      <formula>AND($B256="Tender Received",$D256&lt;=(TODAY()+3))</formula>
    </cfRule>
    <cfRule type="expression" dxfId="8826" priority="11056" stopIfTrue="1">
      <formula>$B256="Tender Received"</formula>
    </cfRule>
  </conditionalFormatting>
  <conditionalFormatting sqref="L257:R257">
    <cfRule type="expression" dxfId="8825" priority="11053" stopIfTrue="1">
      <formula>AND($B257="Tender Received",$D257&lt;=(TODAY()+3))</formula>
    </cfRule>
    <cfRule type="expression" dxfId="8824" priority="11054" stopIfTrue="1">
      <formula>$B257="Tender Received"</formula>
    </cfRule>
  </conditionalFormatting>
  <conditionalFormatting sqref="F257">
    <cfRule type="expression" dxfId="8823" priority="11051" stopIfTrue="1">
      <formula>AND($B257="Tender Received",$D257&lt;=(TODAY()+3))</formula>
    </cfRule>
    <cfRule type="expression" dxfId="8822" priority="11052" stopIfTrue="1">
      <formula>$B257="Tender Received"</formula>
    </cfRule>
  </conditionalFormatting>
  <conditionalFormatting sqref="D257">
    <cfRule type="expression" dxfId="8821" priority="11049" stopIfTrue="1">
      <formula>AND($B257="Tender Received",$D257&lt;=(TODAY()+3))</formula>
    </cfRule>
    <cfRule type="expression" dxfId="8820" priority="11050" stopIfTrue="1">
      <formula>$B257="Tender Received"</formula>
    </cfRule>
  </conditionalFormatting>
  <conditionalFormatting sqref="K257 F257:I257">
    <cfRule type="expression" dxfId="8819" priority="11047" stopIfTrue="1">
      <formula>AND($B257="Tender Received",$D257&lt;=(TODAY()+3))</formula>
    </cfRule>
    <cfRule type="expression" dxfId="8818" priority="11048" stopIfTrue="1">
      <formula>$B257="Tender Received"</formula>
    </cfRule>
  </conditionalFormatting>
  <conditionalFormatting sqref="E257">
    <cfRule type="expression" dxfId="8817" priority="11045" stopIfTrue="1">
      <formula>AND($B257="Tender Received",$D257&lt;=(TODAY()+3))</formula>
    </cfRule>
    <cfRule type="expression" dxfId="8816" priority="11046" stopIfTrue="1">
      <formula>$B257="Tender Received"</formula>
    </cfRule>
  </conditionalFormatting>
  <conditionalFormatting sqref="C257:D257">
    <cfRule type="expression" dxfId="8815" priority="11043" stopIfTrue="1">
      <formula>AND($B257="Tender Received",$D257&lt;=(TODAY()+3))</formula>
    </cfRule>
    <cfRule type="expression" dxfId="8814" priority="11044" stopIfTrue="1">
      <formula>$B257="Tender Received"</formula>
    </cfRule>
  </conditionalFormatting>
  <conditionalFormatting sqref="J257">
    <cfRule type="expression" dxfId="8813" priority="11041" stopIfTrue="1">
      <formula>AND($B257="Tender Received",$D257&lt;=(TODAY()+3))</formula>
    </cfRule>
    <cfRule type="expression" dxfId="8812" priority="11042" stopIfTrue="1">
      <formula>$B257="Tender Received"</formula>
    </cfRule>
  </conditionalFormatting>
  <conditionalFormatting sqref="L258:R258">
    <cfRule type="expression" dxfId="8811" priority="11039" stopIfTrue="1">
      <formula>AND($B258="Tender Received",$D258&lt;=(TODAY()+3))</formula>
    </cfRule>
    <cfRule type="expression" dxfId="8810" priority="11040" stopIfTrue="1">
      <formula>$B258="Tender Received"</formula>
    </cfRule>
  </conditionalFormatting>
  <conditionalFormatting sqref="F258">
    <cfRule type="expression" dxfId="8809" priority="11037" stopIfTrue="1">
      <formula>AND($B258="Tender Received",$D258&lt;=(TODAY()+3))</formula>
    </cfRule>
    <cfRule type="expression" dxfId="8808" priority="11038" stopIfTrue="1">
      <formula>$B258="Tender Received"</formula>
    </cfRule>
  </conditionalFormatting>
  <conditionalFormatting sqref="D258">
    <cfRule type="expression" dxfId="8807" priority="11035" stopIfTrue="1">
      <formula>AND($B258="Tender Received",$D258&lt;=(TODAY()+3))</formula>
    </cfRule>
    <cfRule type="expression" dxfId="8806" priority="11036" stopIfTrue="1">
      <formula>$B258="Tender Received"</formula>
    </cfRule>
  </conditionalFormatting>
  <conditionalFormatting sqref="K258 F258:G258 I258">
    <cfRule type="expression" dxfId="8805" priority="11033" stopIfTrue="1">
      <formula>AND($B258="Tender Received",$D258&lt;=(TODAY()+3))</formula>
    </cfRule>
    <cfRule type="expression" dxfId="8804" priority="11034" stopIfTrue="1">
      <formula>$B258="Tender Received"</formula>
    </cfRule>
  </conditionalFormatting>
  <conditionalFormatting sqref="E258">
    <cfRule type="expression" dxfId="8803" priority="11031" stopIfTrue="1">
      <formula>AND($B258="Tender Received",$D258&lt;=(TODAY()+3))</formula>
    </cfRule>
    <cfRule type="expression" dxfId="8802" priority="11032" stopIfTrue="1">
      <formula>$B258="Tender Received"</formula>
    </cfRule>
  </conditionalFormatting>
  <conditionalFormatting sqref="C258:D258">
    <cfRule type="expression" dxfId="8801" priority="11029" stopIfTrue="1">
      <formula>AND($B258="Tender Received",$D258&lt;=(TODAY()+3))</formula>
    </cfRule>
    <cfRule type="expression" dxfId="8800" priority="11030" stopIfTrue="1">
      <formula>$B258="Tender Received"</formula>
    </cfRule>
  </conditionalFormatting>
  <conditionalFormatting sqref="J258">
    <cfRule type="expression" dxfId="8799" priority="11027" stopIfTrue="1">
      <formula>AND($B258="Tender Received",$D258&lt;=(TODAY()+3))</formula>
    </cfRule>
    <cfRule type="expression" dxfId="8798" priority="11028" stopIfTrue="1">
      <formula>$B258="Tender Received"</formula>
    </cfRule>
  </conditionalFormatting>
  <conditionalFormatting sqref="L259:R259">
    <cfRule type="expression" dxfId="8797" priority="11025" stopIfTrue="1">
      <formula>AND($B259="Tender Received",$D259&lt;=(TODAY()+3))</formula>
    </cfRule>
    <cfRule type="expression" dxfId="8796" priority="11026" stopIfTrue="1">
      <formula>$B259="Tender Received"</formula>
    </cfRule>
  </conditionalFormatting>
  <conditionalFormatting sqref="F259">
    <cfRule type="expression" dxfId="8795" priority="11023" stopIfTrue="1">
      <formula>AND($B259="Tender Received",$D259&lt;=(TODAY()+3))</formula>
    </cfRule>
    <cfRule type="expression" dxfId="8794" priority="11024" stopIfTrue="1">
      <formula>$B259="Tender Received"</formula>
    </cfRule>
  </conditionalFormatting>
  <conditionalFormatting sqref="D259">
    <cfRule type="expression" dxfId="8793" priority="11021" stopIfTrue="1">
      <formula>AND($B259="Tender Received",$D259&lt;=(TODAY()+3))</formula>
    </cfRule>
    <cfRule type="expression" dxfId="8792" priority="11022" stopIfTrue="1">
      <formula>$B259="Tender Received"</formula>
    </cfRule>
  </conditionalFormatting>
  <conditionalFormatting sqref="K259 F259:I259">
    <cfRule type="expression" dxfId="8791" priority="11019" stopIfTrue="1">
      <formula>AND($B259="Tender Received",$D259&lt;=(TODAY()+3))</formula>
    </cfRule>
    <cfRule type="expression" dxfId="8790" priority="11020" stopIfTrue="1">
      <formula>$B259="Tender Received"</formula>
    </cfRule>
  </conditionalFormatting>
  <conditionalFormatting sqref="E259">
    <cfRule type="expression" dxfId="8789" priority="11017" stopIfTrue="1">
      <formula>AND($B259="Tender Received",$D259&lt;=(TODAY()+3))</formula>
    </cfRule>
    <cfRule type="expression" dxfId="8788" priority="11018" stopIfTrue="1">
      <formula>$B259="Tender Received"</formula>
    </cfRule>
  </conditionalFormatting>
  <conditionalFormatting sqref="C259:D259">
    <cfRule type="expression" dxfId="8787" priority="11015" stopIfTrue="1">
      <formula>AND($B259="Tender Received",$D259&lt;=(TODAY()+3))</formula>
    </cfRule>
    <cfRule type="expression" dxfId="8786" priority="11016" stopIfTrue="1">
      <formula>$B259="Tender Received"</formula>
    </cfRule>
  </conditionalFormatting>
  <conditionalFormatting sqref="J259">
    <cfRule type="expression" dxfId="8785" priority="11011" stopIfTrue="1">
      <formula>AND($B259="Tender Received",$D259&lt;=(TODAY()+3))</formula>
    </cfRule>
    <cfRule type="expression" dxfId="8784" priority="11012" stopIfTrue="1">
      <formula>$B259="Tender Received"</formula>
    </cfRule>
  </conditionalFormatting>
  <conditionalFormatting sqref="L260:R260">
    <cfRule type="expression" dxfId="8783" priority="11009" stopIfTrue="1">
      <formula>AND($B260="Tender Received",$D260&lt;=(TODAY()+3))</formula>
    </cfRule>
    <cfRule type="expression" dxfId="8782" priority="11010" stopIfTrue="1">
      <formula>$B260="Tender Received"</formula>
    </cfRule>
  </conditionalFormatting>
  <conditionalFormatting sqref="F260">
    <cfRule type="expression" dxfId="8781" priority="11007" stopIfTrue="1">
      <formula>AND($B260="Tender Received",$D260&lt;=(TODAY()+3))</formula>
    </cfRule>
    <cfRule type="expression" dxfId="8780" priority="11008" stopIfTrue="1">
      <formula>$B260="Tender Received"</formula>
    </cfRule>
  </conditionalFormatting>
  <conditionalFormatting sqref="D260">
    <cfRule type="expression" dxfId="8779" priority="11005" stopIfTrue="1">
      <formula>AND($B260="Tender Received",$D260&lt;=(TODAY()+3))</formula>
    </cfRule>
    <cfRule type="expression" dxfId="8778" priority="11006" stopIfTrue="1">
      <formula>$B260="Tender Received"</formula>
    </cfRule>
  </conditionalFormatting>
  <conditionalFormatting sqref="K260 F260:I260">
    <cfRule type="expression" dxfId="8777" priority="11003" stopIfTrue="1">
      <formula>AND($B260="Tender Received",$D260&lt;=(TODAY()+3))</formula>
    </cfRule>
    <cfRule type="expression" dxfId="8776" priority="11004" stopIfTrue="1">
      <formula>$B260="Tender Received"</formula>
    </cfRule>
  </conditionalFormatting>
  <conditionalFormatting sqref="E260">
    <cfRule type="expression" dxfId="8775" priority="11001" stopIfTrue="1">
      <formula>AND($B260="Tender Received",$D260&lt;=(TODAY()+3))</formula>
    </cfRule>
    <cfRule type="expression" dxfId="8774" priority="11002" stopIfTrue="1">
      <formula>$B260="Tender Received"</formula>
    </cfRule>
  </conditionalFormatting>
  <conditionalFormatting sqref="C260:D260">
    <cfRule type="expression" dxfId="8773" priority="10999" stopIfTrue="1">
      <formula>AND($B260="Tender Received",$D260&lt;=(TODAY()+3))</formula>
    </cfRule>
    <cfRule type="expression" dxfId="8772" priority="11000" stopIfTrue="1">
      <formula>$B260="Tender Received"</formula>
    </cfRule>
  </conditionalFormatting>
  <conditionalFormatting sqref="J260">
    <cfRule type="expression" dxfId="8771" priority="10997" stopIfTrue="1">
      <formula>AND($B260="Tender Received",$D260&lt;=(TODAY()+3))</formula>
    </cfRule>
    <cfRule type="expression" dxfId="8770" priority="10998" stopIfTrue="1">
      <formula>$B260="Tender Received"</formula>
    </cfRule>
  </conditionalFormatting>
  <conditionalFormatting sqref="G260">
    <cfRule type="expression" dxfId="8769" priority="10995" stopIfTrue="1">
      <formula>AND($B260="Tender Received",$D260&lt;=(TODAY()+3))</formula>
    </cfRule>
    <cfRule type="expression" dxfId="8768" priority="10996" stopIfTrue="1">
      <formula>$B260="Tender Received"</formula>
    </cfRule>
  </conditionalFormatting>
  <conditionalFormatting sqref="L261:R261">
    <cfRule type="expression" dxfId="8767" priority="10993" stopIfTrue="1">
      <formula>AND($B261="Tender Received",$D261&lt;=(TODAY()+3))</formula>
    </cfRule>
    <cfRule type="expression" dxfId="8766" priority="10994" stopIfTrue="1">
      <formula>$B261="Tender Received"</formula>
    </cfRule>
  </conditionalFormatting>
  <conditionalFormatting sqref="F261">
    <cfRule type="expression" dxfId="8765" priority="10991" stopIfTrue="1">
      <formula>AND($B261="Tender Received",$D261&lt;=(TODAY()+3))</formula>
    </cfRule>
    <cfRule type="expression" dxfId="8764" priority="10992" stopIfTrue="1">
      <formula>$B261="Tender Received"</formula>
    </cfRule>
  </conditionalFormatting>
  <conditionalFormatting sqref="D261">
    <cfRule type="expression" dxfId="8763" priority="10989" stopIfTrue="1">
      <formula>AND($B261="Tender Received",$D261&lt;=(TODAY()+3))</formula>
    </cfRule>
    <cfRule type="expression" dxfId="8762" priority="10990" stopIfTrue="1">
      <formula>$B261="Tender Received"</formula>
    </cfRule>
  </conditionalFormatting>
  <conditionalFormatting sqref="K261 F261:I261">
    <cfRule type="expression" dxfId="8761" priority="10987" stopIfTrue="1">
      <formula>AND($B261="Tender Received",$D261&lt;=(TODAY()+3))</formula>
    </cfRule>
    <cfRule type="expression" dxfId="8760" priority="10988" stopIfTrue="1">
      <formula>$B261="Tender Received"</formula>
    </cfRule>
  </conditionalFormatting>
  <conditionalFormatting sqref="E261">
    <cfRule type="expression" dxfId="8759" priority="10985" stopIfTrue="1">
      <formula>AND($B261="Tender Received",$D261&lt;=(TODAY()+3))</formula>
    </cfRule>
    <cfRule type="expression" dxfId="8758" priority="10986" stopIfTrue="1">
      <formula>$B261="Tender Received"</formula>
    </cfRule>
  </conditionalFormatting>
  <conditionalFormatting sqref="C261:D261">
    <cfRule type="expression" dxfId="8757" priority="10983" stopIfTrue="1">
      <formula>AND($B261="Tender Received",$D261&lt;=(TODAY()+3))</formula>
    </cfRule>
    <cfRule type="expression" dxfId="8756" priority="10984" stopIfTrue="1">
      <formula>$B261="Tender Received"</formula>
    </cfRule>
  </conditionalFormatting>
  <conditionalFormatting sqref="J261">
    <cfRule type="expression" dxfId="8755" priority="10981" stopIfTrue="1">
      <formula>AND($B261="Tender Received",$D261&lt;=(TODAY()+3))</formula>
    </cfRule>
    <cfRule type="expression" dxfId="8754" priority="10982" stopIfTrue="1">
      <formula>$B261="Tender Received"</formula>
    </cfRule>
  </conditionalFormatting>
  <conditionalFormatting sqref="G261">
    <cfRule type="expression" dxfId="8753" priority="10979" stopIfTrue="1">
      <formula>AND($B261="Tender Received",$D261&lt;=(TODAY()+3))</formula>
    </cfRule>
    <cfRule type="expression" dxfId="8752" priority="10980" stopIfTrue="1">
      <formula>$B261="Tender Received"</formula>
    </cfRule>
  </conditionalFormatting>
  <conditionalFormatting sqref="L262:R262">
    <cfRule type="expression" dxfId="8751" priority="10977" stopIfTrue="1">
      <formula>AND($B262="Tender Received",$D262&lt;=(TODAY()+3))</formula>
    </cfRule>
    <cfRule type="expression" dxfId="8750" priority="10978" stopIfTrue="1">
      <formula>$B262="Tender Received"</formula>
    </cfRule>
  </conditionalFormatting>
  <conditionalFormatting sqref="F262">
    <cfRule type="expression" dxfId="8749" priority="10975" stopIfTrue="1">
      <formula>AND($B262="Tender Received",$D262&lt;=(TODAY()+3))</formula>
    </cfRule>
    <cfRule type="expression" dxfId="8748" priority="10976" stopIfTrue="1">
      <formula>$B262="Tender Received"</formula>
    </cfRule>
  </conditionalFormatting>
  <conditionalFormatting sqref="D262">
    <cfRule type="expression" dxfId="8747" priority="10973" stopIfTrue="1">
      <formula>AND($B262="Tender Received",$D262&lt;=(TODAY()+3))</formula>
    </cfRule>
    <cfRule type="expression" dxfId="8746" priority="10974" stopIfTrue="1">
      <formula>$B262="Tender Received"</formula>
    </cfRule>
  </conditionalFormatting>
  <conditionalFormatting sqref="K262 F262:I262">
    <cfRule type="expression" dxfId="8745" priority="10971" stopIfTrue="1">
      <formula>AND($B262="Tender Received",$D262&lt;=(TODAY()+3))</formula>
    </cfRule>
    <cfRule type="expression" dxfId="8744" priority="10972" stopIfTrue="1">
      <formula>$B262="Tender Received"</formula>
    </cfRule>
  </conditionalFormatting>
  <conditionalFormatting sqref="E262">
    <cfRule type="expression" dxfId="8743" priority="10969" stopIfTrue="1">
      <formula>AND($B262="Tender Received",$D262&lt;=(TODAY()+3))</formula>
    </cfRule>
    <cfRule type="expression" dxfId="8742" priority="10970" stopIfTrue="1">
      <formula>$B262="Tender Received"</formula>
    </cfRule>
  </conditionalFormatting>
  <conditionalFormatting sqref="C262:D262">
    <cfRule type="expression" dxfId="8741" priority="10967" stopIfTrue="1">
      <formula>AND($B262="Tender Received",$D262&lt;=(TODAY()+3))</formula>
    </cfRule>
    <cfRule type="expression" dxfId="8740" priority="10968" stopIfTrue="1">
      <formula>$B262="Tender Received"</formula>
    </cfRule>
  </conditionalFormatting>
  <conditionalFormatting sqref="J262">
    <cfRule type="expression" dxfId="8739" priority="10965" stopIfTrue="1">
      <formula>AND($B262="Tender Received",$D262&lt;=(TODAY()+3))</formula>
    </cfRule>
    <cfRule type="expression" dxfId="8738" priority="10966" stopIfTrue="1">
      <formula>$B262="Tender Received"</formula>
    </cfRule>
  </conditionalFormatting>
  <conditionalFormatting sqref="G262">
    <cfRule type="expression" dxfId="8737" priority="10963" stopIfTrue="1">
      <formula>AND($B262="Tender Received",$D262&lt;=(TODAY()+3))</formula>
    </cfRule>
    <cfRule type="expression" dxfId="8736" priority="10964" stopIfTrue="1">
      <formula>$B262="Tender Received"</formula>
    </cfRule>
  </conditionalFormatting>
  <conditionalFormatting sqref="L263:R263">
    <cfRule type="expression" dxfId="8735" priority="10961" stopIfTrue="1">
      <formula>AND($B263="Tender Received",$D263&lt;=(TODAY()+3))</formula>
    </cfRule>
    <cfRule type="expression" dxfId="8734" priority="10962" stopIfTrue="1">
      <formula>$B263="Tender Received"</formula>
    </cfRule>
  </conditionalFormatting>
  <conditionalFormatting sqref="F263">
    <cfRule type="expression" dxfId="8733" priority="10959" stopIfTrue="1">
      <formula>AND($B263="Tender Received",$D263&lt;=(TODAY()+3))</formula>
    </cfRule>
    <cfRule type="expression" dxfId="8732" priority="10960" stopIfTrue="1">
      <formula>$B263="Tender Received"</formula>
    </cfRule>
  </conditionalFormatting>
  <conditionalFormatting sqref="D263">
    <cfRule type="expression" dxfId="8731" priority="10957" stopIfTrue="1">
      <formula>AND($B263="Tender Received",$D263&lt;=(TODAY()+3))</formula>
    </cfRule>
    <cfRule type="expression" dxfId="8730" priority="10958" stopIfTrue="1">
      <formula>$B263="Tender Received"</formula>
    </cfRule>
  </conditionalFormatting>
  <conditionalFormatting sqref="K263 F263:I263">
    <cfRule type="expression" dxfId="8729" priority="10955" stopIfTrue="1">
      <formula>AND($B263="Tender Received",$D263&lt;=(TODAY()+3))</formula>
    </cfRule>
    <cfRule type="expression" dxfId="8728" priority="10956" stopIfTrue="1">
      <formula>$B263="Tender Received"</formula>
    </cfRule>
  </conditionalFormatting>
  <conditionalFormatting sqref="E263">
    <cfRule type="expression" dxfId="8727" priority="10953" stopIfTrue="1">
      <formula>AND($B263="Tender Received",$D263&lt;=(TODAY()+3))</formula>
    </cfRule>
    <cfRule type="expression" dxfId="8726" priority="10954" stopIfTrue="1">
      <formula>$B263="Tender Received"</formula>
    </cfRule>
  </conditionalFormatting>
  <conditionalFormatting sqref="C263:D263">
    <cfRule type="expression" dxfId="8725" priority="10951" stopIfTrue="1">
      <formula>AND($B263="Tender Received",$D263&lt;=(TODAY()+3))</formula>
    </cfRule>
    <cfRule type="expression" dxfId="8724" priority="10952" stopIfTrue="1">
      <formula>$B263="Tender Received"</formula>
    </cfRule>
  </conditionalFormatting>
  <conditionalFormatting sqref="J263">
    <cfRule type="expression" dxfId="8723" priority="10949" stopIfTrue="1">
      <formula>AND($B263="Tender Received",$D263&lt;=(TODAY()+3))</formula>
    </cfRule>
    <cfRule type="expression" dxfId="8722" priority="10950" stopIfTrue="1">
      <formula>$B263="Tender Received"</formula>
    </cfRule>
  </conditionalFormatting>
  <conditionalFormatting sqref="G263">
    <cfRule type="expression" dxfId="8721" priority="10947" stopIfTrue="1">
      <formula>AND($B263="Tender Received",$D263&lt;=(TODAY()+3))</formula>
    </cfRule>
    <cfRule type="expression" dxfId="8720" priority="10948" stopIfTrue="1">
      <formula>$B263="Tender Received"</formula>
    </cfRule>
  </conditionalFormatting>
  <conditionalFormatting sqref="L264:R264">
    <cfRule type="expression" dxfId="8719" priority="10945" stopIfTrue="1">
      <formula>AND($B264="Tender Received",$D264&lt;=(TODAY()+3))</formula>
    </cfRule>
    <cfRule type="expression" dxfId="8718" priority="10946" stopIfTrue="1">
      <formula>$B264="Tender Received"</formula>
    </cfRule>
  </conditionalFormatting>
  <conditionalFormatting sqref="F264">
    <cfRule type="expression" dxfId="8717" priority="10943" stopIfTrue="1">
      <formula>AND($B264="Tender Received",$D264&lt;=(TODAY()+3))</formula>
    </cfRule>
    <cfRule type="expression" dxfId="8716" priority="10944" stopIfTrue="1">
      <formula>$B264="Tender Received"</formula>
    </cfRule>
  </conditionalFormatting>
  <conditionalFormatting sqref="D264">
    <cfRule type="expression" dxfId="8715" priority="10941" stopIfTrue="1">
      <formula>AND($B264="Tender Received",$D264&lt;=(TODAY()+3))</formula>
    </cfRule>
    <cfRule type="expression" dxfId="8714" priority="10942" stopIfTrue="1">
      <formula>$B264="Tender Received"</formula>
    </cfRule>
  </conditionalFormatting>
  <conditionalFormatting sqref="K264 F264:I264">
    <cfRule type="expression" dxfId="8713" priority="10939" stopIfTrue="1">
      <formula>AND($B264="Tender Received",$D264&lt;=(TODAY()+3))</formula>
    </cfRule>
    <cfRule type="expression" dxfId="8712" priority="10940" stopIfTrue="1">
      <formula>$B264="Tender Received"</formula>
    </cfRule>
  </conditionalFormatting>
  <conditionalFormatting sqref="E264">
    <cfRule type="expression" dxfId="8711" priority="10937" stopIfTrue="1">
      <formula>AND($B264="Tender Received",$D264&lt;=(TODAY()+3))</formula>
    </cfRule>
    <cfRule type="expression" dxfId="8710" priority="10938" stopIfTrue="1">
      <formula>$B264="Tender Received"</formula>
    </cfRule>
  </conditionalFormatting>
  <conditionalFormatting sqref="C264:D264">
    <cfRule type="expression" dxfId="8709" priority="10935" stopIfTrue="1">
      <formula>AND($B264="Tender Received",$D264&lt;=(TODAY()+3))</formula>
    </cfRule>
    <cfRule type="expression" dxfId="8708" priority="10936" stopIfTrue="1">
      <formula>$B264="Tender Received"</formula>
    </cfRule>
  </conditionalFormatting>
  <conditionalFormatting sqref="J264">
    <cfRule type="expression" dxfId="8707" priority="10933" stopIfTrue="1">
      <formula>AND($B264="Tender Received",$D264&lt;=(TODAY()+3))</formula>
    </cfRule>
    <cfRule type="expression" dxfId="8706" priority="10934" stopIfTrue="1">
      <formula>$B264="Tender Received"</formula>
    </cfRule>
  </conditionalFormatting>
  <conditionalFormatting sqref="G264">
    <cfRule type="expression" dxfId="8705" priority="10931" stopIfTrue="1">
      <formula>AND($B264="Tender Received",$D264&lt;=(TODAY()+3))</formula>
    </cfRule>
    <cfRule type="expression" dxfId="8704" priority="10932" stopIfTrue="1">
      <formula>$B264="Tender Received"</formula>
    </cfRule>
  </conditionalFormatting>
  <conditionalFormatting sqref="L265:R265">
    <cfRule type="expression" dxfId="8703" priority="10929" stopIfTrue="1">
      <formula>AND($B265="Tender Received",$D265&lt;=(TODAY()+3))</formula>
    </cfRule>
    <cfRule type="expression" dxfId="8702" priority="10930" stopIfTrue="1">
      <formula>$B265="Tender Received"</formula>
    </cfRule>
  </conditionalFormatting>
  <conditionalFormatting sqref="F265">
    <cfRule type="expression" dxfId="8701" priority="10927" stopIfTrue="1">
      <formula>AND($B265="Tender Received",$D265&lt;=(TODAY()+3))</formula>
    </cfRule>
    <cfRule type="expression" dxfId="8700" priority="10928" stopIfTrue="1">
      <formula>$B265="Tender Received"</formula>
    </cfRule>
  </conditionalFormatting>
  <conditionalFormatting sqref="D265">
    <cfRule type="expression" dxfId="8699" priority="10925" stopIfTrue="1">
      <formula>AND($B265="Tender Received",$D265&lt;=(TODAY()+3))</formula>
    </cfRule>
    <cfRule type="expression" dxfId="8698" priority="10926" stopIfTrue="1">
      <formula>$B265="Tender Received"</formula>
    </cfRule>
  </conditionalFormatting>
  <conditionalFormatting sqref="K265 F265:I265">
    <cfRule type="expression" dxfId="8697" priority="10923" stopIfTrue="1">
      <formula>AND($B265="Tender Received",$D265&lt;=(TODAY()+3))</formula>
    </cfRule>
    <cfRule type="expression" dxfId="8696" priority="10924" stopIfTrue="1">
      <formula>$B265="Tender Received"</formula>
    </cfRule>
  </conditionalFormatting>
  <conditionalFormatting sqref="E265">
    <cfRule type="expression" dxfId="8695" priority="10921" stopIfTrue="1">
      <formula>AND($B265="Tender Received",$D265&lt;=(TODAY()+3))</formula>
    </cfRule>
    <cfRule type="expression" dxfId="8694" priority="10922" stopIfTrue="1">
      <formula>$B265="Tender Received"</formula>
    </cfRule>
  </conditionalFormatting>
  <conditionalFormatting sqref="C265:D265">
    <cfRule type="expression" dxfId="8693" priority="10919" stopIfTrue="1">
      <formula>AND($B265="Tender Received",$D265&lt;=(TODAY()+3))</formula>
    </cfRule>
    <cfRule type="expression" dxfId="8692" priority="10920" stopIfTrue="1">
      <formula>$B265="Tender Received"</formula>
    </cfRule>
  </conditionalFormatting>
  <conditionalFormatting sqref="J265">
    <cfRule type="expression" dxfId="8691" priority="10917" stopIfTrue="1">
      <formula>AND($B265="Tender Received",$D265&lt;=(TODAY()+3))</formula>
    </cfRule>
    <cfRule type="expression" dxfId="8690" priority="10918" stopIfTrue="1">
      <formula>$B265="Tender Received"</formula>
    </cfRule>
  </conditionalFormatting>
  <conditionalFormatting sqref="G265">
    <cfRule type="expression" dxfId="8689" priority="10915" stopIfTrue="1">
      <formula>AND($B265="Tender Received",$D265&lt;=(TODAY()+3))</formula>
    </cfRule>
    <cfRule type="expression" dxfId="8688" priority="10916" stopIfTrue="1">
      <formula>$B265="Tender Received"</formula>
    </cfRule>
  </conditionalFormatting>
  <conditionalFormatting sqref="L266:R266">
    <cfRule type="expression" dxfId="8687" priority="10913" stopIfTrue="1">
      <formula>AND($B266="Tender Received",$D266&lt;=(TODAY()+3))</formula>
    </cfRule>
    <cfRule type="expression" dxfId="8686" priority="10914" stopIfTrue="1">
      <formula>$B266="Tender Received"</formula>
    </cfRule>
  </conditionalFormatting>
  <conditionalFormatting sqref="F266">
    <cfRule type="expression" dxfId="8685" priority="10911" stopIfTrue="1">
      <formula>AND($B266="Tender Received",$D266&lt;=(TODAY()+3))</formula>
    </cfRule>
    <cfRule type="expression" dxfId="8684" priority="10912" stopIfTrue="1">
      <formula>$B266="Tender Received"</formula>
    </cfRule>
  </conditionalFormatting>
  <conditionalFormatting sqref="D266">
    <cfRule type="expression" dxfId="8683" priority="10909" stopIfTrue="1">
      <formula>AND($B266="Tender Received",$D266&lt;=(TODAY()+3))</formula>
    </cfRule>
    <cfRule type="expression" dxfId="8682" priority="10910" stopIfTrue="1">
      <formula>$B266="Tender Received"</formula>
    </cfRule>
  </conditionalFormatting>
  <conditionalFormatting sqref="K266 F266:I266">
    <cfRule type="expression" dxfId="8681" priority="10907" stopIfTrue="1">
      <formula>AND($B266="Tender Received",$D266&lt;=(TODAY()+3))</formula>
    </cfRule>
    <cfRule type="expression" dxfId="8680" priority="10908" stopIfTrue="1">
      <formula>$B266="Tender Received"</formula>
    </cfRule>
  </conditionalFormatting>
  <conditionalFormatting sqref="E266">
    <cfRule type="expression" dxfId="8679" priority="10905" stopIfTrue="1">
      <formula>AND($B266="Tender Received",$D266&lt;=(TODAY()+3))</formula>
    </cfRule>
    <cfRule type="expression" dxfId="8678" priority="10906" stopIfTrue="1">
      <formula>$B266="Tender Received"</formula>
    </cfRule>
  </conditionalFormatting>
  <conditionalFormatting sqref="C266:D266">
    <cfRule type="expression" dxfId="8677" priority="10903" stopIfTrue="1">
      <formula>AND($B266="Tender Received",$D266&lt;=(TODAY()+3))</formula>
    </cfRule>
    <cfRule type="expression" dxfId="8676" priority="10904" stopIfTrue="1">
      <formula>$B266="Tender Received"</formula>
    </cfRule>
  </conditionalFormatting>
  <conditionalFormatting sqref="J266">
    <cfRule type="expression" dxfId="8675" priority="10901" stopIfTrue="1">
      <formula>AND($B266="Tender Received",$D266&lt;=(TODAY()+3))</formula>
    </cfRule>
    <cfRule type="expression" dxfId="8674" priority="10902" stopIfTrue="1">
      <formula>$B266="Tender Received"</formula>
    </cfRule>
  </conditionalFormatting>
  <conditionalFormatting sqref="G266">
    <cfRule type="expression" dxfId="8673" priority="10899" stopIfTrue="1">
      <formula>AND($B266="Tender Received",$D266&lt;=(TODAY()+3))</formula>
    </cfRule>
    <cfRule type="expression" dxfId="8672" priority="10900" stopIfTrue="1">
      <formula>$B266="Tender Received"</formula>
    </cfRule>
  </conditionalFormatting>
  <conditionalFormatting sqref="L267:R267">
    <cfRule type="expression" dxfId="8671" priority="10897" stopIfTrue="1">
      <formula>AND($B267="Tender Received",$D267&lt;=(TODAY()+3))</formula>
    </cfRule>
    <cfRule type="expression" dxfId="8670" priority="10898" stopIfTrue="1">
      <formula>$B267="Tender Received"</formula>
    </cfRule>
  </conditionalFormatting>
  <conditionalFormatting sqref="F267">
    <cfRule type="expression" dxfId="8669" priority="10895" stopIfTrue="1">
      <formula>AND($B267="Tender Received",$D267&lt;=(TODAY()+3))</formula>
    </cfRule>
    <cfRule type="expression" dxfId="8668" priority="10896" stopIfTrue="1">
      <formula>$B267="Tender Received"</formula>
    </cfRule>
  </conditionalFormatting>
  <conditionalFormatting sqref="D267">
    <cfRule type="expression" dxfId="8667" priority="10893" stopIfTrue="1">
      <formula>AND($B267="Tender Received",$D267&lt;=(TODAY()+3))</formula>
    </cfRule>
    <cfRule type="expression" dxfId="8666" priority="10894" stopIfTrue="1">
      <formula>$B267="Tender Received"</formula>
    </cfRule>
  </conditionalFormatting>
  <conditionalFormatting sqref="K267 F267:I267">
    <cfRule type="expression" dxfId="8665" priority="10891" stopIfTrue="1">
      <formula>AND($B267="Tender Received",$D267&lt;=(TODAY()+3))</formula>
    </cfRule>
    <cfRule type="expression" dxfId="8664" priority="10892" stopIfTrue="1">
      <formula>$B267="Tender Received"</formula>
    </cfRule>
  </conditionalFormatting>
  <conditionalFormatting sqref="E267">
    <cfRule type="expression" dxfId="8663" priority="10889" stopIfTrue="1">
      <formula>AND($B267="Tender Received",$D267&lt;=(TODAY()+3))</formula>
    </cfRule>
    <cfRule type="expression" dxfId="8662" priority="10890" stopIfTrue="1">
      <formula>$B267="Tender Received"</formula>
    </cfRule>
  </conditionalFormatting>
  <conditionalFormatting sqref="C267:D267">
    <cfRule type="expression" dxfId="8661" priority="10887" stopIfTrue="1">
      <formula>AND($B267="Tender Received",$D267&lt;=(TODAY()+3))</formula>
    </cfRule>
    <cfRule type="expression" dxfId="8660" priority="10888" stopIfTrue="1">
      <formula>$B267="Tender Received"</formula>
    </cfRule>
  </conditionalFormatting>
  <conditionalFormatting sqref="J267">
    <cfRule type="expression" dxfId="8659" priority="10885" stopIfTrue="1">
      <formula>AND($B267="Tender Received",$D267&lt;=(TODAY()+3))</formula>
    </cfRule>
    <cfRule type="expression" dxfId="8658" priority="10886" stopIfTrue="1">
      <formula>$B267="Tender Received"</formula>
    </cfRule>
  </conditionalFormatting>
  <conditionalFormatting sqref="G267">
    <cfRule type="expression" dxfId="8657" priority="10883" stopIfTrue="1">
      <formula>AND($B267="Tender Received",$D267&lt;=(TODAY()+3))</formula>
    </cfRule>
    <cfRule type="expression" dxfId="8656" priority="10884" stopIfTrue="1">
      <formula>$B267="Tender Received"</formula>
    </cfRule>
  </conditionalFormatting>
  <conditionalFormatting sqref="L269:R269 L268:P268 R268">
    <cfRule type="expression" dxfId="8655" priority="10881" stopIfTrue="1">
      <formula>AND($B268="Tender Received",$D268&lt;=(TODAY()+3))</formula>
    </cfRule>
    <cfRule type="expression" dxfId="8654" priority="10882" stopIfTrue="1">
      <formula>$B268="Tender Received"</formula>
    </cfRule>
  </conditionalFormatting>
  <conditionalFormatting sqref="F268:F269">
    <cfRule type="expression" dxfId="8653" priority="10879" stopIfTrue="1">
      <formula>AND($B268="Tender Received",$D268&lt;=(TODAY()+3))</formula>
    </cfRule>
    <cfRule type="expression" dxfId="8652" priority="10880" stopIfTrue="1">
      <formula>$B268="Tender Received"</formula>
    </cfRule>
  </conditionalFormatting>
  <conditionalFormatting sqref="D268:D269">
    <cfRule type="expression" dxfId="8651" priority="10877" stopIfTrue="1">
      <formula>AND($B268="Tender Received",$D268&lt;=(TODAY()+3))</formula>
    </cfRule>
    <cfRule type="expression" dxfId="8650" priority="10878" stopIfTrue="1">
      <formula>$B268="Tender Received"</formula>
    </cfRule>
  </conditionalFormatting>
  <conditionalFormatting sqref="K268:K269 F269:I269 F268:G268 I268">
    <cfRule type="expression" dxfId="8649" priority="10875" stopIfTrue="1">
      <formula>AND($B268="Tender Received",$D268&lt;=(TODAY()+3))</formula>
    </cfRule>
    <cfRule type="expression" dxfId="8648" priority="10876" stopIfTrue="1">
      <formula>$B268="Tender Received"</formula>
    </cfRule>
  </conditionalFormatting>
  <conditionalFormatting sqref="E268:E269">
    <cfRule type="expression" dxfId="8647" priority="10873" stopIfTrue="1">
      <formula>AND($B268="Tender Received",$D268&lt;=(TODAY()+3))</formula>
    </cfRule>
    <cfRule type="expression" dxfId="8646" priority="10874" stopIfTrue="1">
      <formula>$B268="Tender Received"</formula>
    </cfRule>
  </conditionalFormatting>
  <conditionalFormatting sqref="C268:D269">
    <cfRule type="expression" dxfId="8645" priority="10871" stopIfTrue="1">
      <formula>AND($B268="Tender Received",$D268&lt;=(TODAY()+3))</formula>
    </cfRule>
    <cfRule type="expression" dxfId="8644" priority="10872" stopIfTrue="1">
      <formula>$B268="Tender Received"</formula>
    </cfRule>
  </conditionalFormatting>
  <conditionalFormatting sqref="J268:J269">
    <cfRule type="expression" dxfId="8643" priority="10869" stopIfTrue="1">
      <formula>AND($B268="Tender Received",$D268&lt;=(TODAY()+3))</formula>
    </cfRule>
    <cfRule type="expression" dxfId="8642" priority="10870" stopIfTrue="1">
      <formula>$B268="Tender Received"</formula>
    </cfRule>
  </conditionalFormatting>
  <conditionalFormatting sqref="G268:G269">
    <cfRule type="expression" dxfId="8641" priority="10867" stopIfTrue="1">
      <formula>AND($B268="Tender Received",$D268&lt;=(TODAY()+3))</formula>
    </cfRule>
    <cfRule type="expression" dxfId="8640" priority="10868" stopIfTrue="1">
      <formula>$B268="Tender Received"</formula>
    </cfRule>
  </conditionalFormatting>
  <conditionalFormatting sqref="L270:R270">
    <cfRule type="expression" dxfId="8639" priority="10825" stopIfTrue="1">
      <formula>AND($B270="Tender Received",$D270&lt;=(TODAY()+3))</formula>
    </cfRule>
    <cfRule type="expression" dxfId="8638" priority="10826" stopIfTrue="1">
      <formula>$B270="Tender Received"</formula>
    </cfRule>
  </conditionalFormatting>
  <conditionalFormatting sqref="F270">
    <cfRule type="expression" dxfId="8637" priority="10823" stopIfTrue="1">
      <formula>AND($B270="Tender Received",$D270&lt;=(TODAY()+3))</formula>
    </cfRule>
    <cfRule type="expression" dxfId="8636" priority="10824" stopIfTrue="1">
      <formula>$B270="Tender Received"</formula>
    </cfRule>
  </conditionalFormatting>
  <conditionalFormatting sqref="D270">
    <cfRule type="expression" dxfId="8635" priority="10821" stopIfTrue="1">
      <formula>AND($B270="Tender Received",$D270&lt;=(TODAY()+3))</formula>
    </cfRule>
    <cfRule type="expression" dxfId="8634" priority="10822" stopIfTrue="1">
      <formula>$B270="Tender Received"</formula>
    </cfRule>
  </conditionalFormatting>
  <conditionalFormatting sqref="K270 F270:I270">
    <cfRule type="expression" dxfId="8633" priority="10819" stopIfTrue="1">
      <formula>AND($B270="Tender Received",$D270&lt;=(TODAY()+3))</formula>
    </cfRule>
    <cfRule type="expression" dxfId="8632" priority="10820" stopIfTrue="1">
      <formula>$B270="Tender Received"</formula>
    </cfRule>
  </conditionalFormatting>
  <conditionalFormatting sqref="E270">
    <cfRule type="expression" dxfId="8631" priority="10817" stopIfTrue="1">
      <formula>AND($B270="Tender Received",$D270&lt;=(TODAY()+3))</formula>
    </cfRule>
    <cfRule type="expression" dxfId="8630" priority="10818" stopIfTrue="1">
      <formula>$B270="Tender Received"</formula>
    </cfRule>
  </conditionalFormatting>
  <conditionalFormatting sqref="C270:D270">
    <cfRule type="expression" dxfId="8629" priority="10815" stopIfTrue="1">
      <formula>AND($B270="Tender Received",$D270&lt;=(TODAY()+3))</formula>
    </cfRule>
    <cfRule type="expression" dxfId="8628" priority="10816" stopIfTrue="1">
      <formula>$B270="Tender Received"</formula>
    </cfRule>
  </conditionalFormatting>
  <conditionalFormatting sqref="J270">
    <cfRule type="expression" dxfId="8627" priority="10813" stopIfTrue="1">
      <formula>AND($B270="Tender Received",$D270&lt;=(TODAY()+3))</formula>
    </cfRule>
    <cfRule type="expression" dxfId="8626" priority="10814" stopIfTrue="1">
      <formula>$B270="Tender Received"</formula>
    </cfRule>
  </conditionalFormatting>
  <conditionalFormatting sqref="G270">
    <cfRule type="expression" dxfId="8625" priority="10811" stopIfTrue="1">
      <formula>AND($B270="Tender Received",$D270&lt;=(TODAY()+3))</formula>
    </cfRule>
    <cfRule type="expression" dxfId="8624" priority="10812" stopIfTrue="1">
      <formula>$B270="Tender Received"</formula>
    </cfRule>
  </conditionalFormatting>
  <conditionalFormatting sqref="L271:R272">
    <cfRule type="expression" dxfId="8623" priority="10809" stopIfTrue="1">
      <formula>AND($B271="Tender Received",$D271&lt;=(TODAY()+3))</formula>
    </cfRule>
    <cfRule type="expression" dxfId="8622" priority="10810" stopIfTrue="1">
      <formula>$B271="Tender Received"</formula>
    </cfRule>
  </conditionalFormatting>
  <conditionalFormatting sqref="F271:F272">
    <cfRule type="expression" dxfId="8621" priority="10807" stopIfTrue="1">
      <formula>AND($B271="Tender Received",$D271&lt;=(TODAY()+3))</formula>
    </cfRule>
    <cfRule type="expression" dxfId="8620" priority="10808" stopIfTrue="1">
      <formula>$B271="Tender Received"</formula>
    </cfRule>
  </conditionalFormatting>
  <conditionalFormatting sqref="D271:D272">
    <cfRule type="expression" dxfId="8619" priority="10805" stopIfTrue="1">
      <formula>AND($B271="Tender Received",$D271&lt;=(TODAY()+3))</formula>
    </cfRule>
    <cfRule type="expression" dxfId="8618" priority="10806" stopIfTrue="1">
      <formula>$B271="Tender Received"</formula>
    </cfRule>
  </conditionalFormatting>
  <conditionalFormatting sqref="K271:K272 F271:I272">
    <cfRule type="expression" dxfId="8617" priority="10803" stopIfTrue="1">
      <formula>AND($B271="Tender Received",$D271&lt;=(TODAY()+3))</formula>
    </cfRule>
    <cfRule type="expression" dxfId="8616" priority="10804" stopIfTrue="1">
      <formula>$B271="Tender Received"</formula>
    </cfRule>
  </conditionalFormatting>
  <conditionalFormatting sqref="E271:E272">
    <cfRule type="expression" dxfId="8615" priority="10801" stopIfTrue="1">
      <formula>AND($B271="Tender Received",$D271&lt;=(TODAY()+3))</formula>
    </cfRule>
    <cfRule type="expression" dxfId="8614" priority="10802" stopIfTrue="1">
      <formula>$B271="Tender Received"</formula>
    </cfRule>
  </conditionalFormatting>
  <conditionalFormatting sqref="C271:D272">
    <cfRule type="expression" dxfId="8613" priority="10799" stopIfTrue="1">
      <formula>AND($B271="Tender Received",$D271&lt;=(TODAY()+3))</formula>
    </cfRule>
    <cfRule type="expression" dxfId="8612" priority="10800" stopIfTrue="1">
      <formula>$B271="Tender Received"</formula>
    </cfRule>
  </conditionalFormatting>
  <conditionalFormatting sqref="J271:J272">
    <cfRule type="expression" dxfId="8611" priority="10797" stopIfTrue="1">
      <formula>AND($B271="Tender Received",$D271&lt;=(TODAY()+3))</formula>
    </cfRule>
    <cfRule type="expression" dxfId="8610" priority="10798" stopIfTrue="1">
      <formula>$B271="Tender Received"</formula>
    </cfRule>
  </conditionalFormatting>
  <conditionalFormatting sqref="G271:G272">
    <cfRule type="expression" dxfId="8609" priority="10795" stopIfTrue="1">
      <formula>AND($B271="Tender Received",$D271&lt;=(TODAY()+3))</formula>
    </cfRule>
    <cfRule type="expression" dxfId="8608" priority="10796" stopIfTrue="1">
      <formula>$B271="Tender Received"</formula>
    </cfRule>
  </conditionalFormatting>
  <conditionalFormatting sqref="L273:R273">
    <cfRule type="expression" dxfId="8607" priority="10793" stopIfTrue="1">
      <formula>AND($B273="Tender Received",$D273&lt;=(TODAY()+3))</formula>
    </cfRule>
    <cfRule type="expression" dxfId="8606" priority="10794" stopIfTrue="1">
      <formula>$B273="Tender Received"</formula>
    </cfRule>
  </conditionalFormatting>
  <conditionalFormatting sqref="F273">
    <cfRule type="expression" dxfId="8605" priority="10791" stopIfTrue="1">
      <formula>AND($B273="Tender Received",$D273&lt;=(TODAY()+3))</formula>
    </cfRule>
    <cfRule type="expression" dxfId="8604" priority="10792" stopIfTrue="1">
      <formula>$B273="Tender Received"</formula>
    </cfRule>
  </conditionalFormatting>
  <conditionalFormatting sqref="D273">
    <cfRule type="expression" dxfId="8603" priority="10789" stopIfTrue="1">
      <formula>AND($B273="Tender Received",$D273&lt;=(TODAY()+3))</formula>
    </cfRule>
    <cfRule type="expression" dxfId="8602" priority="10790" stopIfTrue="1">
      <formula>$B273="Tender Received"</formula>
    </cfRule>
  </conditionalFormatting>
  <conditionalFormatting sqref="K273 F273:I273">
    <cfRule type="expression" dxfId="8601" priority="10787" stopIfTrue="1">
      <formula>AND($B273="Tender Received",$D273&lt;=(TODAY()+3))</formula>
    </cfRule>
    <cfRule type="expression" dxfId="8600" priority="10788" stopIfTrue="1">
      <formula>$B273="Tender Received"</formula>
    </cfRule>
  </conditionalFormatting>
  <conditionalFormatting sqref="E273">
    <cfRule type="expression" dxfId="8599" priority="10785" stopIfTrue="1">
      <formula>AND($B273="Tender Received",$D273&lt;=(TODAY()+3))</formula>
    </cfRule>
    <cfRule type="expression" dxfId="8598" priority="10786" stopIfTrue="1">
      <formula>$B273="Tender Received"</formula>
    </cfRule>
  </conditionalFormatting>
  <conditionalFormatting sqref="C273:D273">
    <cfRule type="expression" dxfId="8597" priority="10783" stopIfTrue="1">
      <formula>AND($B273="Tender Received",$D273&lt;=(TODAY()+3))</formula>
    </cfRule>
    <cfRule type="expression" dxfId="8596" priority="10784" stopIfTrue="1">
      <formula>$B273="Tender Received"</formula>
    </cfRule>
  </conditionalFormatting>
  <conditionalFormatting sqref="J273">
    <cfRule type="expression" dxfId="8595" priority="10781" stopIfTrue="1">
      <formula>AND($B273="Tender Received",$D273&lt;=(TODAY()+3))</formula>
    </cfRule>
    <cfRule type="expression" dxfId="8594" priority="10782" stopIfTrue="1">
      <formula>$B273="Tender Received"</formula>
    </cfRule>
  </conditionalFormatting>
  <conditionalFormatting sqref="G273">
    <cfRule type="expression" dxfId="8593" priority="10779" stopIfTrue="1">
      <formula>AND($B273="Tender Received",$D273&lt;=(TODAY()+3))</formula>
    </cfRule>
    <cfRule type="expression" dxfId="8592" priority="10780" stopIfTrue="1">
      <formula>$B273="Tender Received"</formula>
    </cfRule>
  </conditionalFormatting>
  <conditionalFormatting sqref="L274:R275">
    <cfRule type="expression" dxfId="8591" priority="10777" stopIfTrue="1">
      <formula>AND($B274="Tender Received",$D274&lt;=(TODAY()+3))</formula>
    </cfRule>
    <cfRule type="expression" dxfId="8590" priority="10778" stopIfTrue="1">
      <formula>$B274="Tender Received"</formula>
    </cfRule>
  </conditionalFormatting>
  <conditionalFormatting sqref="F274:F275">
    <cfRule type="expression" dxfId="8589" priority="10775" stopIfTrue="1">
      <formula>AND($B274="Tender Received",$D274&lt;=(TODAY()+3))</formula>
    </cfRule>
    <cfRule type="expression" dxfId="8588" priority="10776" stopIfTrue="1">
      <formula>$B274="Tender Received"</formula>
    </cfRule>
  </conditionalFormatting>
  <conditionalFormatting sqref="D274:D275">
    <cfRule type="expression" dxfId="8587" priority="10773" stopIfTrue="1">
      <formula>AND($B274="Tender Received",$D274&lt;=(TODAY()+3))</formula>
    </cfRule>
    <cfRule type="expression" dxfId="8586" priority="10774" stopIfTrue="1">
      <formula>$B274="Tender Received"</formula>
    </cfRule>
  </conditionalFormatting>
  <conditionalFormatting sqref="K274:K275 F274:I275">
    <cfRule type="expression" dxfId="8585" priority="10771" stopIfTrue="1">
      <formula>AND($B274="Tender Received",$D274&lt;=(TODAY()+3))</formula>
    </cfRule>
    <cfRule type="expression" dxfId="8584" priority="10772" stopIfTrue="1">
      <formula>$B274="Tender Received"</formula>
    </cfRule>
  </conditionalFormatting>
  <conditionalFormatting sqref="E274:E275">
    <cfRule type="expression" dxfId="8583" priority="10769" stopIfTrue="1">
      <formula>AND($B274="Tender Received",$D274&lt;=(TODAY()+3))</formula>
    </cfRule>
    <cfRule type="expression" dxfId="8582" priority="10770" stopIfTrue="1">
      <formula>$B274="Tender Received"</formula>
    </cfRule>
  </conditionalFormatting>
  <conditionalFormatting sqref="C274:D275">
    <cfRule type="expression" dxfId="8581" priority="10767" stopIfTrue="1">
      <formula>AND($B274="Tender Received",$D274&lt;=(TODAY()+3))</formula>
    </cfRule>
    <cfRule type="expression" dxfId="8580" priority="10768" stopIfTrue="1">
      <formula>$B274="Tender Received"</formula>
    </cfRule>
  </conditionalFormatting>
  <conditionalFormatting sqref="J274:J275">
    <cfRule type="expression" dxfId="8579" priority="10765" stopIfTrue="1">
      <formula>AND($B274="Tender Received",$D274&lt;=(TODAY()+3))</formula>
    </cfRule>
    <cfRule type="expression" dxfId="8578" priority="10766" stopIfTrue="1">
      <formula>$B274="Tender Received"</formula>
    </cfRule>
  </conditionalFormatting>
  <conditionalFormatting sqref="G274:G275">
    <cfRule type="expression" dxfId="8577" priority="10763" stopIfTrue="1">
      <formula>AND($B274="Tender Received",$D274&lt;=(TODAY()+3))</formula>
    </cfRule>
    <cfRule type="expression" dxfId="8576" priority="10764" stopIfTrue="1">
      <formula>$B274="Tender Received"</formula>
    </cfRule>
  </conditionalFormatting>
  <conditionalFormatting sqref="L276:R276">
    <cfRule type="expression" dxfId="8575" priority="10761" stopIfTrue="1">
      <formula>AND($B276="Tender Received",$D276&lt;=(TODAY()+3))</formula>
    </cfRule>
    <cfRule type="expression" dxfId="8574" priority="10762" stopIfTrue="1">
      <formula>$B276="Tender Received"</formula>
    </cfRule>
  </conditionalFormatting>
  <conditionalFormatting sqref="F276">
    <cfRule type="expression" dxfId="8573" priority="10759" stopIfTrue="1">
      <formula>AND($B276="Tender Received",$D276&lt;=(TODAY()+3))</formula>
    </cfRule>
    <cfRule type="expression" dxfId="8572" priority="10760" stopIfTrue="1">
      <formula>$B276="Tender Received"</formula>
    </cfRule>
  </conditionalFormatting>
  <conditionalFormatting sqref="D276">
    <cfRule type="expression" dxfId="8571" priority="10757" stopIfTrue="1">
      <formula>AND($B276="Tender Received",$D276&lt;=(TODAY()+3))</formula>
    </cfRule>
    <cfRule type="expression" dxfId="8570" priority="10758" stopIfTrue="1">
      <formula>$B276="Tender Received"</formula>
    </cfRule>
  </conditionalFormatting>
  <conditionalFormatting sqref="K276 F276:I276">
    <cfRule type="expression" dxfId="8569" priority="10755" stopIfTrue="1">
      <formula>AND($B276="Tender Received",$D276&lt;=(TODAY()+3))</formula>
    </cfRule>
    <cfRule type="expression" dxfId="8568" priority="10756" stopIfTrue="1">
      <formula>$B276="Tender Received"</formula>
    </cfRule>
  </conditionalFormatting>
  <conditionalFormatting sqref="E276">
    <cfRule type="expression" dxfId="8567" priority="10753" stopIfTrue="1">
      <formula>AND($B276="Tender Received",$D276&lt;=(TODAY()+3))</formula>
    </cfRule>
    <cfRule type="expression" dxfId="8566" priority="10754" stopIfTrue="1">
      <formula>$B276="Tender Received"</formula>
    </cfRule>
  </conditionalFormatting>
  <conditionalFormatting sqref="C276:D276">
    <cfRule type="expression" dxfId="8565" priority="10751" stopIfTrue="1">
      <formula>AND($B276="Tender Received",$D276&lt;=(TODAY()+3))</formula>
    </cfRule>
    <cfRule type="expression" dxfId="8564" priority="10752" stopIfTrue="1">
      <formula>$B276="Tender Received"</formula>
    </cfRule>
  </conditionalFormatting>
  <conditionalFormatting sqref="J276">
    <cfRule type="expression" dxfId="8563" priority="10749" stopIfTrue="1">
      <formula>AND($B276="Tender Received",$D276&lt;=(TODAY()+3))</formula>
    </cfRule>
    <cfRule type="expression" dxfId="8562" priority="10750" stopIfTrue="1">
      <formula>$B276="Tender Received"</formula>
    </cfRule>
  </conditionalFormatting>
  <conditionalFormatting sqref="G276">
    <cfRule type="expression" dxfId="8561" priority="10747" stopIfTrue="1">
      <formula>AND($B276="Tender Received",$D276&lt;=(TODAY()+3))</formula>
    </cfRule>
    <cfRule type="expression" dxfId="8560" priority="10748" stopIfTrue="1">
      <formula>$B276="Tender Received"</formula>
    </cfRule>
  </conditionalFormatting>
  <conditionalFormatting sqref="L277:R277">
    <cfRule type="expression" dxfId="8559" priority="10743" stopIfTrue="1">
      <formula>AND($B277="Tender Received",$D277&lt;=(TODAY()+3))</formula>
    </cfRule>
    <cfRule type="expression" dxfId="8558" priority="10744" stopIfTrue="1">
      <formula>$B277="Tender Received"</formula>
    </cfRule>
  </conditionalFormatting>
  <conditionalFormatting sqref="F277">
    <cfRule type="expression" dxfId="8557" priority="10741" stopIfTrue="1">
      <formula>AND($B277="Tender Received",$D277&lt;=(TODAY()+3))</formula>
    </cfRule>
    <cfRule type="expression" dxfId="8556" priority="10742" stopIfTrue="1">
      <formula>$B277="Tender Received"</formula>
    </cfRule>
  </conditionalFormatting>
  <conditionalFormatting sqref="D277">
    <cfRule type="expression" dxfId="8555" priority="10739" stopIfTrue="1">
      <formula>AND($B277="Tender Received",$D277&lt;=(TODAY()+3))</formula>
    </cfRule>
    <cfRule type="expression" dxfId="8554" priority="10740" stopIfTrue="1">
      <formula>$B277="Tender Received"</formula>
    </cfRule>
  </conditionalFormatting>
  <conditionalFormatting sqref="K277 F277:I277">
    <cfRule type="expression" dxfId="8553" priority="10737" stopIfTrue="1">
      <formula>AND($B277="Tender Received",$D277&lt;=(TODAY()+3))</formula>
    </cfRule>
    <cfRule type="expression" dxfId="8552" priority="10738" stopIfTrue="1">
      <formula>$B277="Tender Received"</formula>
    </cfRule>
  </conditionalFormatting>
  <conditionalFormatting sqref="E277">
    <cfRule type="expression" dxfId="8551" priority="10735" stopIfTrue="1">
      <formula>AND($B277="Tender Received",$D277&lt;=(TODAY()+3))</formula>
    </cfRule>
    <cfRule type="expression" dxfId="8550" priority="10736" stopIfTrue="1">
      <formula>$B277="Tender Received"</formula>
    </cfRule>
  </conditionalFormatting>
  <conditionalFormatting sqref="C277:D277">
    <cfRule type="expression" dxfId="8549" priority="10733" stopIfTrue="1">
      <formula>AND($B277="Tender Received",$D277&lt;=(TODAY()+3))</formula>
    </cfRule>
    <cfRule type="expression" dxfId="8548" priority="10734" stopIfTrue="1">
      <formula>$B277="Tender Received"</formula>
    </cfRule>
  </conditionalFormatting>
  <conditionalFormatting sqref="J277">
    <cfRule type="expression" dxfId="8547" priority="10731" stopIfTrue="1">
      <formula>AND($B277="Tender Received",$D277&lt;=(TODAY()+3))</formula>
    </cfRule>
    <cfRule type="expression" dxfId="8546" priority="10732" stopIfTrue="1">
      <formula>$B277="Tender Received"</formula>
    </cfRule>
  </conditionalFormatting>
  <conditionalFormatting sqref="G277">
    <cfRule type="expression" dxfId="8545" priority="10729" stopIfTrue="1">
      <formula>AND($B277="Tender Received",$D277&lt;=(TODAY()+3))</formula>
    </cfRule>
    <cfRule type="expression" dxfId="8544" priority="10730" stopIfTrue="1">
      <formula>$B277="Tender Received"</formula>
    </cfRule>
  </conditionalFormatting>
  <conditionalFormatting sqref="L275:R281">
    <cfRule type="expression" dxfId="8543" priority="10727" stopIfTrue="1">
      <formula>AND($B275="Tender Received",$D275&lt;=(TODAY()+3))</formula>
    </cfRule>
    <cfRule type="expression" dxfId="8542" priority="10728" stopIfTrue="1">
      <formula>$B275="Tender Received"</formula>
    </cfRule>
  </conditionalFormatting>
  <conditionalFormatting sqref="F275:F281">
    <cfRule type="expression" dxfId="8541" priority="10725" stopIfTrue="1">
      <formula>AND($B275="Tender Received",$D275&lt;=(TODAY()+3))</formula>
    </cfRule>
    <cfRule type="expression" dxfId="8540" priority="10726" stopIfTrue="1">
      <formula>$B275="Tender Received"</formula>
    </cfRule>
  </conditionalFormatting>
  <conditionalFormatting sqref="D275:D281">
    <cfRule type="expression" dxfId="8539" priority="10723" stopIfTrue="1">
      <formula>AND($B275="Tender Received",$D275&lt;=(TODAY()+3))</formula>
    </cfRule>
    <cfRule type="expression" dxfId="8538" priority="10724" stopIfTrue="1">
      <formula>$B275="Tender Received"</formula>
    </cfRule>
  </conditionalFormatting>
  <conditionalFormatting sqref="F275:I281 K275:K281">
    <cfRule type="expression" dxfId="8537" priority="10721" stopIfTrue="1">
      <formula>AND($B275="Tender Received",$D275&lt;=(TODAY()+3))</formula>
    </cfRule>
    <cfRule type="expression" dxfId="8536" priority="10722" stopIfTrue="1">
      <formula>$B275="Tender Received"</formula>
    </cfRule>
  </conditionalFormatting>
  <conditionalFormatting sqref="E275:E281">
    <cfRule type="expression" dxfId="8535" priority="10719" stopIfTrue="1">
      <formula>AND($B275="Tender Received",$D275&lt;=(TODAY()+3))</formula>
    </cfRule>
    <cfRule type="expression" dxfId="8534" priority="10720" stopIfTrue="1">
      <formula>$B275="Tender Received"</formula>
    </cfRule>
  </conditionalFormatting>
  <conditionalFormatting sqref="C275:D281">
    <cfRule type="expression" dxfId="8533" priority="10717" stopIfTrue="1">
      <formula>AND($B275="Tender Received",$D275&lt;=(TODAY()+3))</formula>
    </cfRule>
    <cfRule type="expression" dxfId="8532" priority="10718" stopIfTrue="1">
      <formula>$B275="Tender Received"</formula>
    </cfRule>
  </conditionalFormatting>
  <conditionalFormatting sqref="J275:J281">
    <cfRule type="expression" dxfId="8531" priority="10715" stopIfTrue="1">
      <formula>AND($B275="Tender Received",$D275&lt;=(TODAY()+3))</formula>
    </cfRule>
    <cfRule type="expression" dxfId="8530" priority="10716" stopIfTrue="1">
      <formula>$B275="Tender Received"</formula>
    </cfRule>
  </conditionalFormatting>
  <conditionalFormatting sqref="G275:G281">
    <cfRule type="expression" dxfId="8529" priority="10713" stopIfTrue="1">
      <formula>AND($B275="Tender Received",$D275&lt;=(TODAY()+3))</formula>
    </cfRule>
    <cfRule type="expression" dxfId="8528" priority="10714" stopIfTrue="1">
      <formula>$B275="Tender Received"</formula>
    </cfRule>
  </conditionalFormatting>
  <conditionalFormatting sqref="L282:R282">
    <cfRule type="expression" dxfId="8527" priority="10711" stopIfTrue="1">
      <formula>AND($B282="Tender Received",$D282&lt;=(TODAY()+3))</formula>
    </cfRule>
    <cfRule type="expression" dxfId="8526" priority="10712" stopIfTrue="1">
      <formula>$B282="Tender Received"</formula>
    </cfRule>
  </conditionalFormatting>
  <conditionalFormatting sqref="F282">
    <cfRule type="expression" dxfId="8525" priority="10709" stopIfTrue="1">
      <formula>AND($B282="Tender Received",$D282&lt;=(TODAY()+3))</formula>
    </cfRule>
    <cfRule type="expression" dxfId="8524" priority="10710" stopIfTrue="1">
      <formula>$B282="Tender Received"</formula>
    </cfRule>
  </conditionalFormatting>
  <conditionalFormatting sqref="D282">
    <cfRule type="expression" dxfId="8523" priority="10707" stopIfTrue="1">
      <formula>AND($B282="Tender Received",$D282&lt;=(TODAY()+3))</formula>
    </cfRule>
    <cfRule type="expression" dxfId="8522" priority="10708" stopIfTrue="1">
      <formula>$B282="Tender Received"</formula>
    </cfRule>
  </conditionalFormatting>
  <conditionalFormatting sqref="F282:I282 K282">
    <cfRule type="expression" dxfId="8521" priority="10705" stopIfTrue="1">
      <formula>AND($B282="Tender Received",$D282&lt;=(TODAY()+3))</formula>
    </cfRule>
    <cfRule type="expression" dxfId="8520" priority="10706" stopIfTrue="1">
      <formula>$B282="Tender Received"</formula>
    </cfRule>
  </conditionalFormatting>
  <conditionalFormatting sqref="E282">
    <cfRule type="expression" dxfId="8519" priority="10703" stopIfTrue="1">
      <formula>AND($B282="Tender Received",$D282&lt;=(TODAY()+3))</formula>
    </cfRule>
    <cfRule type="expression" dxfId="8518" priority="10704" stopIfTrue="1">
      <formula>$B282="Tender Received"</formula>
    </cfRule>
  </conditionalFormatting>
  <conditionalFormatting sqref="C282:D282">
    <cfRule type="expression" dxfId="8517" priority="10701" stopIfTrue="1">
      <formula>AND($B282="Tender Received",$D282&lt;=(TODAY()+3))</formula>
    </cfRule>
    <cfRule type="expression" dxfId="8516" priority="10702" stopIfTrue="1">
      <formula>$B282="Tender Received"</formula>
    </cfRule>
  </conditionalFormatting>
  <conditionalFormatting sqref="J282">
    <cfRule type="expression" dxfId="8515" priority="10699" stopIfTrue="1">
      <formula>AND($B282="Tender Received",$D282&lt;=(TODAY()+3))</formula>
    </cfRule>
    <cfRule type="expression" dxfId="8514" priority="10700" stopIfTrue="1">
      <formula>$B282="Tender Received"</formula>
    </cfRule>
  </conditionalFormatting>
  <conditionalFormatting sqref="G282">
    <cfRule type="expression" dxfId="8513" priority="10697" stopIfTrue="1">
      <formula>AND($B282="Tender Received",$D282&lt;=(TODAY()+3))</formula>
    </cfRule>
    <cfRule type="expression" dxfId="8512" priority="10698" stopIfTrue="1">
      <formula>$B282="Tender Received"</formula>
    </cfRule>
  </conditionalFormatting>
  <conditionalFormatting sqref="L283:Q283">
    <cfRule type="expression" dxfId="8511" priority="10695" stopIfTrue="1">
      <formula>AND($B283="Tender Received",$D283&lt;=(TODAY()+3))</formula>
    </cfRule>
    <cfRule type="expression" dxfId="8510" priority="10696" stopIfTrue="1">
      <formula>$B283="Tender Received"</formula>
    </cfRule>
  </conditionalFormatting>
  <conditionalFormatting sqref="F283">
    <cfRule type="expression" dxfId="8509" priority="10693" stopIfTrue="1">
      <formula>AND($B283="Tender Received",$D283&lt;=(TODAY()+3))</formula>
    </cfRule>
    <cfRule type="expression" dxfId="8508" priority="10694" stopIfTrue="1">
      <formula>$B283="Tender Received"</formula>
    </cfRule>
  </conditionalFormatting>
  <conditionalFormatting sqref="D283">
    <cfRule type="expression" dxfId="8507" priority="10691" stopIfTrue="1">
      <formula>AND($B283="Tender Received",$D283&lt;=(TODAY()+3))</formula>
    </cfRule>
    <cfRule type="expression" dxfId="8506" priority="10692" stopIfTrue="1">
      <formula>$B283="Tender Received"</formula>
    </cfRule>
  </conditionalFormatting>
  <conditionalFormatting sqref="F283:I283 K283">
    <cfRule type="expression" dxfId="8505" priority="10689" stopIfTrue="1">
      <formula>AND($B283="Tender Received",$D283&lt;=(TODAY()+3))</formula>
    </cfRule>
    <cfRule type="expression" dxfId="8504" priority="10690" stopIfTrue="1">
      <formula>$B283="Tender Received"</formula>
    </cfRule>
  </conditionalFormatting>
  <conditionalFormatting sqref="E283">
    <cfRule type="expression" dxfId="8503" priority="10687" stopIfTrue="1">
      <formula>AND($B283="Tender Received",$D283&lt;=(TODAY()+3))</formula>
    </cfRule>
    <cfRule type="expression" dxfId="8502" priority="10688" stopIfTrue="1">
      <formula>$B283="Tender Received"</formula>
    </cfRule>
  </conditionalFormatting>
  <conditionalFormatting sqref="C283:D283">
    <cfRule type="expression" dxfId="8501" priority="10685" stopIfTrue="1">
      <formula>AND($B283="Tender Received",$D283&lt;=(TODAY()+3))</formula>
    </cfRule>
    <cfRule type="expression" dxfId="8500" priority="10686" stopIfTrue="1">
      <formula>$B283="Tender Received"</formula>
    </cfRule>
  </conditionalFormatting>
  <conditionalFormatting sqref="J283">
    <cfRule type="expression" dxfId="8499" priority="10683" stopIfTrue="1">
      <formula>AND($B283="Tender Received",$D283&lt;=(TODAY()+3))</formula>
    </cfRule>
    <cfRule type="expression" dxfId="8498" priority="10684" stopIfTrue="1">
      <formula>$B283="Tender Received"</formula>
    </cfRule>
  </conditionalFormatting>
  <conditionalFormatting sqref="G283">
    <cfRule type="expression" dxfId="8497" priority="10681" stopIfTrue="1">
      <formula>AND($B283="Tender Received",$D283&lt;=(TODAY()+3))</formula>
    </cfRule>
    <cfRule type="expression" dxfId="8496" priority="10682" stopIfTrue="1">
      <formula>$B283="Tender Received"</formula>
    </cfRule>
  </conditionalFormatting>
  <conditionalFormatting sqref="R281:R288">
    <cfRule type="expression" dxfId="8495" priority="10679" stopIfTrue="1">
      <formula>AND($B281="Tender Received",$D281&lt;=(TODAY()+3))</formula>
    </cfRule>
    <cfRule type="expression" dxfId="8494" priority="10680" stopIfTrue="1">
      <formula>$B281="Tender Received"</formula>
    </cfRule>
  </conditionalFormatting>
  <conditionalFormatting sqref="L281:Q288">
    <cfRule type="expression" dxfId="8493" priority="10677" stopIfTrue="1">
      <formula>AND($B281="Tender Received",$D281&lt;=(TODAY()+3))</formula>
    </cfRule>
    <cfRule type="expression" dxfId="8492" priority="10678" stopIfTrue="1">
      <formula>$B281="Tender Received"</formula>
    </cfRule>
  </conditionalFormatting>
  <conditionalFormatting sqref="F281:F288">
    <cfRule type="expression" dxfId="8491" priority="10675" stopIfTrue="1">
      <formula>AND($B281="Tender Received",$D281&lt;=(TODAY()+3))</formula>
    </cfRule>
    <cfRule type="expression" dxfId="8490" priority="10676" stopIfTrue="1">
      <formula>$B281="Tender Received"</formula>
    </cfRule>
  </conditionalFormatting>
  <conditionalFormatting sqref="D281:D288">
    <cfRule type="expression" dxfId="8489" priority="10673" stopIfTrue="1">
      <formula>AND($B281="Tender Received",$D281&lt;=(TODAY()+3))</formula>
    </cfRule>
    <cfRule type="expression" dxfId="8488" priority="10674" stopIfTrue="1">
      <formula>$B281="Tender Received"</formula>
    </cfRule>
  </conditionalFormatting>
  <conditionalFormatting sqref="F281:I288 K281:K288">
    <cfRule type="expression" dxfId="8487" priority="10671" stopIfTrue="1">
      <formula>AND($B281="Tender Received",$D281&lt;=(TODAY()+3))</formula>
    </cfRule>
    <cfRule type="expression" dxfId="8486" priority="10672" stopIfTrue="1">
      <formula>$B281="Tender Received"</formula>
    </cfRule>
  </conditionalFormatting>
  <conditionalFormatting sqref="E281:E288">
    <cfRule type="expression" dxfId="8485" priority="10669" stopIfTrue="1">
      <formula>AND($B281="Tender Received",$D281&lt;=(TODAY()+3))</formula>
    </cfRule>
    <cfRule type="expression" dxfId="8484" priority="10670" stopIfTrue="1">
      <formula>$B281="Tender Received"</formula>
    </cfRule>
  </conditionalFormatting>
  <conditionalFormatting sqref="C281:D288">
    <cfRule type="expression" dxfId="8483" priority="10667" stopIfTrue="1">
      <formula>AND($B281="Tender Received",$D281&lt;=(TODAY()+3))</formula>
    </cfRule>
    <cfRule type="expression" dxfId="8482" priority="10668" stopIfTrue="1">
      <formula>$B281="Tender Received"</formula>
    </cfRule>
  </conditionalFormatting>
  <conditionalFormatting sqref="J281:J288">
    <cfRule type="expression" dxfId="8481" priority="10665" stopIfTrue="1">
      <formula>AND($B281="Tender Received",$D281&lt;=(TODAY()+3))</formula>
    </cfRule>
    <cfRule type="expression" dxfId="8480" priority="10666" stopIfTrue="1">
      <formula>$B281="Tender Received"</formula>
    </cfRule>
  </conditionalFormatting>
  <conditionalFormatting sqref="G281:G288">
    <cfRule type="expression" dxfId="8479" priority="10663" stopIfTrue="1">
      <formula>AND($B281="Tender Received",$D281&lt;=(TODAY()+3))</formula>
    </cfRule>
    <cfRule type="expression" dxfId="8478" priority="10664" stopIfTrue="1">
      <formula>$B281="Tender Received"</formula>
    </cfRule>
  </conditionalFormatting>
  <conditionalFormatting sqref="L289:Q289">
    <cfRule type="expression" dxfId="8477" priority="10635" stopIfTrue="1">
      <formula>AND($B289="Tender Received",$D289&lt;=(TODAY()+3))</formula>
    </cfRule>
    <cfRule type="expression" dxfId="8476" priority="10636" stopIfTrue="1">
      <formula>$B289="Tender Received"</formula>
    </cfRule>
  </conditionalFormatting>
  <conditionalFormatting sqref="F289">
    <cfRule type="expression" dxfId="8475" priority="10633" stopIfTrue="1">
      <formula>AND($B289="Tender Received",$D289&lt;=(TODAY()+3))</formula>
    </cfRule>
    <cfRule type="expression" dxfId="8474" priority="10634" stopIfTrue="1">
      <formula>$B289="Tender Received"</formula>
    </cfRule>
  </conditionalFormatting>
  <conditionalFormatting sqref="D289">
    <cfRule type="expression" dxfId="8473" priority="10631" stopIfTrue="1">
      <formula>AND($B289="Tender Received",$D289&lt;=(TODAY()+3))</formula>
    </cfRule>
    <cfRule type="expression" dxfId="8472" priority="10632" stopIfTrue="1">
      <formula>$B289="Tender Received"</formula>
    </cfRule>
  </conditionalFormatting>
  <conditionalFormatting sqref="F289:I289 K289">
    <cfRule type="expression" dxfId="8471" priority="10629" stopIfTrue="1">
      <formula>AND($B289="Tender Received",$D289&lt;=(TODAY()+3))</formula>
    </cfRule>
    <cfRule type="expression" dxfId="8470" priority="10630" stopIfTrue="1">
      <formula>$B289="Tender Received"</formula>
    </cfRule>
  </conditionalFormatting>
  <conditionalFormatting sqref="E289">
    <cfRule type="expression" dxfId="8469" priority="10627" stopIfTrue="1">
      <formula>AND($B289="Tender Received",$D289&lt;=(TODAY()+3))</formula>
    </cfRule>
    <cfRule type="expression" dxfId="8468" priority="10628" stopIfTrue="1">
      <formula>$B289="Tender Received"</formula>
    </cfRule>
  </conditionalFormatting>
  <conditionalFormatting sqref="C289:D289">
    <cfRule type="expression" dxfId="8467" priority="10625" stopIfTrue="1">
      <formula>AND($B289="Tender Received",$D289&lt;=(TODAY()+3))</formula>
    </cfRule>
    <cfRule type="expression" dxfId="8466" priority="10626" stopIfTrue="1">
      <formula>$B289="Tender Received"</formula>
    </cfRule>
  </conditionalFormatting>
  <conditionalFormatting sqref="J289">
    <cfRule type="expression" dxfId="8465" priority="10623" stopIfTrue="1">
      <formula>AND($B289="Tender Received",$D289&lt;=(TODAY()+3))</formula>
    </cfRule>
    <cfRule type="expression" dxfId="8464" priority="10624" stopIfTrue="1">
      <formula>$B289="Tender Received"</formula>
    </cfRule>
  </conditionalFormatting>
  <conditionalFormatting sqref="G289">
    <cfRule type="expression" dxfId="8463" priority="10621" stopIfTrue="1">
      <formula>AND($B289="Tender Received",$D289&lt;=(TODAY()+3))</formula>
    </cfRule>
    <cfRule type="expression" dxfId="8462" priority="10622" stopIfTrue="1">
      <formula>$B289="Tender Received"</formula>
    </cfRule>
  </conditionalFormatting>
  <conditionalFormatting sqref="R290">
    <cfRule type="expression" dxfId="8461" priority="10619" stopIfTrue="1">
      <formula>AND($B290="Tender Received",$D290&lt;=(TODAY()+3))</formula>
    </cfRule>
    <cfRule type="expression" dxfId="8460" priority="10620" stopIfTrue="1">
      <formula>$B290="Tender Received"</formula>
    </cfRule>
  </conditionalFormatting>
  <conditionalFormatting sqref="L290:Q290">
    <cfRule type="expression" dxfId="8459" priority="10617" stopIfTrue="1">
      <formula>AND($B290="Tender Received",$D290&lt;=(TODAY()+3))</formula>
    </cfRule>
    <cfRule type="expression" dxfId="8458" priority="10618" stopIfTrue="1">
      <formula>$B290="Tender Received"</formula>
    </cfRule>
  </conditionalFormatting>
  <conditionalFormatting sqref="F290">
    <cfRule type="expression" dxfId="8457" priority="10615" stopIfTrue="1">
      <formula>AND($B290="Tender Received",$D290&lt;=(TODAY()+3))</formula>
    </cfRule>
    <cfRule type="expression" dxfId="8456" priority="10616" stopIfTrue="1">
      <formula>$B290="Tender Received"</formula>
    </cfRule>
  </conditionalFormatting>
  <conditionalFormatting sqref="D290">
    <cfRule type="expression" dxfId="8455" priority="10613" stopIfTrue="1">
      <formula>AND($B290="Tender Received",$D290&lt;=(TODAY()+3))</formula>
    </cfRule>
    <cfRule type="expression" dxfId="8454" priority="10614" stopIfTrue="1">
      <formula>$B290="Tender Received"</formula>
    </cfRule>
  </conditionalFormatting>
  <conditionalFormatting sqref="F290:I290 K290">
    <cfRule type="expression" dxfId="8453" priority="10611" stopIfTrue="1">
      <formula>AND($B290="Tender Received",$D290&lt;=(TODAY()+3))</formula>
    </cfRule>
    <cfRule type="expression" dxfId="8452" priority="10612" stopIfTrue="1">
      <formula>$B290="Tender Received"</formula>
    </cfRule>
  </conditionalFormatting>
  <conditionalFormatting sqref="E290">
    <cfRule type="expression" dxfId="8451" priority="10609" stopIfTrue="1">
      <formula>AND($B290="Tender Received",$D290&lt;=(TODAY()+3))</formula>
    </cfRule>
    <cfRule type="expression" dxfId="8450" priority="10610" stopIfTrue="1">
      <formula>$B290="Tender Received"</formula>
    </cfRule>
  </conditionalFormatting>
  <conditionalFormatting sqref="C290:D290">
    <cfRule type="expression" dxfId="8449" priority="10607" stopIfTrue="1">
      <formula>AND($B290="Tender Received",$D290&lt;=(TODAY()+3))</formula>
    </cfRule>
    <cfRule type="expression" dxfId="8448" priority="10608" stopIfTrue="1">
      <formula>$B290="Tender Received"</formula>
    </cfRule>
  </conditionalFormatting>
  <conditionalFormatting sqref="J290">
    <cfRule type="expression" dxfId="8447" priority="10605" stopIfTrue="1">
      <formula>AND($B290="Tender Received",$D290&lt;=(TODAY()+3))</formula>
    </cfRule>
    <cfRule type="expression" dxfId="8446" priority="10606" stopIfTrue="1">
      <formula>$B290="Tender Received"</formula>
    </cfRule>
  </conditionalFormatting>
  <conditionalFormatting sqref="G290">
    <cfRule type="expression" dxfId="8445" priority="10603" stopIfTrue="1">
      <formula>AND($B290="Tender Received",$D290&lt;=(TODAY()+3))</formula>
    </cfRule>
    <cfRule type="expression" dxfId="8444" priority="10604" stopIfTrue="1">
      <formula>$B290="Tender Received"</formula>
    </cfRule>
  </conditionalFormatting>
  <conditionalFormatting sqref="R291">
    <cfRule type="expression" dxfId="8443" priority="10601" stopIfTrue="1">
      <formula>AND($B291="Tender Received",$D291&lt;=(TODAY()+3))</formula>
    </cfRule>
    <cfRule type="expression" dxfId="8442" priority="10602" stopIfTrue="1">
      <formula>$B291="Tender Received"</formula>
    </cfRule>
  </conditionalFormatting>
  <conditionalFormatting sqref="L291:Q291">
    <cfRule type="expression" dxfId="8441" priority="10599" stopIfTrue="1">
      <formula>AND($B291="Tender Received",$D291&lt;=(TODAY()+3))</formula>
    </cfRule>
    <cfRule type="expression" dxfId="8440" priority="10600" stopIfTrue="1">
      <formula>$B291="Tender Received"</formula>
    </cfRule>
  </conditionalFormatting>
  <conditionalFormatting sqref="F291">
    <cfRule type="expression" dxfId="8439" priority="10597" stopIfTrue="1">
      <formula>AND($B291="Tender Received",$D291&lt;=(TODAY()+3))</formula>
    </cfRule>
    <cfRule type="expression" dxfId="8438" priority="10598" stopIfTrue="1">
      <formula>$B291="Tender Received"</formula>
    </cfRule>
  </conditionalFormatting>
  <conditionalFormatting sqref="D291">
    <cfRule type="expression" dxfId="8437" priority="10595" stopIfTrue="1">
      <formula>AND($B291="Tender Received",$D291&lt;=(TODAY()+3))</formula>
    </cfRule>
    <cfRule type="expression" dxfId="8436" priority="10596" stopIfTrue="1">
      <formula>$B291="Tender Received"</formula>
    </cfRule>
  </conditionalFormatting>
  <conditionalFormatting sqref="F291:I291 K291">
    <cfRule type="expression" dxfId="8435" priority="10593" stopIfTrue="1">
      <formula>AND($B291="Tender Received",$D291&lt;=(TODAY()+3))</formula>
    </cfRule>
    <cfRule type="expression" dxfId="8434" priority="10594" stopIfTrue="1">
      <formula>$B291="Tender Received"</formula>
    </cfRule>
  </conditionalFormatting>
  <conditionalFormatting sqref="E291">
    <cfRule type="expression" dxfId="8433" priority="10591" stopIfTrue="1">
      <formula>AND($B291="Tender Received",$D291&lt;=(TODAY()+3))</formula>
    </cfRule>
    <cfRule type="expression" dxfId="8432" priority="10592" stopIfTrue="1">
      <formula>$B291="Tender Received"</formula>
    </cfRule>
  </conditionalFormatting>
  <conditionalFormatting sqref="C291:D291">
    <cfRule type="expression" dxfId="8431" priority="10589" stopIfTrue="1">
      <formula>AND($B291="Tender Received",$D291&lt;=(TODAY()+3))</formula>
    </cfRule>
    <cfRule type="expression" dxfId="8430" priority="10590" stopIfTrue="1">
      <formula>$B291="Tender Received"</formula>
    </cfRule>
  </conditionalFormatting>
  <conditionalFormatting sqref="J291">
    <cfRule type="expression" dxfId="8429" priority="10587" stopIfTrue="1">
      <formula>AND($B291="Tender Received",$D291&lt;=(TODAY()+3))</formula>
    </cfRule>
    <cfRule type="expression" dxfId="8428" priority="10588" stopIfTrue="1">
      <formula>$B291="Tender Received"</formula>
    </cfRule>
  </conditionalFormatting>
  <conditionalFormatting sqref="G291">
    <cfRule type="expression" dxfId="8427" priority="10585" stopIfTrue="1">
      <formula>AND($B291="Tender Received",$D291&lt;=(TODAY()+3))</formula>
    </cfRule>
    <cfRule type="expression" dxfId="8426" priority="10586" stopIfTrue="1">
      <formula>$B291="Tender Received"</formula>
    </cfRule>
  </conditionalFormatting>
  <conditionalFormatting sqref="R292">
    <cfRule type="expression" dxfId="8425" priority="10583" stopIfTrue="1">
      <formula>AND($B292="Tender Received",$D292&lt;=(TODAY()+3))</formula>
    </cfRule>
    <cfRule type="expression" dxfId="8424" priority="10584" stopIfTrue="1">
      <formula>$B292="Tender Received"</formula>
    </cfRule>
  </conditionalFormatting>
  <conditionalFormatting sqref="L292:Q292">
    <cfRule type="expression" dxfId="8423" priority="10581" stopIfTrue="1">
      <formula>AND($B292="Tender Received",$D292&lt;=(TODAY()+3))</formula>
    </cfRule>
    <cfRule type="expression" dxfId="8422" priority="10582" stopIfTrue="1">
      <formula>$B292="Tender Received"</formula>
    </cfRule>
  </conditionalFormatting>
  <conditionalFormatting sqref="F292">
    <cfRule type="expression" dxfId="8421" priority="10579" stopIfTrue="1">
      <formula>AND($B292="Tender Received",$D292&lt;=(TODAY()+3))</formula>
    </cfRule>
    <cfRule type="expression" dxfId="8420" priority="10580" stopIfTrue="1">
      <formula>$B292="Tender Received"</formula>
    </cfRule>
  </conditionalFormatting>
  <conditionalFormatting sqref="D292">
    <cfRule type="expression" dxfId="8419" priority="10577" stopIfTrue="1">
      <formula>AND($B292="Tender Received",$D292&lt;=(TODAY()+3))</formula>
    </cfRule>
    <cfRule type="expression" dxfId="8418" priority="10578" stopIfTrue="1">
      <formula>$B292="Tender Received"</formula>
    </cfRule>
  </conditionalFormatting>
  <conditionalFormatting sqref="F292:I292 K292">
    <cfRule type="expression" dxfId="8417" priority="10575" stopIfTrue="1">
      <formula>AND($B292="Tender Received",$D292&lt;=(TODAY()+3))</formula>
    </cfRule>
    <cfRule type="expression" dxfId="8416" priority="10576" stopIfTrue="1">
      <formula>$B292="Tender Received"</formula>
    </cfRule>
  </conditionalFormatting>
  <conditionalFormatting sqref="E292">
    <cfRule type="expression" dxfId="8415" priority="10573" stopIfTrue="1">
      <formula>AND($B292="Tender Received",$D292&lt;=(TODAY()+3))</formula>
    </cfRule>
    <cfRule type="expression" dxfId="8414" priority="10574" stopIfTrue="1">
      <formula>$B292="Tender Received"</formula>
    </cfRule>
  </conditionalFormatting>
  <conditionalFormatting sqref="C292:D292">
    <cfRule type="expression" dxfId="8413" priority="10571" stopIfTrue="1">
      <formula>AND($B292="Tender Received",$D292&lt;=(TODAY()+3))</formula>
    </cfRule>
    <cfRule type="expression" dxfId="8412" priority="10572" stopIfTrue="1">
      <formula>$B292="Tender Received"</formula>
    </cfRule>
  </conditionalFormatting>
  <conditionalFormatting sqref="J292">
    <cfRule type="expression" dxfId="8411" priority="10569" stopIfTrue="1">
      <formula>AND($B292="Tender Received",$D292&lt;=(TODAY()+3))</formula>
    </cfRule>
    <cfRule type="expression" dxfId="8410" priority="10570" stopIfTrue="1">
      <formula>$B292="Tender Received"</formula>
    </cfRule>
  </conditionalFormatting>
  <conditionalFormatting sqref="G292">
    <cfRule type="expression" dxfId="8409" priority="10567" stopIfTrue="1">
      <formula>AND($B292="Tender Received",$D292&lt;=(TODAY()+3))</formula>
    </cfRule>
    <cfRule type="expression" dxfId="8408" priority="10568" stopIfTrue="1">
      <formula>$B292="Tender Received"</formula>
    </cfRule>
  </conditionalFormatting>
  <conditionalFormatting sqref="R293">
    <cfRule type="expression" dxfId="8407" priority="10565" stopIfTrue="1">
      <formula>AND($B293="Tender Received",$D293&lt;=(TODAY()+3))</formula>
    </cfRule>
    <cfRule type="expression" dxfId="8406" priority="10566" stopIfTrue="1">
      <formula>$B293="Tender Received"</formula>
    </cfRule>
  </conditionalFormatting>
  <conditionalFormatting sqref="L293:Q293">
    <cfRule type="expression" dxfId="8405" priority="10563" stopIfTrue="1">
      <formula>AND($B293="Tender Received",$D293&lt;=(TODAY()+3))</formula>
    </cfRule>
    <cfRule type="expression" dxfId="8404" priority="10564" stopIfTrue="1">
      <formula>$B293="Tender Received"</formula>
    </cfRule>
  </conditionalFormatting>
  <conditionalFormatting sqref="F293">
    <cfRule type="expression" dxfId="8403" priority="10561" stopIfTrue="1">
      <formula>AND($B293="Tender Received",$D293&lt;=(TODAY()+3))</formula>
    </cfRule>
    <cfRule type="expression" dxfId="8402" priority="10562" stopIfTrue="1">
      <formula>$B293="Tender Received"</formula>
    </cfRule>
  </conditionalFormatting>
  <conditionalFormatting sqref="D293">
    <cfRule type="expression" dxfId="8401" priority="10559" stopIfTrue="1">
      <formula>AND($B293="Tender Received",$D293&lt;=(TODAY()+3))</formula>
    </cfRule>
    <cfRule type="expression" dxfId="8400" priority="10560" stopIfTrue="1">
      <formula>$B293="Tender Received"</formula>
    </cfRule>
  </conditionalFormatting>
  <conditionalFormatting sqref="F293:I293 K293">
    <cfRule type="expression" dxfId="8399" priority="10557" stopIfTrue="1">
      <formula>AND($B293="Tender Received",$D293&lt;=(TODAY()+3))</formula>
    </cfRule>
    <cfRule type="expression" dxfId="8398" priority="10558" stopIfTrue="1">
      <formula>$B293="Tender Received"</formula>
    </cfRule>
  </conditionalFormatting>
  <conditionalFormatting sqref="E293">
    <cfRule type="expression" dxfId="8397" priority="10555" stopIfTrue="1">
      <formula>AND($B293="Tender Received",$D293&lt;=(TODAY()+3))</formula>
    </cfRule>
    <cfRule type="expression" dxfId="8396" priority="10556" stopIfTrue="1">
      <formula>$B293="Tender Received"</formula>
    </cfRule>
  </conditionalFormatting>
  <conditionalFormatting sqref="C293:D293">
    <cfRule type="expression" dxfId="8395" priority="10553" stopIfTrue="1">
      <formula>AND($B293="Tender Received",$D293&lt;=(TODAY()+3))</formula>
    </cfRule>
    <cfRule type="expression" dxfId="8394" priority="10554" stopIfTrue="1">
      <formula>$B293="Tender Received"</formula>
    </cfRule>
  </conditionalFormatting>
  <conditionalFormatting sqref="J293">
    <cfRule type="expression" dxfId="8393" priority="10551" stopIfTrue="1">
      <formula>AND($B293="Tender Received",$D293&lt;=(TODAY()+3))</formula>
    </cfRule>
    <cfRule type="expression" dxfId="8392" priority="10552" stopIfTrue="1">
      <formula>$B293="Tender Received"</formula>
    </cfRule>
  </conditionalFormatting>
  <conditionalFormatting sqref="G293">
    <cfRule type="expression" dxfId="8391" priority="10549" stopIfTrue="1">
      <formula>AND($B293="Tender Received",$D293&lt;=(TODAY()+3))</formula>
    </cfRule>
    <cfRule type="expression" dxfId="8390" priority="10550" stopIfTrue="1">
      <formula>$B293="Tender Received"</formula>
    </cfRule>
  </conditionalFormatting>
  <conditionalFormatting sqref="R294">
    <cfRule type="expression" dxfId="8389" priority="10547" stopIfTrue="1">
      <formula>AND($B294="Tender Received",$D294&lt;=(TODAY()+3))</formula>
    </cfRule>
    <cfRule type="expression" dxfId="8388" priority="10548" stopIfTrue="1">
      <formula>$B294="Tender Received"</formula>
    </cfRule>
  </conditionalFormatting>
  <conditionalFormatting sqref="L294:Q294">
    <cfRule type="expression" dxfId="8387" priority="10545" stopIfTrue="1">
      <formula>AND($B294="Tender Received",$D294&lt;=(TODAY()+3))</formula>
    </cfRule>
    <cfRule type="expression" dxfId="8386" priority="10546" stopIfTrue="1">
      <formula>$B294="Tender Received"</formula>
    </cfRule>
  </conditionalFormatting>
  <conditionalFormatting sqref="F294">
    <cfRule type="expression" dxfId="8385" priority="10543" stopIfTrue="1">
      <formula>AND($B294="Tender Received",$D294&lt;=(TODAY()+3))</formula>
    </cfRule>
    <cfRule type="expression" dxfId="8384" priority="10544" stopIfTrue="1">
      <formula>$B294="Tender Received"</formula>
    </cfRule>
  </conditionalFormatting>
  <conditionalFormatting sqref="D294">
    <cfRule type="expression" dxfId="8383" priority="10541" stopIfTrue="1">
      <formula>AND($B294="Tender Received",$D294&lt;=(TODAY()+3))</formula>
    </cfRule>
    <cfRule type="expression" dxfId="8382" priority="10542" stopIfTrue="1">
      <formula>$B294="Tender Received"</formula>
    </cfRule>
  </conditionalFormatting>
  <conditionalFormatting sqref="F294:I294 K294">
    <cfRule type="expression" dxfId="8381" priority="10539" stopIfTrue="1">
      <formula>AND($B294="Tender Received",$D294&lt;=(TODAY()+3))</formula>
    </cfRule>
    <cfRule type="expression" dxfId="8380" priority="10540" stopIfTrue="1">
      <formula>$B294="Tender Received"</formula>
    </cfRule>
  </conditionalFormatting>
  <conditionalFormatting sqref="E294">
    <cfRule type="expression" dxfId="8379" priority="10537" stopIfTrue="1">
      <formula>AND($B294="Tender Received",$D294&lt;=(TODAY()+3))</formula>
    </cfRule>
    <cfRule type="expression" dxfId="8378" priority="10538" stopIfTrue="1">
      <formula>$B294="Tender Received"</formula>
    </cfRule>
  </conditionalFormatting>
  <conditionalFormatting sqref="C294:D294">
    <cfRule type="expression" dxfId="8377" priority="10535" stopIfTrue="1">
      <formula>AND($B294="Tender Received",$D294&lt;=(TODAY()+3))</formula>
    </cfRule>
    <cfRule type="expression" dxfId="8376" priority="10536" stopIfTrue="1">
      <formula>$B294="Tender Received"</formula>
    </cfRule>
  </conditionalFormatting>
  <conditionalFormatting sqref="J294">
    <cfRule type="expression" dxfId="8375" priority="10533" stopIfTrue="1">
      <formula>AND($B294="Tender Received",$D294&lt;=(TODAY()+3))</formula>
    </cfRule>
    <cfRule type="expression" dxfId="8374" priority="10534" stopIfTrue="1">
      <formula>$B294="Tender Received"</formula>
    </cfRule>
  </conditionalFormatting>
  <conditionalFormatting sqref="G294">
    <cfRule type="expression" dxfId="8373" priority="10531" stopIfTrue="1">
      <formula>AND($B294="Tender Received",$D294&lt;=(TODAY()+3))</formula>
    </cfRule>
    <cfRule type="expression" dxfId="8372" priority="10532" stopIfTrue="1">
      <formula>$B294="Tender Received"</formula>
    </cfRule>
  </conditionalFormatting>
  <conditionalFormatting sqref="R295">
    <cfRule type="expression" dxfId="8371" priority="10529" stopIfTrue="1">
      <formula>AND($B295="Tender Received",$D295&lt;=(TODAY()+3))</formula>
    </cfRule>
    <cfRule type="expression" dxfId="8370" priority="10530" stopIfTrue="1">
      <formula>$B295="Tender Received"</formula>
    </cfRule>
  </conditionalFormatting>
  <conditionalFormatting sqref="L295:Q295">
    <cfRule type="expression" dxfId="8369" priority="10527" stopIfTrue="1">
      <formula>AND($B295="Tender Received",$D295&lt;=(TODAY()+3))</formula>
    </cfRule>
    <cfRule type="expression" dxfId="8368" priority="10528" stopIfTrue="1">
      <formula>$B295="Tender Received"</formula>
    </cfRule>
  </conditionalFormatting>
  <conditionalFormatting sqref="F295">
    <cfRule type="expression" dxfId="8367" priority="10525" stopIfTrue="1">
      <formula>AND($B295="Tender Received",$D295&lt;=(TODAY()+3))</formula>
    </cfRule>
    <cfRule type="expression" dxfId="8366" priority="10526" stopIfTrue="1">
      <formula>$B295="Tender Received"</formula>
    </cfRule>
  </conditionalFormatting>
  <conditionalFormatting sqref="D295">
    <cfRule type="expression" dxfId="8365" priority="10523" stopIfTrue="1">
      <formula>AND($B295="Tender Received",$D295&lt;=(TODAY()+3))</formula>
    </cfRule>
    <cfRule type="expression" dxfId="8364" priority="10524" stopIfTrue="1">
      <formula>$B295="Tender Received"</formula>
    </cfRule>
  </conditionalFormatting>
  <conditionalFormatting sqref="F295 H295:I295">
    <cfRule type="expression" dxfId="8363" priority="10521" stopIfTrue="1">
      <formula>AND($B295="Tender Received",$D295&lt;=(TODAY()+3))</formula>
    </cfRule>
    <cfRule type="expression" dxfId="8362" priority="10522" stopIfTrue="1">
      <formula>$B295="Tender Received"</formula>
    </cfRule>
  </conditionalFormatting>
  <conditionalFormatting sqref="E295">
    <cfRule type="expression" dxfId="8361" priority="10519" stopIfTrue="1">
      <formula>AND($B295="Tender Received",$D295&lt;=(TODAY()+3))</formula>
    </cfRule>
    <cfRule type="expression" dxfId="8360" priority="10520" stopIfTrue="1">
      <formula>$B295="Tender Received"</formula>
    </cfRule>
  </conditionalFormatting>
  <conditionalFormatting sqref="C295:D295">
    <cfRule type="expression" dxfId="8359" priority="10517" stopIfTrue="1">
      <formula>AND($B295="Tender Received",$D295&lt;=(TODAY()+3))</formula>
    </cfRule>
    <cfRule type="expression" dxfId="8358" priority="10518" stopIfTrue="1">
      <formula>$B295="Tender Received"</formula>
    </cfRule>
  </conditionalFormatting>
  <conditionalFormatting sqref="G295">
    <cfRule type="expression" dxfId="8357" priority="10511" stopIfTrue="1">
      <formula>AND($B295="Tender Received",$D295&lt;=(TODAY()+3))</formula>
    </cfRule>
    <cfRule type="expression" dxfId="8356" priority="10512" stopIfTrue="1">
      <formula>$B295="Tender Received"</formula>
    </cfRule>
  </conditionalFormatting>
  <conditionalFormatting sqref="G295">
    <cfRule type="expression" dxfId="8355" priority="10509" stopIfTrue="1">
      <formula>AND($B295="Tender Received",$D295&lt;=(TODAY()+3))</formula>
    </cfRule>
    <cfRule type="expression" dxfId="8354" priority="10510" stopIfTrue="1">
      <formula>$B295="Tender Received"</formula>
    </cfRule>
  </conditionalFormatting>
  <conditionalFormatting sqref="J295">
    <cfRule type="expression" dxfId="8353" priority="10507" stopIfTrue="1">
      <formula>AND($B295="Tender Received",$D295&lt;=(TODAY()+3))</formula>
    </cfRule>
    <cfRule type="expression" dxfId="8352" priority="10508" stopIfTrue="1">
      <formula>$B295="Tender Received"</formula>
    </cfRule>
  </conditionalFormatting>
  <conditionalFormatting sqref="K295">
    <cfRule type="expression" dxfId="8351" priority="10505" stopIfTrue="1">
      <formula>AND($B295="Tender Received",$D295&lt;=(TODAY()+3))</formula>
    </cfRule>
    <cfRule type="expression" dxfId="8350" priority="10506" stopIfTrue="1">
      <formula>$B295="Tender Received"</formula>
    </cfRule>
  </conditionalFormatting>
  <conditionalFormatting sqref="R296">
    <cfRule type="expression" dxfId="8349" priority="10503" stopIfTrue="1">
      <formula>AND($B296="Tender Received",$D296&lt;=(TODAY()+3))</formula>
    </cfRule>
    <cfRule type="expression" dxfId="8348" priority="10504" stopIfTrue="1">
      <formula>$B296="Tender Received"</formula>
    </cfRule>
  </conditionalFormatting>
  <conditionalFormatting sqref="L296:Q296">
    <cfRule type="expression" dxfId="8347" priority="10501" stopIfTrue="1">
      <formula>AND($B296="Tender Received",$D296&lt;=(TODAY()+3))</formula>
    </cfRule>
    <cfRule type="expression" dxfId="8346" priority="10502" stopIfTrue="1">
      <formula>$B296="Tender Received"</formula>
    </cfRule>
  </conditionalFormatting>
  <conditionalFormatting sqref="F296">
    <cfRule type="expression" dxfId="8345" priority="10499" stopIfTrue="1">
      <formula>AND($B296="Tender Received",$D296&lt;=(TODAY()+3))</formula>
    </cfRule>
    <cfRule type="expression" dxfId="8344" priority="10500" stopIfTrue="1">
      <formula>$B296="Tender Received"</formula>
    </cfRule>
  </conditionalFormatting>
  <conditionalFormatting sqref="D296">
    <cfRule type="expression" dxfId="8343" priority="10497" stopIfTrue="1">
      <formula>AND($B296="Tender Received",$D296&lt;=(TODAY()+3))</formula>
    </cfRule>
    <cfRule type="expression" dxfId="8342" priority="10498" stopIfTrue="1">
      <formula>$B296="Tender Received"</formula>
    </cfRule>
  </conditionalFormatting>
  <conditionalFormatting sqref="F296 H296:I296">
    <cfRule type="expression" dxfId="8341" priority="10495" stopIfTrue="1">
      <formula>AND($B296="Tender Received",$D296&lt;=(TODAY()+3))</formula>
    </cfRule>
    <cfRule type="expression" dxfId="8340" priority="10496" stopIfTrue="1">
      <formula>$B296="Tender Received"</formula>
    </cfRule>
  </conditionalFormatting>
  <conditionalFormatting sqref="E296">
    <cfRule type="expression" dxfId="8339" priority="10493" stopIfTrue="1">
      <formula>AND($B296="Tender Received",$D296&lt;=(TODAY()+3))</formula>
    </cfRule>
    <cfRule type="expression" dxfId="8338" priority="10494" stopIfTrue="1">
      <formula>$B296="Tender Received"</formula>
    </cfRule>
  </conditionalFormatting>
  <conditionalFormatting sqref="C296:D296">
    <cfRule type="expression" dxfId="8337" priority="10491" stopIfTrue="1">
      <formula>AND($B296="Tender Received",$D296&lt;=(TODAY()+3))</formula>
    </cfRule>
    <cfRule type="expression" dxfId="8336" priority="10492" stopIfTrue="1">
      <formula>$B296="Tender Received"</formula>
    </cfRule>
  </conditionalFormatting>
  <conditionalFormatting sqref="G296">
    <cfRule type="expression" dxfId="8335" priority="10489" stopIfTrue="1">
      <formula>AND($B296="Tender Received",$D296&lt;=(TODAY()+3))</formula>
    </cfRule>
    <cfRule type="expression" dxfId="8334" priority="10490" stopIfTrue="1">
      <formula>$B296="Tender Received"</formula>
    </cfRule>
  </conditionalFormatting>
  <conditionalFormatting sqref="G296">
    <cfRule type="expression" dxfId="8333" priority="10487" stopIfTrue="1">
      <formula>AND($B296="Tender Received",$D296&lt;=(TODAY()+3))</formula>
    </cfRule>
    <cfRule type="expression" dxfId="8332" priority="10488" stopIfTrue="1">
      <formula>$B296="Tender Received"</formula>
    </cfRule>
  </conditionalFormatting>
  <conditionalFormatting sqref="J296">
    <cfRule type="expression" dxfId="8331" priority="10485" stopIfTrue="1">
      <formula>AND($B296="Tender Received",$D296&lt;=(TODAY()+3))</formula>
    </cfRule>
    <cfRule type="expression" dxfId="8330" priority="10486" stopIfTrue="1">
      <formula>$B296="Tender Received"</formula>
    </cfRule>
  </conditionalFormatting>
  <conditionalFormatting sqref="K296">
    <cfRule type="expression" dxfId="8329" priority="10483" stopIfTrue="1">
      <formula>AND($B296="Tender Received",$D296&lt;=(TODAY()+3))</formula>
    </cfRule>
    <cfRule type="expression" dxfId="8328" priority="10484" stopIfTrue="1">
      <formula>$B296="Tender Received"</formula>
    </cfRule>
  </conditionalFormatting>
  <conditionalFormatting sqref="R297">
    <cfRule type="expression" dxfId="8327" priority="10481" stopIfTrue="1">
      <formula>AND($B297="Tender Received",$D297&lt;=(TODAY()+3))</formula>
    </cfRule>
    <cfRule type="expression" dxfId="8326" priority="10482" stopIfTrue="1">
      <formula>$B297="Tender Received"</formula>
    </cfRule>
  </conditionalFormatting>
  <conditionalFormatting sqref="L297:Q297">
    <cfRule type="expression" dxfId="8325" priority="10479" stopIfTrue="1">
      <formula>AND($B297="Tender Received",$D297&lt;=(TODAY()+3))</formula>
    </cfRule>
    <cfRule type="expression" dxfId="8324" priority="10480" stopIfTrue="1">
      <formula>$B297="Tender Received"</formula>
    </cfRule>
  </conditionalFormatting>
  <conditionalFormatting sqref="H297:I297">
    <cfRule type="expression" dxfId="8323" priority="10473" stopIfTrue="1">
      <formula>AND($B297="Tender Received",$D297&lt;=(TODAY()+3))</formula>
    </cfRule>
    <cfRule type="expression" dxfId="8322" priority="10474" stopIfTrue="1">
      <formula>$B297="Tender Received"</formula>
    </cfRule>
  </conditionalFormatting>
  <conditionalFormatting sqref="J297">
    <cfRule type="expression" dxfId="8321" priority="10463" stopIfTrue="1">
      <formula>AND($B297="Tender Received",$D297&lt;=(TODAY()+3))</formula>
    </cfRule>
    <cfRule type="expression" dxfId="8320" priority="10464" stopIfTrue="1">
      <formula>$B297="Tender Received"</formula>
    </cfRule>
  </conditionalFormatting>
  <conditionalFormatting sqref="K297">
    <cfRule type="expression" dxfId="8319" priority="10461" stopIfTrue="1">
      <formula>AND($B297="Tender Received",$D297&lt;=(TODAY()+3))</formula>
    </cfRule>
    <cfRule type="expression" dxfId="8318" priority="10462" stopIfTrue="1">
      <formula>$B297="Tender Received"</formula>
    </cfRule>
  </conditionalFormatting>
  <conditionalFormatting sqref="F297">
    <cfRule type="expression" dxfId="8317" priority="10459" stopIfTrue="1">
      <formula>AND($B297="Tender Received",$D297&lt;=(TODAY()+3))</formula>
    </cfRule>
    <cfRule type="expression" dxfId="8316" priority="10460" stopIfTrue="1">
      <formula>$B297="Tender Received"</formula>
    </cfRule>
  </conditionalFormatting>
  <conditionalFormatting sqref="D297">
    <cfRule type="expression" dxfId="8315" priority="10457" stopIfTrue="1">
      <formula>AND($B297="Tender Received",$D297&lt;=(TODAY()+3))</formula>
    </cfRule>
    <cfRule type="expression" dxfId="8314" priority="10458" stopIfTrue="1">
      <formula>$B297="Tender Received"</formula>
    </cfRule>
  </conditionalFormatting>
  <conditionalFormatting sqref="F297">
    <cfRule type="expression" dxfId="8313" priority="10455" stopIfTrue="1">
      <formula>AND($B297="Tender Received",$D297&lt;=(TODAY()+3))</formula>
    </cfRule>
    <cfRule type="expression" dxfId="8312" priority="10456" stopIfTrue="1">
      <formula>$B297="Tender Received"</formula>
    </cfRule>
  </conditionalFormatting>
  <conditionalFormatting sqref="E297">
    <cfRule type="expression" dxfId="8311" priority="10453" stopIfTrue="1">
      <formula>AND($B297="Tender Received",$D297&lt;=(TODAY()+3))</formula>
    </cfRule>
    <cfRule type="expression" dxfId="8310" priority="10454" stopIfTrue="1">
      <formula>$B297="Tender Received"</formula>
    </cfRule>
  </conditionalFormatting>
  <conditionalFormatting sqref="C297:D297">
    <cfRule type="expression" dxfId="8309" priority="10451" stopIfTrue="1">
      <formula>AND($B297="Tender Received",$D297&lt;=(TODAY()+3))</formula>
    </cfRule>
    <cfRule type="expression" dxfId="8308" priority="10452" stopIfTrue="1">
      <formula>$B297="Tender Received"</formula>
    </cfRule>
  </conditionalFormatting>
  <conditionalFormatting sqref="G297">
    <cfRule type="expression" dxfId="8307" priority="10449" stopIfTrue="1">
      <formula>AND($B297="Tender Received",$D297&lt;=(TODAY()+3))</formula>
    </cfRule>
    <cfRule type="expression" dxfId="8306" priority="10450" stopIfTrue="1">
      <formula>$B297="Tender Received"</formula>
    </cfRule>
  </conditionalFormatting>
  <conditionalFormatting sqref="G297">
    <cfRule type="expression" dxfId="8305" priority="10447" stopIfTrue="1">
      <formula>AND($B297="Tender Received",$D297&lt;=(TODAY()+3))</formula>
    </cfRule>
    <cfRule type="expression" dxfId="8304" priority="10448" stopIfTrue="1">
      <formula>$B297="Tender Received"</formula>
    </cfRule>
  </conditionalFormatting>
  <conditionalFormatting sqref="R298">
    <cfRule type="expression" dxfId="8303" priority="10445" stopIfTrue="1">
      <formula>AND($B298="Tender Received",$D298&lt;=(TODAY()+3))</formula>
    </cfRule>
    <cfRule type="expression" dxfId="8302" priority="10446" stopIfTrue="1">
      <formula>$B298="Tender Received"</formula>
    </cfRule>
  </conditionalFormatting>
  <conditionalFormatting sqref="L298:Q298">
    <cfRule type="expression" dxfId="8301" priority="10443" stopIfTrue="1">
      <formula>AND($B298="Tender Received",$D298&lt;=(TODAY()+3))</formula>
    </cfRule>
    <cfRule type="expression" dxfId="8300" priority="10444" stopIfTrue="1">
      <formula>$B298="Tender Received"</formula>
    </cfRule>
  </conditionalFormatting>
  <conditionalFormatting sqref="H298:I298">
    <cfRule type="expression" dxfId="8299" priority="10441" stopIfTrue="1">
      <formula>AND($B298="Tender Received",$D298&lt;=(TODAY()+3))</formula>
    </cfRule>
    <cfRule type="expression" dxfId="8298" priority="10442" stopIfTrue="1">
      <formula>$B298="Tender Received"</formula>
    </cfRule>
  </conditionalFormatting>
  <conditionalFormatting sqref="J298">
    <cfRule type="expression" dxfId="8297" priority="10439" stopIfTrue="1">
      <formula>AND($B298="Tender Received",$D298&lt;=(TODAY()+3))</formula>
    </cfRule>
    <cfRule type="expression" dxfId="8296" priority="10440" stopIfTrue="1">
      <formula>$B298="Tender Received"</formula>
    </cfRule>
  </conditionalFormatting>
  <conditionalFormatting sqref="K298">
    <cfRule type="expression" dxfId="8295" priority="10437" stopIfTrue="1">
      <formula>AND($B298="Tender Received",$D298&lt;=(TODAY()+3))</formula>
    </cfRule>
    <cfRule type="expression" dxfId="8294" priority="10438" stopIfTrue="1">
      <formula>$B298="Tender Received"</formula>
    </cfRule>
  </conditionalFormatting>
  <conditionalFormatting sqref="F298">
    <cfRule type="expression" dxfId="8293" priority="10435" stopIfTrue="1">
      <formula>AND($B298="Tender Received",$D298&lt;=(TODAY()+3))</formula>
    </cfRule>
    <cfRule type="expression" dxfId="8292" priority="10436" stopIfTrue="1">
      <formula>$B298="Tender Received"</formula>
    </cfRule>
  </conditionalFormatting>
  <conditionalFormatting sqref="D298">
    <cfRule type="expression" dxfId="8291" priority="10433" stopIfTrue="1">
      <formula>AND($B298="Tender Received",$D298&lt;=(TODAY()+3))</formula>
    </cfRule>
    <cfRule type="expression" dxfId="8290" priority="10434" stopIfTrue="1">
      <formula>$B298="Tender Received"</formula>
    </cfRule>
  </conditionalFormatting>
  <conditionalFormatting sqref="F298">
    <cfRule type="expression" dxfId="8289" priority="10431" stopIfTrue="1">
      <formula>AND($B298="Tender Received",$D298&lt;=(TODAY()+3))</formula>
    </cfRule>
    <cfRule type="expression" dxfId="8288" priority="10432" stopIfTrue="1">
      <formula>$B298="Tender Received"</formula>
    </cfRule>
  </conditionalFormatting>
  <conditionalFormatting sqref="E298">
    <cfRule type="expression" dxfId="8287" priority="10429" stopIfTrue="1">
      <formula>AND($B298="Tender Received",$D298&lt;=(TODAY()+3))</formula>
    </cfRule>
    <cfRule type="expression" dxfId="8286" priority="10430" stopIfTrue="1">
      <formula>$B298="Tender Received"</formula>
    </cfRule>
  </conditionalFormatting>
  <conditionalFormatting sqref="C298:D298">
    <cfRule type="expression" dxfId="8285" priority="10427" stopIfTrue="1">
      <formula>AND($B298="Tender Received",$D298&lt;=(TODAY()+3))</formula>
    </cfRule>
    <cfRule type="expression" dxfId="8284" priority="10428" stopIfTrue="1">
      <formula>$B298="Tender Received"</formula>
    </cfRule>
  </conditionalFormatting>
  <conditionalFormatting sqref="G298">
    <cfRule type="expression" dxfId="8283" priority="10425" stopIfTrue="1">
      <formula>AND($B298="Tender Received",$D298&lt;=(TODAY()+3))</formula>
    </cfRule>
    <cfRule type="expression" dxfId="8282" priority="10426" stopIfTrue="1">
      <formula>$B298="Tender Received"</formula>
    </cfRule>
  </conditionalFormatting>
  <conditionalFormatting sqref="G298">
    <cfRule type="expression" dxfId="8281" priority="10423" stopIfTrue="1">
      <formula>AND($B298="Tender Received",$D298&lt;=(TODAY()+3))</formula>
    </cfRule>
    <cfRule type="expression" dxfId="8280" priority="10424" stopIfTrue="1">
      <formula>$B298="Tender Received"</formula>
    </cfRule>
  </conditionalFormatting>
  <conditionalFormatting sqref="R299">
    <cfRule type="expression" dxfId="8279" priority="10421" stopIfTrue="1">
      <formula>AND($B299="Tender Received",$D299&lt;=(TODAY()+3))</formula>
    </cfRule>
    <cfRule type="expression" dxfId="8278" priority="10422" stopIfTrue="1">
      <formula>$B299="Tender Received"</formula>
    </cfRule>
  </conditionalFormatting>
  <conditionalFormatting sqref="L299:Q299">
    <cfRule type="expression" dxfId="8277" priority="10419" stopIfTrue="1">
      <formula>AND($B299="Tender Received",$D299&lt;=(TODAY()+3))</formula>
    </cfRule>
    <cfRule type="expression" dxfId="8276" priority="10420" stopIfTrue="1">
      <formula>$B299="Tender Received"</formula>
    </cfRule>
  </conditionalFormatting>
  <conditionalFormatting sqref="H299:I299">
    <cfRule type="expression" dxfId="8275" priority="10417" stopIfTrue="1">
      <formula>AND($B299="Tender Received",$D299&lt;=(TODAY()+3))</formula>
    </cfRule>
    <cfRule type="expression" dxfId="8274" priority="10418" stopIfTrue="1">
      <formula>$B299="Tender Received"</formula>
    </cfRule>
  </conditionalFormatting>
  <conditionalFormatting sqref="J299">
    <cfRule type="expression" dxfId="8273" priority="10415" stopIfTrue="1">
      <formula>AND($B299="Tender Received",$D299&lt;=(TODAY()+3))</formula>
    </cfRule>
    <cfRule type="expression" dxfId="8272" priority="10416" stopIfTrue="1">
      <formula>$B299="Tender Received"</formula>
    </cfRule>
  </conditionalFormatting>
  <conditionalFormatting sqref="K299">
    <cfRule type="expression" dxfId="8271" priority="10413" stopIfTrue="1">
      <formula>AND($B299="Tender Received",$D299&lt;=(TODAY()+3))</formula>
    </cfRule>
    <cfRule type="expression" dxfId="8270" priority="10414" stopIfTrue="1">
      <formula>$B299="Tender Received"</formula>
    </cfRule>
  </conditionalFormatting>
  <conditionalFormatting sqref="F299">
    <cfRule type="expression" dxfId="8269" priority="10411" stopIfTrue="1">
      <formula>AND($B299="Tender Received",$D299&lt;=(TODAY()+3))</formula>
    </cfRule>
    <cfRule type="expression" dxfId="8268" priority="10412" stopIfTrue="1">
      <formula>$B299="Tender Received"</formula>
    </cfRule>
  </conditionalFormatting>
  <conditionalFormatting sqref="D299">
    <cfRule type="expression" dxfId="8267" priority="10409" stopIfTrue="1">
      <formula>AND($B299="Tender Received",$D299&lt;=(TODAY()+3))</formula>
    </cfRule>
    <cfRule type="expression" dxfId="8266" priority="10410" stopIfTrue="1">
      <formula>$B299="Tender Received"</formula>
    </cfRule>
  </conditionalFormatting>
  <conditionalFormatting sqref="F299">
    <cfRule type="expression" dxfId="8265" priority="10407" stopIfTrue="1">
      <formula>AND($B299="Tender Received",$D299&lt;=(TODAY()+3))</formula>
    </cfRule>
    <cfRule type="expression" dxfId="8264" priority="10408" stopIfTrue="1">
      <formula>$B299="Tender Received"</formula>
    </cfRule>
  </conditionalFormatting>
  <conditionalFormatting sqref="E299">
    <cfRule type="expression" dxfId="8263" priority="10405" stopIfTrue="1">
      <formula>AND($B299="Tender Received",$D299&lt;=(TODAY()+3))</formula>
    </cfRule>
    <cfRule type="expression" dxfId="8262" priority="10406" stopIfTrue="1">
      <formula>$B299="Tender Received"</formula>
    </cfRule>
  </conditionalFormatting>
  <conditionalFormatting sqref="C299:D299">
    <cfRule type="expression" dxfId="8261" priority="10403" stopIfTrue="1">
      <formula>AND($B299="Tender Received",$D299&lt;=(TODAY()+3))</formula>
    </cfRule>
    <cfRule type="expression" dxfId="8260" priority="10404" stopIfTrue="1">
      <formula>$B299="Tender Received"</formula>
    </cfRule>
  </conditionalFormatting>
  <conditionalFormatting sqref="G299">
    <cfRule type="expression" dxfId="8259" priority="10401" stopIfTrue="1">
      <formula>AND($B299="Tender Received",$D299&lt;=(TODAY()+3))</formula>
    </cfRule>
    <cfRule type="expression" dxfId="8258" priority="10402" stopIfTrue="1">
      <formula>$B299="Tender Received"</formula>
    </cfRule>
  </conditionalFormatting>
  <conditionalFormatting sqref="G299">
    <cfRule type="expression" dxfId="8257" priority="10399" stopIfTrue="1">
      <formula>AND($B299="Tender Received",$D299&lt;=(TODAY()+3))</formula>
    </cfRule>
    <cfRule type="expression" dxfId="8256" priority="10400" stopIfTrue="1">
      <formula>$B299="Tender Received"</formula>
    </cfRule>
  </conditionalFormatting>
  <conditionalFormatting sqref="L300:P300">
    <cfRule type="expression" dxfId="8255" priority="10397" stopIfTrue="1">
      <formula>AND($B300="Tender Received",$D300&lt;=(TODAY()+3))</formula>
    </cfRule>
    <cfRule type="expression" dxfId="8254" priority="10398" stopIfTrue="1">
      <formula>$B300="Tender Received"</formula>
    </cfRule>
  </conditionalFormatting>
  <conditionalFormatting sqref="H300:I300">
    <cfRule type="expression" dxfId="8253" priority="10395" stopIfTrue="1">
      <formula>AND($B300="Tender Received",$D300&lt;=(TODAY()+3))</formula>
    </cfRule>
    <cfRule type="expression" dxfId="8252" priority="10396" stopIfTrue="1">
      <formula>$B300="Tender Received"</formula>
    </cfRule>
  </conditionalFormatting>
  <conditionalFormatting sqref="J300">
    <cfRule type="expression" dxfId="8251" priority="10393" stopIfTrue="1">
      <formula>AND($B300="Tender Received",$D300&lt;=(TODAY()+3))</formula>
    </cfRule>
    <cfRule type="expression" dxfId="8250" priority="10394" stopIfTrue="1">
      <formula>$B300="Tender Received"</formula>
    </cfRule>
  </conditionalFormatting>
  <conditionalFormatting sqref="K300">
    <cfRule type="expression" dxfId="8249" priority="10391" stopIfTrue="1">
      <formula>AND($B300="Tender Received",$D300&lt;=(TODAY()+3))</formula>
    </cfRule>
    <cfRule type="expression" dxfId="8248" priority="10392" stopIfTrue="1">
      <formula>$B300="Tender Received"</formula>
    </cfRule>
  </conditionalFormatting>
  <conditionalFormatting sqref="F300">
    <cfRule type="expression" dxfId="8247" priority="10389" stopIfTrue="1">
      <formula>AND($B300="Tender Received",$D300&lt;=(TODAY()+3))</formula>
    </cfRule>
    <cfRule type="expression" dxfId="8246" priority="10390" stopIfTrue="1">
      <formula>$B300="Tender Received"</formula>
    </cfRule>
  </conditionalFormatting>
  <conditionalFormatting sqref="D300">
    <cfRule type="expression" dxfId="8245" priority="10387" stopIfTrue="1">
      <formula>AND($B300="Tender Received",$D300&lt;=(TODAY()+3))</formula>
    </cfRule>
    <cfRule type="expression" dxfId="8244" priority="10388" stopIfTrue="1">
      <formula>$B300="Tender Received"</formula>
    </cfRule>
  </conditionalFormatting>
  <conditionalFormatting sqref="F300">
    <cfRule type="expression" dxfId="8243" priority="10385" stopIfTrue="1">
      <formula>AND($B300="Tender Received",$D300&lt;=(TODAY()+3))</formula>
    </cfRule>
    <cfRule type="expression" dxfId="8242" priority="10386" stopIfTrue="1">
      <formula>$B300="Tender Received"</formula>
    </cfRule>
  </conditionalFormatting>
  <conditionalFormatting sqref="E300">
    <cfRule type="expression" dxfId="8241" priority="10383" stopIfTrue="1">
      <formula>AND($B300="Tender Received",$D300&lt;=(TODAY()+3))</formula>
    </cfRule>
    <cfRule type="expression" dxfId="8240" priority="10384" stopIfTrue="1">
      <formula>$B300="Tender Received"</formula>
    </cfRule>
  </conditionalFormatting>
  <conditionalFormatting sqref="C300:D300">
    <cfRule type="expression" dxfId="8239" priority="10381" stopIfTrue="1">
      <formula>AND($B300="Tender Received",$D300&lt;=(TODAY()+3))</formula>
    </cfRule>
    <cfRule type="expression" dxfId="8238" priority="10382" stopIfTrue="1">
      <formula>$B300="Tender Received"</formula>
    </cfRule>
  </conditionalFormatting>
  <conditionalFormatting sqref="G300">
    <cfRule type="expression" dxfId="8237" priority="10379" stopIfTrue="1">
      <formula>AND($B300="Tender Received",$D300&lt;=(TODAY()+3))</formula>
    </cfRule>
    <cfRule type="expression" dxfId="8236" priority="10380" stopIfTrue="1">
      <formula>$B300="Tender Received"</formula>
    </cfRule>
  </conditionalFormatting>
  <conditionalFormatting sqref="G300">
    <cfRule type="expression" dxfId="8235" priority="10377" stopIfTrue="1">
      <formula>AND($B300="Tender Received",$D300&lt;=(TODAY()+3))</formula>
    </cfRule>
    <cfRule type="expression" dxfId="8234" priority="10378" stopIfTrue="1">
      <formula>$B300="Tender Received"</formula>
    </cfRule>
  </conditionalFormatting>
  <conditionalFormatting sqref="L301:P302">
    <cfRule type="expression" dxfId="8233" priority="10375" stopIfTrue="1">
      <formula>AND($B301="Tender Received",$D301&lt;=(TODAY()+3))</formula>
    </cfRule>
    <cfRule type="expression" dxfId="8232" priority="10376" stopIfTrue="1">
      <formula>$B301="Tender Received"</formula>
    </cfRule>
  </conditionalFormatting>
  <conditionalFormatting sqref="H301:I302">
    <cfRule type="expression" dxfId="8231" priority="10373" stopIfTrue="1">
      <formula>AND($B301="Tender Received",$D301&lt;=(TODAY()+3))</formula>
    </cfRule>
    <cfRule type="expression" dxfId="8230" priority="10374" stopIfTrue="1">
      <formula>$B301="Tender Received"</formula>
    </cfRule>
  </conditionalFormatting>
  <conditionalFormatting sqref="J301:J302">
    <cfRule type="expression" dxfId="8229" priority="10371" stopIfTrue="1">
      <formula>AND($B301="Tender Received",$D301&lt;=(TODAY()+3))</formula>
    </cfRule>
    <cfRule type="expression" dxfId="8228" priority="10372" stopIfTrue="1">
      <formula>$B301="Tender Received"</formula>
    </cfRule>
  </conditionalFormatting>
  <conditionalFormatting sqref="K301:K302">
    <cfRule type="expression" dxfId="8227" priority="10369" stopIfTrue="1">
      <formula>AND($B301="Tender Received",$D301&lt;=(TODAY()+3))</formula>
    </cfRule>
    <cfRule type="expression" dxfId="8226" priority="10370" stopIfTrue="1">
      <formula>$B301="Tender Received"</formula>
    </cfRule>
  </conditionalFormatting>
  <conditionalFormatting sqref="F301:F302">
    <cfRule type="expression" dxfId="8225" priority="10367" stopIfTrue="1">
      <formula>AND($B301="Tender Received",$D301&lt;=(TODAY()+3))</formula>
    </cfRule>
    <cfRule type="expression" dxfId="8224" priority="10368" stopIfTrue="1">
      <formula>$B301="Tender Received"</formula>
    </cfRule>
  </conditionalFormatting>
  <conditionalFormatting sqref="D301:D302">
    <cfRule type="expression" dxfId="8223" priority="10365" stopIfTrue="1">
      <formula>AND($B301="Tender Received",$D301&lt;=(TODAY()+3))</formula>
    </cfRule>
    <cfRule type="expression" dxfId="8222" priority="10366" stopIfTrue="1">
      <formula>$B301="Tender Received"</formula>
    </cfRule>
  </conditionalFormatting>
  <conditionalFormatting sqref="F301:F302">
    <cfRule type="expression" dxfId="8221" priority="10363" stopIfTrue="1">
      <formula>AND($B301="Tender Received",$D301&lt;=(TODAY()+3))</formula>
    </cfRule>
    <cfRule type="expression" dxfId="8220" priority="10364" stopIfTrue="1">
      <formula>$B301="Tender Received"</formula>
    </cfRule>
  </conditionalFormatting>
  <conditionalFormatting sqref="E301:E302">
    <cfRule type="expression" dxfId="8219" priority="10361" stopIfTrue="1">
      <formula>AND($B301="Tender Received",$D301&lt;=(TODAY()+3))</formula>
    </cfRule>
    <cfRule type="expression" dxfId="8218" priority="10362" stopIfTrue="1">
      <formula>$B301="Tender Received"</formula>
    </cfRule>
  </conditionalFormatting>
  <conditionalFormatting sqref="D301:D302">
    <cfRule type="expression" dxfId="8217" priority="10359" stopIfTrue="1">
      <formula>AND($B301="Tender Received",$D301&lt;=(TODAY()+3))</formula>
    </cfRule>
    <cfRule type="expression" dxfId="8216" priority="10360" stopIfTrue="1">
      <formula>$B301="Tender Received"</formula>
    </cfRule>
  </conditionalFormatting>
  <conditionalFormatting sqref="G301:G302">
    <cfRule type="expression" dxfId="8215" priority="10357" stopIfTrue="1">
      <formula>AND($B301="Tender Received",$D301&lt;=(TODAY()+3))</formula>
    </cfRule>
    <cfRule type="expression" dxfId="8214" priority="10358" stopIfTrue="1">
      <formula>$B301="Tender Received"</formula>
    </cfRule>
  </conditionalFormatting>
  <conditionalFormatting sqref="G301:G302">
    <cfRule type="expression" dxfId="8213" priority="10355" stopIfTrue="1">
      <formula>AND($B301="Tender Received",$D301&lt;=(TODAY()+3))</formula>
    </cfRule>
    <cfRule type="expression" dxfId="8212" priority="10356" stopIfTrue="1">
      <formula>$B301="Tender Received"</formula>
    </cfRule>
  </conditionalFormatting>
  <conditionalFormatting sqref="C301:C302">
    <cfRule type="expression" dxfId="8211" priority="10353" stopIfTrue="1">
      <formula>AND($B301="Tender Received",$D301&lt;=(TODAY()+3))</formula>
    </cfRule>
    <cfRule type="expression" dxfId="8210" priority="10354" stopIfTrue="1">
      <formula>$B301="Tender Received"</formula>
    </cfRule>
  </conditionalFormatting>
  <conditionalFormatting sqref="Q303:R303">
    <cfRule type="expression" dxfId="8209" priority="10351" stopIfTrue="1">
      <formula>AND($B303="Tender Received",$D303&lt;=(TODAY()+3))</formula>
    </cfRule>
    <cfRule type="expression" dxfId="8208" priority="10352" stopIfTrue="1">
      <formula>$B303="Tender Received"</formula>
    </cfRule>
  </conditionalFormatting>
  <conditionalFormatting sqref="L303:P303">
    <cfRule type="expression" dxfId="8207" priority="10349" stopIfTrue="1">
      <formula>AND($B303="Tender Received",$D303&lt;=(TODAY()+3))</formula>
    </cfRule>
    <cfRule type="expression" dxfId="8206" priority="10350" stopIfTrue="1">
      <formula>$B303="Tender Received"</formula>
    </cfRule>
  </conditionalFormatting>
  <conditionalFormatting sqref="H303:I303">
    <cfRule type="expression" dxfId="8205" priority="10347" stopIfTrue="1">
      <formula>AND($B303="Tender Received",$D303&lt;=(TODAY()+3))</formula>
    </cfRule>
    <cfRule type="expression" dxfId="8204" priority="10348" stopIfTrue="1">
      <formula>$B303="Tender Received"</formula>
    </cfRule>
  </conditionalFormatting>
  <conditionalFormatting sqref="J303">
    <cfRule type="expression" dxfId="8203" priority="10345" stopIfTrue="1">
      <formula>AND($B303="Tender Received",$D303&lt;=(TODAY()+3))</formula>
    </cfRule>
    <cfRule type="expression" dxfId="8202" priority="10346" stopIfTrue="1">
      <formula>$B303="Tender Received"</formula>
    </cfRule>
  </conditionalFormatting>
  <conditionalFormatting sqref="K303">
    <cfRule type="expression" dxfId="8201" priority="10343" stopIfTrue="1">
      <formula>AND($B303="Tender Received",$D303&lt;=(TODAY()+3))</formula>
    </cfRule>
    <cfRule type="expression" dxfId="8200" priority="10344" stopIfTrue="1">
      <formula>$B303="Tender Received"</formula>
    </cfRule>
  </conditionalFormatting>
  <conditionalFormatting sqref="F303">
    <cfRule type="expression" dxfId="8199" priority="10341" stopIfTrue="1">
      <formula>AND($B303="Tender Received",$D303&lt;=(TODAY()+3))</formula>
    </cfRule>
    <cfRule type="expression" dxfId="8198" priority="10342" stopIfTrue="1">
      <formula>$B303="Tender Received"</formula>
    </cfRule>
  </conditionalFormatting>
  <conditionalFormatting sqref="D303">
    <cfRule type="expression" dxfId="8197" priority="10339" stopIfTrue="1">
      <formula>AND($B303="Tender Received",$D303&lt;=(TODAY()+3))</formula>
    </cfRule>
    <cfRule type="expression" dxfId="8196" priority="10340" stopIfTrue="1">
      <formula>$B303="Tender Received"</formula>
    </cfRule>
  </conditionalFormatting>
  <conditionalFormatting sqref="F303">
    <cfRule type="expression" dxfId="8195" priority="10337" stopIfTrue="1">
      <formula>AND($B303="Tender Received",$D303&lt;=(TODAY()+3))</formula>
    </cfRule>
    <cfRule type="expression" dxfId="8194" priority="10338" stopIfTrue="1">
      <formula>$B303="Tender Received"</formula>
    </cfRule>
  </conditionalFormatting>
  <conditionalFormatting sqref="E303">
    <cfRule type="expression" dxfId="8193" priority="10335" stopIfTrue="1">
      <formula>AND($B303="Tender Received",$D303&lt;=(TODAY()+3))</formula>
    </cfRule>
    <cfRule type="expression" dxfId="8192" priority="10336" stopIfTrue="1">
      <formula>$B303="Tender Received"</formula>
    </cfRule>
  </conditionalFormatting>
  <conditionalFormatting sqref="D303">
    <cfRule type="expression" dxfId="8191" priority="10333" stopIfTrue="1">
      <formula>AND($B303="Tender Received",$D303&lt;=(TODAY()+3))</formula>
    </cfRule>
    <cfRule type="expression" dxfId="8190" priority="10334" stopIfTrue="1">
      <formula>$B303="Tender Received"</formula>
    </cfRule>
  </conditionalFormatting>
  <conditionalFormatting sqref="G303">
    <cfRule type="expression" dxfId="8189" priority="10331" stopIfTrue="1">
      <formula>AND($B303="Tender Received",$D303&lt;=(TODAY()+3))</formula>
    </cfRule>
    <cfRule type="expression" dxfId="8188" priority="10332" stopIfTrue="1">
      <formula>$B303="Tender Received"</formula>
    </cfRule>
  </conditionalFormatting>
  <conditionalFormatting sqref="G303">
    <cfRule type="expression" dxfId="8187" priority="10329" stopIfTrue="1">
      <formula>AND($B303="Tender Received",$D303&lt;=(TODAY()+3))</formula>
    </cfRule>
    <cfRule type="expression" dxfId="8186" priority="10330" stopIfTrue="1">
      <formula>$B303="Tender Received"</formula>
    </cfRule>
  </conditionalFormatting>
  <conditionalFormatting sqref="C303">
    <cfRule type="expression" dxfId="8185" priority="10327" stopIfTrue="1">
      <formula>AND($B303="Tender Received",$D303&lt;=(TODAY()+3))</formula>
    </cfRule>
    <cfRule type="expression" dxfId="8184" priority="10328" stopIfTrue="1">
      <formula>$B303="Tender Received"</formula>
    </cfRule>
  </conditionalFormatting>
  <conditionalFormatting sqref="Q304:R304">
    <cfRule type="expression" dxfId="8183" priority="10325" stopIfTrue="1">
      <formula>AND($B304="Tender Received",$D304&lt;=(TODAY()+3))</formula>
    </cfRule>
    <cfRule type="expression" dxfId="8182" priority="10326" stopIfTrue="1">
      <formula>$B304="Tender Received"</formula>
    </cfRule>
  </conditionalFormatting>
  <conditionalFormatting sqref="L304:P304">
    <cfRule type="expression" dxfId="8181" priority="10323" stopIfTrue="1">
      <formula>AND($B304="Tender Received",$D304&lt;=(TODAY()+3))</formula>
    </cfRule>
    <cfRule type="expression" dxfId="8180" priority="10324" stopIfTrue="1">
      <formula>$B304="Tender Received"</formula>
    </cfRule>
  </conditionalFormatting>
  <conditionalFormatting sqref="H304:I304">
    <cfRule type="expression" dxfId="8179" priority="10321" stopIfTrue="1">
      <formula>AND($B304="Tender Received",$D304&lt;=(TODAY()+3))</formula>
    </cfRule>
    <cfRule type="expression" dxfId="8178" priority="10322" stopIfTrue="1">
      <formula>$B304="Tender Received"</formula>
    </cfRule>
  </conditionalFormatting>
  <conditionalFormatting sqref="J304">
    <cfRule type="expression" dxfId="8177" priority="10319" stopIfTrue="1">
      <formula>AND($B304="Tender Received",$D304&lt;=(TODAY()+3))</formula>
    </cfRule>
    <cfRule type="expression" dxfId="8176" priority="10320" stopIfTrue="1">
      <formula>$B304="Tender Received"</formula>
    </cfRule>
  </conditionalFormatting>
  <conditionalFormatting sqref="K304">
    <cfRule type="expression" dxfId="8175" priority="10317" stopIfTrue="1">
      <formula>AND($B304="Tender Received",$D304&lt;=(TODAY()+3))</formula>
    </cfRule>
    <cfRule type="expression" dxfId="8174" priority="10318" stopIfTrue="1">
      <formula>$B304="Tender Received"</formula>
    </cfRule>
  </conditionalFormatting>
  <conditionalFormatting sqref="F304">
    <cfRule type="expression" dxfId="8173" priority="10315" stopIfTrue="1">
      <formula>AND($B304="Tender Received",$D304&lt;=(TODAY()+3))</formula>
    </cfRule>
    <cfRule type="expression" dxfId="8172" priority="10316" stopIfTrue="1">
      <formula>$B304="Tender Received"</formula>
    </cfRule>
  </conditionalFormatting>
  <conditionalFormatting sqref="D304">
    <cfRule type="expression" dxfId="8171" priority="10313" stopIfTrue="1">
      <formula>AND($B304="Tender Received",$D304&lt;=(TODAY()+3))</formula>
    </cfRule>
    <cfRule type="expression" dxfId="8170" priority="10314" stopIfTrue="1">
      <formula>$B304="Tender Received"</formula>
    </cfRule>
  </conditionalFormatting>
  <conditionalFormatting sqref="F304">
    <cfRule type="expression" dxfId="8169" priority="10311" stopIfTrue="1">
      <formula>AND($B304="Tender Received",$D304&lt;=(TODAY()+3))</formula>
    </cfRule>
    <cfRule type="expression" dxfId="8168" priority="10312" stopIfTrue="1">
      <formula>$B304="Tender Received"</formula>
    </cfRule>
  </conditionalFormatting>
  <conditionalFormatting sqref="E304">
    <cfRule type="expression" dxfId="8167" priority="10309" stopIfTrue="1">
      <formula>AND($B304="Tender Received",$D304&lt;=(TODAY()+3))</formula>
    </cfRule>
    <cfRule type="expression" dxfId="8166" priority="10310" stopIfTrue="1">
      <formula>$B304="Tender Received"</formula>
    </cfRule>
  </conditionalFormatting>
  <conditionalFormatting sqref="D304">
    <cfRule type="expression" dxfId="8165" priority="10307" stopIfTrue="1">
      <formula>AND($B304="Tender Received",$D304&lt;=(TODAY()+3))</formula>
    </cfRule>
    <cfRule type="expression" dxfId="8164" priority="10308" stopIfTrue="1">
      <formula>$B304="Tender Received"</formula>
    </cfRule>
  </conditionalFormatting>
  <conditionalFormatting sqref="G304">
    <cfRule type="expression" dxfId="8163" priority="10305" stopIfTrue="1">
      <formula>AND($B304="Tender Received",$D304&lt;=(TODAY()+3))</formula>
    </cfRule>
    <cfRule type="expression" dxfId="8162" priority="10306" stopIfTrue="1">
      <formula>$B304="Tender Received"</formula>
    </cfRule>
  </conditionalFormatting>
  <conditionalFormatting sqref="G304">
    <cfRule type="expression" dxfId="8161" priority="10303" stopIfTrue="1">
      <formula>AND($B304="Tender Received",$D304&lt;=(TODAY()+3))</formula>
    </cfRule>
    <cfRule type="expression" dxfId="8160" priority="10304" stopIfTrue="1">
      <formula>$B304="Tender Received"</formula>
    </cfRule>
  </conditionalFormatting>
  <conditionalFormatting sqref="C304">
    <cfRule type="expression" dxfId="8159" priority="10301" stopIfTrue="1">
      <formula>AND($B304="Tender Received",$D304&lt;=(TODAY()+3))</formula>
    </cfRule>
    <cfRule type="expression" dxfId="8158" priority="10302" stopIfTrue="1">
      <formula>$B304="Tender Received"</formula>
    </cfRule>
  </conditionalFormatting>
  <conditionalFormatting sqref="Q302:R309">
    <cfRule type="expression" dxfId="8157" priority="10299" stopIfTrue="1">
      <formula>AND($B302="Tender Received",$D302&lt;=(TODAY()+3))</formula>
    </cfRule>
    <cfRule type="expression" dxfId="8156" priority="10300" stopIfTrue="1">
      <formula>$B302="Tender Received"</formula>
    </cfRule>
  </conditionalFormatting>
  <conditionalFormatting sqref="L302:P309">
    <cfRule type="expression" dxfId="8155" priority="10297" stopIfTrue="1">
      <formula>AND($B302="Tender Received",$D302&lt;=(TODAY()+3))</formula>
    </cfRule>
    <cfRule type="expression" dxfId="8154" priority="10298" stopIfTrue="1">
      <formula>$B302="Tender Received"</formula>
    </cfRule>
  </conditionalFormatting>
  <conditionalFormatting sqref="H302:I309">
    <cfRule type="expression" dxfId="8153" priority="10295" stopIfTrue="1">
      <formula>AND($B302="Tender Received",$D302&lt;=(TODAY()+3))</formula>
    </cfRule>
    <cfRule type="expression" dxfId="8152" priority="10296" stopIfTrue="1">
      <formula>$B302="Tender Received"</formula>
    </cfRule>
  </conditionalFormatting>
  <conditionalFormatting sqref="J302:J309">
    <cfRule type="expression" dxfId="8151" priority="10293" stopIfTrue="1">
      <formula>AND($B302="Tender Received",$D302&lt;=(TODAY()+3))</formula>
    </cfRule>
    <cfRule type="expression" dxfId="8150" priority="10294" stopIfTrue="1">
      <formula>$B302="Tender Received"</formula>
    </cfRule>
  </conditionalFormatting>
  <conditionalFormatting sqref="K302:K309">
    <cfRule type="expression" dxfId="8149" priority="10291" stopIfTrue="1">
      <formula>AND($B302="Tender Received",$D302&lt;=(TODAY()+3))</formula>
    </cfRule>
    <cfRule type="expression" dxfId="8148" priority="10292" stopIfTrue="1">
      <formula>$B302="Tender Received"</formula>
    </cfRule>
  </conditionalFormatting>
  <conditionalFormatting sqref="F302:F309">
    <cfRule type="expression" dxfId="8147" priority="10289" stopIfTrue="1">
      <formula>AND($B302="Tender Received",$D302&lt;=(TODAY()+3))</formula>
    </cfRule>
    <cfRule type="expression" dxfId="8146" priority="10290" stopIfTrue="1">
      <formula>$B302="Tender Received"</formula>
    </cfRule>
  </conditionalFormatting>
  <conditionalFormatting sqref="D305">
    <cfRule type="expression" dxfId="8145" priority="10287" stopIfTrue="1">
      <formula>AND($B305="Tender Received",$D305&lt;=(TODAY()+3))</formula>
    </cfRule>
    <cfRule type="expression" dxfId="8144" priority="10288" stopIfTrue="1">
      <formula>$B305="Tender Received"</formula>
    </cfRule>
  </conditionalFormatting>
  <conditionalFormatting sqref="F302:F309">
    <cfRule type="expression" dxfId="8143" priority="10285" stopIfTrue="1">
      <formula>AND($B302="Tender Received",$D302&lt;=(TODAY()+3))</formula>
    </cfRule>
    <cfRule type="expression" dxfId="8142" priority="10286" stopIfTrue="1">
      <formula>$B302="Tender Received"</formula>
    </cfRule>
  </conditionalFormatting>
  <conditionalFormatting sqref="E305:E306">
    <cfRule type="expression" dxfId="8141" priority="10283" stopIfTrue="1">
      <formula>AND($B305="Tender Received",$D305&lt;=(TODAY()+3))</formula>
    </cfRule>
    <cfRule type="expression" dxfId="8140" priority="10284" stopIfTrue="1">
      <formula>$B305="Tender Received"</formula>
    </cfRule>
  </conditionalFormatting>
  <conditionalFormatting sqref="D305">
    <cfRule type="expression" dxfId="8139" priority="10281" stopIfTrue="1">
      <formula>AND($B305="Tender Received",$D305&lt;=(TODAY()+3))</formula>
    </cfRule>
    <cfRule type="expression" dxfId="8138" priority="10282" stopIfTrue="1">
      <formula>$B305="Tender Received"</formula>
    </cfRule>
  </conditionalFormatting>
  <conditionalFormatting sqref="G302:G309">
    <cfRule type="expression" dxfId="8137" priority="10279" stopIfTrue="1">
      <formula>AND($B302="Tender Received",$D302&lt;=(TODAY()+3))</formula>
    </cfRule>
    <cfRule type="expression" dxfId="8136" priority="10280" stopIfTrue="1">
      <formula>$B302="Tender Received"</formula>
    </cfRule>
  </conditionalFormatting>
  <conditionalFormatting sqref="G302:G309">
    <cfRule type="expression" dxfId="8135" priority="10277" stopIfTrue="1">
      <formula>AND($B302="Tender Received",$D302&lt;=(TODAY()+3))</formula>
    </cfRule>
    <cfRule type="expression" dxfId="8134" priority="10278" stopIfTrue="1">
      <formula>$B302="Tender Received"</formula>
    </cfRule>
  </conditionalFormatting>
  <conditionalFormatting sqref="C305">
    <cfRule type="expression" dxfId="8133" priority="10275" stopIfTrue="1">
      <formula>AND($B305="Tender Received",$D305&lt;=(TODAY()+3))</formula>
    </cfRule>
    <cfRule type="expression" dxfId="8132" priority="10276" stopIfTrue="1">
      <formula>$B305="Tender Received"</formula>
    </cfRule>
  </conditionalFormatting>
  <conditionalFormatting sqref="D306">
    <cfRule type="expression" dxfId="8131" priority="10273" stopIfTrue="1">
      <formula>AND($B306="Tender Received",$D306&lt;=(TODAY()+3))</formula>
    </cfRule>
    <cfRule type="expression" dxfId="8130" priority="10274" stopIfTrue="1">
      <formula>$B306="Tender Received"</formula>
    </cfRule>
  </conditionalFormatting>
  <conditionalFormatting sqref="D306">
    <cfRule type="expression" dxfId="8129" priority="10271" stopIfTrue="1">
      <formula>AND($B306="Tender Received",$D306&lt;=(TODAY()+3))</formula>
    </cfRule>
    <cfRule type="expression" dxfId="8128" priority="10272" stopIfTrue="1">
      <formula>$B306="Tender Received"</formula>
    </cfRule>
  </conditionalFormatting>
  <conditionalFormatting sqref="C306">
    <cfRule type="expression" dxfId="8127" priority="10269" stopIfTrue="1">
      <formula>AND($B306="Tender Received",$D306&lt;=(TODAY()+3))</formula>
    </cfRule>
    <cfRule type="expression" dxfId="8126" priority="10270" stopIfTrue="1">
      <formula>$B306="Tender Received"</formula>
    </cfRule>
  </conditionalFormatting>
  <conditionalFormatting sqref="E307:E309">
    <cfRule type="expression" dxfId="8125" priority="10267" stopIfTrue="1">
      <formula>AND($B307="Tender Received",$D307&lt;=(TODAY()+3))</formula>
    </cfRule>
    <cfRule type="expression" dxfId="8124" priority="10268" stopIfTrue="1">
      <formula>$B307="Tender Received"</formula>
    </cfRule>
  </conditionalFormatting>
  <conditionalFormatting sqref="D307:D309">
    <cfRule type="expression" dxfId="8123" priority="10265" stopIfTrue="1">
      <formula>AND($B307="Tender Received",$D307&lt;=(TODAY()+3))</formula>
    </cfRule>
    <cfRule type="expression" dxfId="8122" priority="10266" stopIfTrue="1">
      <formula>$B307="Tender Received"</formula>
    </cfRule>
  </conditionalFormatting>
  <conditionalFormatting sqref="D307:D309">
    <cfRule type="expression" dxfId="8121" priority="10263" stopIfTrue="1">
      <formula>AND($B307="Tender Received",$D307&lt;=(TODAY()+3))</formula>
    </cfRule>
    <cfRule type="expression" dxfId="8120" priority="10264" stopIfTrue="1">
      <formula>$B307="Tender Received"</formula>
    </cfRule>
  </conditionalFormatting>
  <conditionalFormatting sqref="C307:C309">
    <cfRule type="expression" dxfId="8119" priority="10261" stopIfTrue="1">
      <formula>AND($B307="Tender Received",$D307&lt;=(TODAY()+3))</formula>
    </cfRule>
    <cfRule type="expression" dxfId="8118" priority="10262" stopIfTrue="1">
      <formula>$B307="Tender Received"</formula>
    </cfRule>
  </conditionalFormatting>
  <conditionalFormatting sqref="L310:P310">
    <cfRule type="expression" dxfId="8117" priority="10259" stopIfTrue="1">
      <formula>AND($B310="Tender Received",$D310&lt;=(TODAY()+3))</formula>
    </cfRule>
    <cfRule type="expression" dxfId="8116" priority="10260" stopIfTrue="1">
      <formula>$B310="Tender Received"</formula>
    </cfRule>
  </conditionalFormatting>
  <conditionalFormatting sqref="H310:I310">
    <cfRule type="expression" dxfId="8115" priority="10257" stopIfTrue="1">
      <formula>AND($B310="Tender Received",$D310&lt;=(TODAY()+3))</formula>
    </cfRule>
    <cfRule type="expression" dxfId="8114" priority="10258" stopIfTrue="1">
      <formula>$B310="Tender Received"</formula>
    </cfRule>
  </conditionalFormatting>
  <conditionalFormatting sqref="J310">
    <cfRule type="expression" dxfId="8113" priority="10255" stopIfTrue="1">
      <formula>AND($B310="Tender Received",$D310&lt;=(TODAY()+3))</formula>
    </cfRule>
    <cfRule type="expression" dxfId="8112" priority="10256" stopIfTrue="1">
      <formula>$B310="Tender Received"</formula>
    </cfRule>
  </conditionalFormatting>
  <conditionalFormatting sqref="K310">
    <cfRule type="expression" dxfId="8111" priority="10253" stopIfTrue="1">
      <formula>AND($B310="Tender Received",$D310&lt;=(TODAY()+3))</formula>
    </cfRule>
    <cfRule type="expression" dxfId="8110" priority="10254" stopIfTrue="1">
      <formula>$B310="Tender Received"</formula>
    </cfRule>
  </conditionalFormatting>
  <conditionalFormatting sqref="F310">
    <cfRule type="expression" dxfId="8109" priority="10251" stopIfTrue="1">
      <formula>AND($B310="Tender Received",$D310&lt;=(TODAY()+3))</formula>
    </cfRule>
    <cfRule type="expression" dxfId="8108" priority="10252" stopIfTrue="1">
      <formula>$B310="Tender Received"</formula>
    </cfRule>
  </conditionalFormatting>
  <conditionalFormatting sqref="F310">
    <cfRule type="expression" dxfId="8107" priority="10249" stopIfTrue="1">
      <formula>AND($B310="Tender Received",$D310&lt;=(TODAY()+3))</formula>
    </cfRule>
    <cfRule type="expression" dxfId="8106" priority="10250" stopIfTrue="1">
      <formula>$B310="Tender Received"</formula>
    </cfRule>
  </conditionalFormatting>
  <conditionalFormatting sqref="G310">
    <cfRule type="expression" dxfId="8105" priority="10247" stopIfTrue="1">
      <formula>AND($B310="Tender Received",$D310&lt;=(TODAY()+3))</formula>
    </cfRule>
    <cfRule type="expression" dxfId="8104" priority="10248" stopIfTrue="1">
      <formula>$B310="Tender Received"</formula>
    </cfRule>
  </conditionalFormatting>
  <conditionalFormatting sqref="G310">
    <cfRule type="expression" dxfId="8103" priority="10245" stopIfTrue="1">
      <formula>AND($B310="Tender Received",$D310&lt;=(TODAY()+3))</formula>
    </cfRule>
    <cfRule type="expression" dxfId="8102" priority="10246" stopIfTrue="1">
      <formula>$B310="Tender Received"</formula>
    </cfRule>
  </conditionalFormatting>
  <conditionalFormatting sqref="E310">
    <cfRule type="expression" dxfId="8101" priority="10243" stopIfTrue="1">
      <formula>AND($B310="Tender Received",$D310&lt;=(TODAY()+3))</formula>
    </cfRule>
    <cfRule type="expression" dxfId="8100" priority="10244" stopIfTrue="1">
      <formula>$B310="Tender Received"</formula>
    </cfRule>
  </conditionalFormatting>
  <conditionalFormatting sqref="D310">
    <cfRule type="expression" dxfId="8099" priority="10241" stopIfTrue="1">
      <formula>AND($B310="Tender Received",$D310&lt;=(TODAY()+3))</formula>
    </cfRule>
    <cfRule type="expression" dxfId="8098" priority="10242" stopIfTrue="1">
      <formula>$B310="Tender Received"</formula>
    </cfRule>
  </conditionalFormatting>
  <conditionalFormatting sqref="D310">
    <cfRule type="expression" dxfId="8097" priority="10239" stopIfTrue="1">
      <formula>AND($B310="Tender Received",$D310&lt;=(TODAY()+3))</formula>
    </cfRule>
    <cfRule type="expression" dxfId="8096" priority="10240" stopIfTrue="1">
      <formula>$B310="Tender Received"</formula>
    </cfRule>
  </conditionalFormatting>
  <conditionalFormatting sqref="C310">
    <cfRule type="expression" dxfId="8095" priority="10237" stopIfTrue="1">
      <formula>AND($B310="Tender Received",$D310&lt;=(TODAY()+3))</formula>
    </cfRule>
    <cfRule type="expression" dxfId="8094" priority="10238" stopIfTrue="1">
      <formula>$B310="Tender Received"</formula>
    </cfRule>
  </conditionalFormatting>
  <conditionalFormatting sqref="Q311:R312">
    <cfRule type="expression" dxfId="8093" priority="10235" stopIfTrue="1">
      <formula>AND($B311="Tender Received",$D311&lt;=(TODAY()+3))</formula>
    </cfRule>
    <cfRule type="expression" dxfId="8092" priority="10236" stopIfTrue="1">
      <formula>$B311="Tender Received"</formula>
    </cfRule>
  </conditionalFormatting>
  <conditionalFormatting sqref="L311:P312">
    <cfRule type="expression" dxfId="8091" priority="10233" stopIfTrue="1">
      <formula>AND($B311="Tender Received",$D311&lt;=(TODAY()+3))</formula>
    </cfRule>
    <cfRule type="expression" dxfId="8090" priority="10234" stopIfTrue="1">
      <formula>$B311="Tender Received"</formula>
    </cfRule>
  </conditionalFormatting>
  <conditionalFormatting sqref="H311:I312">
    <cfRule type="expression" dxfId="8089" priority="10231" stopIfTrue="1">
      <formula>AND($B311="Tender Received",$D311&lt;=(TODAY()+3))</formula>
    </cfRule>
    <cfRule type="expression" dxfId="8088" priority="10232" stopIfTrue="1">
      <formula>$B311="Tender Received"</formula>
    </cfRule>
  </conditionalFormatting>
  <conditionalFormatting sqref="J311:J312">
    <cfRule type="expression" dxfId="8087" priority="10229" stopIfTrue="1">
      <formula>AND($B311="Tender Received",$D311&lt;=(TODAY()+3))</formula>
    </cfRule>
    <cfRule type="expression" dxfId="8086" priority="10230" stopIfTrue="1">
      <formula>$B311="Tender Received"</formula>
    </cfRule>
  </conditionalFormatting>
  <conditionalFormatting sqref="K311:K312">
    <cfRule type="expression" dxfId="8085" priority="10227" stopIfTrue="1">
      <formula>AND($B311="Tender Received",$D311&lt;=(TODAY()+3))</formula>
    </cfRule>
    <cfRule type="expression" dxfId="8084" priority="10228" stopIfTrue="1">
      <formula>$B311="Tender Received"</formula>
    </cfRule>
  </conditionalFormatting>
  <conditionalFormatting sqref="F311:F312">
    <cfRule type="expression" dxfId="8083" priority="10225" stopIfTrue="1">
      <formula>AND($B311="Tender Received",$D311&lt;=(TODAY()+3))</formula>
    </cfRule>
    <cfRule type="expression" dxfId="8082" priority="10226" stopIfTrue="1">
      <formula>$B311="Tender Received"</formula>
    </cfRule>
  </conditionalFormatting>
  <conditionalFormatting sqref="F311:F312">
    <cfRule type="expression" dxfId="8081" priority="10223" stopIfTrue="1">
      <formula>AND($B311="Tender Received",$D311&lt;=(TODAY()+3))</formula>
    </cfRule>
    <cfRule type="expression" dxfId="8080" priority="10224" stopIfTrue="1">
      <formula>$B311="Tender Received"</formula>
    </cfRule>
  </conditionalFormatting>
  <conditionalFormatting sqref="G311:G312">
    <cfRule type="expression" dxfId="8079" priority="10221" stopIfTrue="1">
      <formula>AND($B311="Tender Received",$D311&lt;=(TODAY()+3))</formula>
    </cfRule>
    <cfRule type="expression" dxfId="8078" priority="10222" stopIfTrue="1">
      <formula>$B311="Tender Received"</formula>
    </cfRule>
  </conditionalFormatting>
  <conditionalFormatting sqref="G311:G312">
    <cfRule type="expression" dxfId="8077" priority="10219" stopIfTrue="1">
      <formula>AND($B311="Tender Received",$D311&lt;=(TODAY()+3))</formula>
    </cfRule>
    <cfRule type="expression" dxfId="8076" priority="10220" stopIfTrue="1">
      <formula>$B311="Tender Received"</formula>
    </cfRule>
  </conditionalFormatting>
  <conditionalFormatting sqref="E311:E312">
    <cfRule type="expression" dxfId="8075" priority="10217" stopIfTrue="1">
      <formula>AND($B311="Tender Received",$D311&lt;=(TODAY()+3))</formula>
    </cfRule>
    <cfRule type="expression" dxfId="8074" priority="10218" stopIfTrue="1">
      <formula>$B311="Tender Received"</formula>
    </cfRule>
  </conditionalFormatting>
  <conditionalFormatting sqref="D311:D312">
    <cfRule type="expression" dxfId="8073" priority="10215" stopIfTrue="1">
      <formula>AND($B311="Tender Received",$D311&lt;=(TODAY()+3))</formula>
    </cfRule>
    <cfRule type="expression" dxfId="8072" priority="10216" stopIfTrue="1">
      <formula>$B311="Tender Received"</formula>
    </cfRule>
  </conditionalFormatting>
  <conditionalFormatting sqref="D311:D312">
    <cfRule type="expression" dxfId="8071" priority="10213" stopIfTrue="1">
      <formula>AND($B311="Tender Received",$D311&lt;=(TODAY()+3))</formula>
    </cfRule>
    <cfRule type="expression" dxfId="8070" priority="10214" stopIfTrue="1">
      <formula>$B311="Tender Received"</formula>
    </cfRule>
  </conditionalFormatting>
  <conditionalFormatting sqref="C311:C312">
    <cfRule type="expression" dxfId="8069" priority="10211" stopIfTrue="1">
      <formula>AND($B311="Tender Received",$D311&lt;=(TODAY()+3))</formula>
    </cfRule>
    <cfRule type="expression" dxfId="8068" priority="10212" stopIfTrue="1">
      <formula>$B311="Tender Received"</formula>
    </cfRule>
  </conditionalFormatting>
  <conditionalFormatting sqref="Q313:R315">
    <cfRule type="expression" dxfId="8067" priority="10209" stopIfTrue="1">
      <formula>AND($B313="Tender Received",$D313&lt;=(TODAY()+3))</formula>
    </cfRule>
    <cfRule type="expression" dxfId="8066" priority="10210" stopIfTrue="1">
      <formula>$B313="Tender Received"</formula>
    </cfRule>
  </conditionalFormatting>
  <conditionalFormatting sqref="L313:P315">
    <cfRule type="expression" dxfId="8065" priority="10207" stopIfTrue="1">
      <formula>AND($B313="Tender Received",$D313&lt;=(TODAY()+3))</formula>
    </cfRule>
    <cfRule type="expression" dxfId="8064" priority="10208" stopIfTrue="1">
      <formula>$B313="Tender Received"</formula>
    </cfRule>
  </conditionalFormatting>
  <conditionalFormatting sqref="H313:I315">
    <cfRule type="expression" dxfId="8063" priority="10205" stopIfTrue="1">
      <formula>AND($B313="Tender Received",$D313&lt;=(TODAY()+3))</formula>
    </cfRule>
    <cfRule type="expression" dxfId="8062" priority="10206" stopIfTrue="1">
      <formula>$B313="Tender Received"</formula>
    </cfRule>
  </conditionalFormatting>
  <conditionalFormatting sqref="J313:J315">
    <cfRule type="expression" dxfId="8061" priority="10203" stopIfTrue="1">
      <formula>AND($B313="Tender Received",$D313&lt;=(TODAY()+3))</formula>
    </cfRule>
    <cfRule type="expression" dxfId="8060" priority="10204" stopIfTrue="1">
      <formula>$B313="Tender Received"</formula>
    </cfRule>
  </conditionalFormatting>
  <conditionalFormatting sqref="K313:K315">
    <cfRule type="expression" dxfId="8059" priority="10201" stopIfTrue="1">
      <formula>AND($B313="Tender Received",$D313&lt;=(TODAY()+3))</formula>
    </cfRule>
    <cfRule type="expression" dxfId="8058" priority="10202" stopIfTrue="1">
      <formula>$B313="Tender Received"</formula>
    </cfRule>
  </conditionalFormatting>
  <conditionalFormatting sqref="F313:F315">
    <cfRule type="expression" dxfId="8057" priority="10199" stopIfTrue="1">
      <formula>AND($B313="Tender Received",$D313&lt;=(TODAY()+3))</formula>
    </cfRule>
    <cfRule type="expression" dxfId="8056" priority="10200" stopIfTrue="1">
      <formula>$B313="Tender Received"</formula>
    </cfRule>
  </conditionalFormatting>
  <conditionalFormatting sqref="F313:F315">
    <cfRule type="expression" dxfId="8055" priority="10197" stopIfTrue="1">
      <formula>AND($B313="Tender Received",$D313&lt;=(TODAY()+3))</formula>
    </cfRule>
    <cfRule type="expression" dxfId="8054" priority="10198" stopIfTrue="1">
      <formula>$B313="Tender Received"</formula>
    </cfRule>
  </conditionalFormatting>
  <conditionalFormatting sqref="G313:G315">
    <cfRule type="expression" dxfId="8053" priority="10195" stopIfTrue="1">
      <formula>AND($B313="Tender Received",$D313&lt;=(TODAY()+3))</formula>
    </cfRule>
    <cfRule type="expression" dxfId="8052" priority="10196" stopIfTrue="1">
      <formula>$B313="Tender Received"</formula>
    </cfRule>
  </conditionalFormatting>
  <conditionalFormatting sqref="G313:G315">
    <cfRule type="expression" dxfId="8051" priority="10193" stopIfTrue="1">
      <formula>AND($B313="Tender Received",$D313&lt;=(TODAY()+3))</formula>
    </cfRule>
    <cfRule type="expression" dxfId="8050" priority="10194" stopIfTrue="1">
      <formula>$B313="Tender Received"</formula>
    </cfRule>
  </conditionalFormatting>
  <conditionalFormatting sqref="E313:E315">
    <cfRule type="expression" dxfId="8049" priority="10191" stopIfTrue="1">
      <formula>AND($B313="Tender Received",$D313&lt;=(TODAY()+3))</formula>
    </cfRule>
    <cfRule type="expression" dxfId="8048" priority="10192" stopIfTrue="1">
      <formula>$B313="Tender Received"</formula>
    </cfRule>
  </conditionalFormatting>
  <conditionalFormatting sqref="D313:D315">
    <cfRule type="expression" dxfId="8047" priority="10189" stopIfTrue="1">
      <formula>AND($B313="Tender Received",$D313&lt;=(TODAY()+3))</formula>
    </cfRule>
    <cfRule type="expression" dxfId="8046" priority="10190" stopIfTrue="1">
      <formula>$B313="Tender Received"</formula>
    </cfRule>
  </conditionalFormatting>
  <conditionalFormatting sqref="D313:D315">
    <cfRule type="expression" dxfId="8045" priority="10187" stopIfTrue="1">
      <formula>AND($B313="Tender Received",$D313&lt;=(TODAY()+3))</formula>
    </cfRule>
    <cfRule type="expression" dxfId="8044" priority="10188" stopIfTrue="1">
      <formula>$B313="Tender Received"</formula>
    </cfRule>
  </conditionalFormatting>
  <conditionalFormatting sqref="C313:C315">
    <cfRule type="expression" dxfId="8043" priority="10185" stopIfTrue="1">
      <formula>AND($B313="Tender Received",$D313&lt;=(TODAY()+3))</formula>
    </cfRule>
    <cfRule type="expression" dxfId="8042" priority="10186" stopIfTrue="1">
      <formula>$B313="Tender Received"</formula>
    </cfRule>
  </conditionalFormatting>
  <conditionalFormatting sqref="C316:K316 M316:R316">
    <cfRule type="expression" dxfId="8041" priority="10183" stopIfTrue="1">
      <formula>AND($B316="Tender Received",$D316&lt;=(TODAY()+3))</formula>
    </cfRule>
    <cfRule type="expression" dxfId="8040" priority="10184" stopIfTrue="1">
      <formula>$B316="Tender Received"</formula>
    </cfRule>
  </conditionalFormatting>
  <conditionalFormatting sqref="L316">
    <cfRule type="expression" dxfId="8039" priority="10181" stopIfTrue="1">
      <formula>AND($B316="Tender Received",$D316&lt;=(TODAY()+3))</formula>
    </cfRule>
    <cfRule type="expression" dxfId="8038" priority="10182" stopIfTrue="1">
      <formula>$B316="Tender Received"</formula>
    </cfRule>
  </conditionalFormatting>
  <conditionalFormatting sqref="C320:R320">
    <cfRule type="expression" dxfId="8037" priority="10177" stopIfTrue="1">
      <formula>AND($B320="Tender Received",$D320&lt;=(TODAY()+3))</formula>
    </cfRule>
    <cfRule type="expression" dxfId="8036" priority="10178" stopIfTrue="1">
      <formula>$B320="Tender Received"</formula>
    </cfRule>
  </conditionalFormatting>
  <conditionalFormatting sqref="C321:R323">
    <cfRule type="expression" dxfId="8035" priority="10175" stopIfTrue="1">
      <formula>AND($B321="Tender Received",$D321&lt;=(TODAY()+3))</formula>
    </cfRule>
    <cfRule type="expression" dxfId="8034" priority="10176" stopIfTrue="1">
      <formula>$B321="Tender Received"</formula>
    </cfRule>
  </conditionalFormatting>
  <conditionalFormatting sqref="C324:R324">
    <cfRule type="expression" dxfId="8033" priority="10173" stopIfTrue="1">
      <formula>AND($B324="Tender Received",$D324&lt;=(TODAY()+3))</formula>
    </cfRule>
    <cfRule type="expression" dxfId="8032" priority="10174" stopIfTrue="1">
      <formula>$B324="Tender Received"</formula>
    </cfRule>
  </conditionalFormatting>
  <conditionalFormatting sqref="C325:R325">
    <cfRule type="expression" dxfId="8031" priority="10171" stopIfTrue="1">
      <formula>AND($B325="Tender Received",$D325&lt;=(TODAY()+3))</formula>
    </cfRule>
    <cfRule type="expression" dxfId="8030" priority="10172" stopIfTrue="1">
      <formula>$B325="Tender Received"</formula>
    </cfRule>
  </conditionalFormatting>
  <conditionalFormatting sqref="C326:R326">
    <cfRule type="expression" dxfId="8029" priority="10169" stopIfTrue="1">
      <formula>AND($B326="Tender Received",$D326&lt;=(TODAY()+3))</formula>
    </cfRule>
    <cfRule type="expression" dxfId="8028" priority="10170" stopIfTrue="1">
      <formula>$B326="Tender Received"</formula>
    </cfRule>
  </conditionalFormatting>
  <conditionalFormatting sqref="C327:K327">
    <cfRule type="expression" dxfId="8027" priority="10167" stopIfTrue="1">
      <formula>AND($B327="Tender Received",$D327&lt;=(TODAY()+3))</formula>
    </cfRule>
    <cfRule type="expression" dxfId="8026" priority="10168" stopIfTrue="1">
      <formula>$B327="Tender Received"</formula>
    </cfRule>
  </conditionalFormatting>
  <conditionalFormatting sqref="L328:R328">
    <cfRule type="expression" dxfId="8025" priority="10165" stopIfTrue="1">
      <formula>AND($B328="Tender Received",$D328&lt;=(TODAY()+3))</formula>
    </cfRule>
    <cfRule type="expression" dxfId="8024" priority="10166" stopIfTrue="1">
      <formula>$B328="Tender Received"</formula>
    </cfRule>
  </conditionalFormatting>
  <conditionalFormatting sqref="C328:K328">
    <cfRule type="expression" dxfId="8023" priority="10163" stopIfTrue="1">
      <formula>AND($B328="Tender Received",$D328&lt;=(TODAY()+3))</formula>
    </cfRule>
    <cfRule type="expression" dxfId="8022" priority="10164" stopIfTrue="1">
      <formula>$B328="Tender Received"</formula>
    </cfRule>
  </conditionalFormatting>
  <conditionalFormatting sqref="E329:K329 C330:K331">
    <cfRule type="expression" dxfId="8021" priority="10161" stopIfTrue="1">
      <formula>AND($B329="Tender Received",$D329&lt;=(TODAY()+3))</formula>
    </cfRule>
    <cfRule type="expression" dxfId="8020" priority="10162" stopIfTrue="1">
      <formula>$B329="Tender Received"</formula>
    </cfRule>
  </conditionalFormatting>
  <conditionalFormatting sqref="C329:D329">
    <cfRule type="expression" dxfId="8019" priority="10159" stopIfTrue="1">
      <formula>AND($B329="Tender Received",$D329&lt;=(TODAY()+3))</formula>
    </cfRule>
    <cfRule type="expression" dxfId="8018" priority="10160" stopIfTrue="1">
      <formula>$B329="Tender Received"</formula>
    </cfRule>
  </conditionalFormatting>
  <conditionalFormatting sqref="L329">
    <cfRule type="expression" dxfId="8017" priority="10157" stopIfTrue="1">
      <formula>AND($B329="Tender Received",$D329&lt;=(TODAY()+3))</formula>
    </cfRule>
    <cfRule type="expression" dxfId="8016" priority="10158" stopIfTrue="1">
      <formula>$B329="Tender Received"</formula>
    </cfRule>
  </conditionalFormatting>
  <conditionalFormatting sqref="L331">
    <cfRule type="expression" dxfId="8015" priority="10155" stopIfTrue="1">
      <formula>AND($B331="Tender Received",$D331&lt;=(TODAY()+3))</formula>
    </cfRule>
    <cfRule type="expression" dxfId="8014" priority="10156" stopIfTrue="1">
      <formula>$B331="Tender Received"</formula>
    </cfRule>
  </conditionalFormatting>
  <conditionalFormatting sqref="C332:K332">
    <cfRule type="expression" dxfId="8013" priority="10153" stopIfTrue="1">
      <formula>AND($B332="Tender Received",$D332&lt;=(TODAY()+3))</formula>
    </cfRule>
    <cfRule type="expression" dxfId="8012" priority="10154" stopIfTrue="1">
      <formula>$B332="Tender Received"</formula>
    </cfRule>
  </conditionalFormatting>
  <conditionalFormatting sqref="L333">
    <cfRule type="expression" dxfId="8011" priority="10151" stopIfTrue="1">
      <formula>AND($B333="Tender Received",$D333&lt;=(TODAY()+3))</formula>
    </cfRule>
    <cfRule type="expression" dxfId="8010" priority="10152" stopIfTrue="1">
      <formula>$B333="Tender Received"</formula>
    </cfRule>
  </conditionalFormatting>
  <conditionalFormatting sqref="C333:K333">
    <cfRule type="expression" dxfId="8009" priority="10149" stopIfTrue="1">
      <formula>AND($B333="Tender Received",$D333&lt;=(TODAY()+3))</formula>
    </cfRule>
    <cfRule type="expression" dxfId="8008" priority="10150" stopIfTrue="1">
      <formula>$B333="Tender Received"</formula>
    </cfRule>
  </conditionalFormatting>
  <conditionalFormatting sqref="M334:R334">
    <cfRule type="expression" dxfId="8007" priority="10147" stopIfTrue="1">
      <formula>AND($B334="Tender Received",$D334&lt;=(TODAY()+3))</formula>
    </cfRule>
    <cfRule type="expression" dxfId="8006" priority="10148" stopIfTrue="1">
      <formula>$B334="Tender Received"</formula>
    </cfRule>
  </conditionalFormatting>
  <conditionalFormatting sqref="L334">
    <cfRule type="expression" dxfId="8005" priority="10145" stopIfTrue="1">
      <formula>AND($B334="Tender Received",$D334&lt;=(TODAY()+3))</formula>
    </cfRule>
    <cfRule type="expression" dxfId="8004" priority="10146" stopIfTrue="1">
      <formula>$B334="Tender Received"</formula>
    </cfRule>
  </conditionalFormatting>
  <conditionalFormatting sqref="C334:K334">
    <cfRule type="expression" dxfId="8003" priority="10143" stopIfTrue="1">
      <formula>AND($B334="Tender Received",$D334&lt;=(TODAY()+3))</formula>
    </cfRule>
    <cfRule type="expression" dxfId="8002" priority="10144" stopIfTrue="1">
      <formula>$B334="Tender Received"</formula>
    </cfRule>
  </conditionalFormatting>
  <conditionalFormatting sqref="M335:R335">
    <cfRule type="expression" dxfId="8001" priority="10141" stopIfTrue="1">
      <formula>AND($B335="Tender Received",$D335&lt;=(TODAY()+3))</formula>
    </cfRule>
    <cfRule type="expression" dxfId="8000" priority="10142" stopIfTrue="1">
      <formula>$B335="Tender Received"</formula>
    </cfRule>
  </conditionalFormatting>
  <conditionalFormatting sqref="L335">
    <cfRule type="expression" dxfId="7999" priority="10139" stopIfTrue="1">
      <formula>AND($B335="Tender Received",$D335&lt;=(TODAY()+3))</formula>
    </cfRule>
    <cfRule type="expression" dxfId="7998" priority="10140" stopIfTrue="1">
      <formula>$B335="Tender Received"</formula>
    </cfRule>
  </conditionalFormatting>
  <conditionalFormatting sqref="C335:K335">
    <cfRule type="expression" dxfId="7997" priority="10137" stopIfTrue="1">
      <formula>AND($B335="Tender Received",$D335&lt;=(TODAY()+3))</formula>
    </cfRule>
    <cfRule type="expression" dxfId="7996" priority="10138" stopIfTrue="1">
      <formula>$B335="Tender Received"</formula>
    </cfRule>
  </conditionalFormatting>
  <conditionalFormatting sqref="C336:K336">
    <cfRule type="expression" dxfId="7995" priority="10135" stopIfTrue="1">
      <formula>AND($B336="Tender Received",$D336&lt;=(TODAY()+3))</formula>
    </cfRule>
    <cfRule type="expression" dxfId="7994" priority="10136" stopIfTrue="1">
      <formula>$B336="Tender Received"</formula>
    </cfRule>
  </conditionalFormatting>
  <conditionalFormatting sqref="C337:K337">
    <cfRule type="expression" dxfId="7993" priority="10133" stopIfTrue="1">
      <formula>AND($B337="Tender Received",$D337&lt;=(TODAY()+3))</formula>
    </cfRule>
    <cfRule type="expression" dxfId="7992" priority="10134" stopIfTrue="1">
      <formula>$B337="Tender Received"</formula>
    </cfRule>
  </conditionalFormatting>
  <conditionalFormatting sqref="L338:P340">
    <cfRule type="expression" dxfId="7991" priority="10131" stopIfTrue="1">
      <formula>AND($B338="Tender Received",$D338&lt;=(TODAY()+3))</formula>
    </cfRule>
    <cfRule type="expression" dxfId="7990" priority="10132" stopIfTrue="1">
      <formula>$B338="Tender Received"</formula>
    </cfRule>
  </conditionalFormatting>
  <conditionalFormatting sqref="C338:K340">
    <cfRule type="expression" dxfId="7989" priority="10129" stopIfTrue="1">
      <formula>AND($B338="Tender Received",$D338&lt;=(TODAY()+3))</formula>
    </cfRule>
    <cfRule type="expression" dxfId="7988" priority="10130" stopIfTrue="1">
      <formula>$B338="Tender Received"</formula>
    </cfRule>
  </conditionalFormatting>
  <conditionalFormatting sqref="L338">
    <cfRule type="expression" dxfId="7987" priority="10127" stopIfTrue="1">
      <formula>AND($B338="Tender Received",$D338&lt;=(TODAY()+3))</formula>
    </cfRule>
    <cfRule type="expression" dxfId="7986" priority="10128" stopIfTrue="1">
      <formula>$B338="Tender Received"</formula>
    </cfRule>
  </conditionalFormatting>
  <conditionalFormatting sqref="L341:P341">
    <cfRule type="expression" dxfId="7985" priority="10125" stopIfTrue="1">
      <formula>AND($B341="Tender Received",$D341&lt;=(TODAY()+3))</formula>
    </cfRule>
    <cfRule type="expression" dxfId="7984" priority="10126" stopIfTrue="1">
      <formula>$B341="Tender Received"</formula>
    </cfRule>
  </conditionalFormatting>
  <conditionalFormatting sqref="C341:K341">
    <cfRule type="expression" dxfId="7983" priority="10123" stopIfTrue="1">
      <formula>AND($B341="Tender Received",$D341&lt;=(TODAY()+3))</formula>
    </cfRule>
    <cfRule type="expression" dxfId="7982" priority="10124" stopIfTrue="1">
      <formula>$B341="Tender Received"</formula>
    </cfRule>
  </conditionalFormatting>
  <conditionalFormatting sqref="L342:P342">
    <cfRule type="expression" dxfId="7981" priority="10121" stopIfTrue="1">
      <formula>AND($B342="Tender Received",$D342&lt;=(TODAY()+3))</formula>
    </cfRule>
    <cfRule type="expression" dxfId="7980" priority="10122" stopIfTrue="1">
      <formula>$B342="Tender Received"</formula>
    </cfRule>
  </conditionalFormatting>
  <conditionalFormatting sqref="C342:K342">
    <cfRule type="expression" dxfId="7979" priority="10119" stopIfTrue="1">
      <formula>AND($B342="Tender Received",$D342&lt;=(TODAY()+3))</formula>
    </cfRule>
    <cfRule type="expression" dxfId="7978" priority="10120" stopIfTrue="1">
      <formula>$B342="Tender Received"</formula>
    </cfRule>
  </conditionalFormatting>
  <conditionalFormatting sqref="L343:P343">
    <cfRule type="expression" dxfId="7977" priority="10117" stopIfTrue="1">
      <formula>AND($B343="Tender Received",$D343&lt;=(TODAY()+3))</formula>
    </cfRule>
    <cfRule type="expression" dxfId="7976" priority="10118" stopIfTrue="1">
      <formula>$B343="Tender Received"</formula>
    </cfRule>
  </conditionalFormatting>
  <conditionalFormatting sqref="C343:K343">
    <cfRule type="expression" dxfId="7975" priority="10115" stopIfTrue="1">
      <formula>AND($B343="Tender Received",$D343&lt;=(TODAY()+3))</formula>
    </cfRule>
    <cfRule type="expression" dxfId="7974" priority="10116" stopIfTrue="1">
      <formula>$B343="Tender Received"</formula>
    </cfRule>
  </conditionalFormatting>
  <conditionalFormatting sqref="L344:P344">
    <cfRule type="expression" dxfId="7973" priority="10113" stopIfTrue="1">
      <formula>AND($B344="Tender Received",$D344&lt;=(TODAY()+3))</formula>
    </cfRule>
    <cfRule type="expression" dxfId="7972" priority="10114" stopIfTrue="1">
      <formula>$B344="Tender Received"</formula>
    </cfRule>
  </conditionalFormatting>
  <conditionalFormatting sqref="C344:K344">
    <cfRule type="expression" dxfId="7971" priority="10111" stopIfTrue="1">
      <formula>AND($B344="Tender Received",$D344&lt;=(TODAY()+3))</formula>
    </cfRule>
    <cfRule type="expression" dxfId="7970" priority="10112" stopIfTrue="1">
      <formula>$B344="Tender Received"</formula>
    </cfRule>
  </conditionalFormatting>
  <conditionalFormatting sqref="L345:P345">
    <cfRule type="expression" dxfId="7969" priority="10109" stopIfTrue="1">
      <formula>AND($B345="Tender Received",$D345&lt;=(TODAY()+3))</formula>
    </cfRule>
    <cfRule type="expression" dxfId="7968" priority="10110" stopIfTrue="1">
      <formula>$B345="Tender Received"</formula>
    </cfRule>
  </conditionalFormatting>
  <conditionalFormatting sqref="C345:K345">
    <cfRule type="expression" dxfId="7967" priority="10107" stopIfTrue="1">
      <formula>AND($B345="Tender Received",$D345&lt;=(TODAY()+3))</formula>
    </cfRule>
    <cfRule type="expression" dxfId="7966" priority="10108" stopIfTrue="1">
      <formula>$B345="Tender Received"</formula>
    </cfRule>
  </conditionalFormatting>
  <conditionalFormatting sqref="L346:P346">
    <cfRule type="expression" dxfId="7965" priority="10105" stopIfTrue="1">
      <formula>AND($B346="Tender Received",$D346&lt;=(TODAY()+3))</formula>
    </cfRule>
    <cfRule type="expression" dxfId="7964" priority="10106" stopIfTrue="1">
      <formula>$B346="Tender Received"</formula>
    </cfRule>
  </conditionalFormatting>
  <conditionalFormatting sqref="C346:K346">
    <cfRule type="expression" dxfId="7963" priority="10103" stopIfTrue="1">
      <formula>AND($B346="Tender Received",$D346&lt;=(TODAY()+3))</formula>
    </cfRule>
    <cfRule type="expression" dxfId="7962" priority="10104" stopIfTrue="1">
      <formula>$B346="Tender Received"</formula>
    </cfRule>
  </conditionalFormatting>
  <conditionalFormatting sqref="L347:P347">
    <cfRule type="expression" dxfId="7961" priority="10101" stopIfTrue="1">
      <formula>AND($B347="Tender Received",$D347&lt;=(TODAY()+3))</formula>
    </cfRule>
    <cfRule type="expression" dxfId="7960" priority="10102" stopIfTrue="1">
      <formula>$B347="Tender Received"</formula>
    </cfRule>
  </conditionalFormatting>
  <conditionalFormatting sqref="C347:K347">
    <cfRule type="expression" dxfId="7959" priority="10099" stopIfTrue="1">
      <formula>AND($B347="Tender Received",$D347&lt;=(TODAY()+3))</formula>
    </cfRule>
    <cfRule type="expression" dxfId="7958" priority="10100" stopIfTrue="1">
      <formula>$B347="Tender Received"</formula>
    </cfRule>
  </conditionalFormatting>
  <conditionalFormatting sqref="L348:P348">
    <cfRule type="expression" dxfId="7957" priority="10097" stopIfTrue="1">
      <formula>AND($B348="Tender Received",$D348&lt;=(TODAY()+3))</formula>
    </cfRule>
    <cfRule type="expression" dxfId="7956" priority="10098" stopIfTrue="1">
      <formula>$B348="Tender Received"</formula>
    </cfRule>
  </conditionalFormatting>
  <conditionalFormatting sqref="C348:K348">
    <cfRule type="expression" dxfId="7955" priority="10095" stopIfTrue="1">
      <formula>AND($B348="Tender Received",$D348&lt;=(TODAY()+3))</formula>
    </cfRule>
    <cfRule type="expression" dxfId="7954" priority="10096" stopIfTrue="1">
      <formula>$B348="Tender Received"</formula>
    </cfRule>
  </conditionalFormatting>
  <conditionalFormatting sqref="L349:P349">
    <cfRule type="expression" dxfId="7953" priority="10093" stopIfTrue="1">
      <formula>AND($B349="Tender Received",$D349&lt;=(TODAY()+3))</formula>
    </cfRule>
    <cfRule type="expression" dxfId="7952" priority="10094" stopIfTrue="1">
      <formula>$B349="Tender Received"</formula>
    </cfRule>
  </conditionalFormatting>
  <conditionalFormatting sqref="C349:K349">
    <cfRule type="expression" dxfId="7951" priority="10091" stopIfTrue="1">
      <formula>AND($B349="Tender Received",$D349&lt;=(TODAY()+3))</formula>
    </cfRule>
    <cfRule type="expression" dxfId="7950" priority="10092" stopIfTrue="1">
      <formula>$B349="Tender Received"</formula>
    </cfRule>
  </conditionalFormatting>
  <conditionalFormatting sqref="L350:P350">
    <cfRule type="expression" dxfId="7949" priority="10089" stopIfTrue="1">
      <formula>AND($B350="Tender Received",$D350&lt;=(TODAY()+3))</formula>
    </cfRule>
    <cfRule type="expression" dxfId="7948" priority="10090" stopIfTrue="1">
      <formula>$B350="Tender Received"</formula>
    </cfRule>
  </conditionalFormatting>
  <conditionalFormatting sqref="C350:K350">
    <cfRule type="expression" dxfId="7947" priority="10087" stopIfTrue="1">
      <formula>AND($B350="Tender Received",$D350&lt;=(TODAY()+3))</formula>
    </cfRule>
    <cfRule type="expression" dxfId="7946" priority="10088" stopIfTrue="1">
      <formula>$B350="Tender Received"</formula>
    </cfRule>
  </conditionalFormatting>
  <conditionalFormatting sqref="L351:P351">
    <cfRule type="expression" dxfId="7945" priority="10085" stopIfTrue="1">
      <formula>AND($B351="Tender Received",$D351&lt;=(TODAY()+3))</formula>
    </cfRule>
    <cfRule type="expression" dxfId="7944" priority="10086" stopIfTrue="1">
      <formula>$B351="Tender Received"</formula>
    </cfRule>
  </conditionalFormatting>
  <conditionalFormatting sqref="C351:K351">
    <cfRule type="expression" dxfId="7943" priority="10083" stopIfTrue="1">
      <formula>AND($B351="Tender Received",$D351&lt;=(TODAY()+3))</formula>
    </cfRule>
    <cfRule type="expression" dxfId="7942" priority="10084" stopIfTrue="1">
      <formula>$B351="Tender Received"</formula>
    </cfRule>
  </conditionalFormatting>
  <conditionalFormatting sqref="L352:P352">
    <cfRule type="expression" dxfId="7941" priority="10081" stopIfTrue="1">
      <formula>AND($B352="Tender Received",$D352&lt;=(TODAY()+3))</formula>
    </cfRule>
    <cfRule type="expression" dxfId="7940" priority="10082" stopIfTrue="1">
      <formula>$B352="Tender Received"</formula>
    </cfRule>
  </conditionalFormatting>
  <conditionalFormatting sqref="C352:K352">
    <cfRule type="expression" dxfId="7939" priority="10079" stopIfTrue="1">
      <formula>AND($B352="Tender Received",$D352&lt;=(TODAY()+3))</formula>
    </cfRule>
    <cfRule type="expression" dxfId="7938" priority="10080" stopIfTrue="1">
      <formula>$B352="Tender Received"</formula>
    </cfRule>
  </conditionalFormatting>
  <conditionalFormatting sqref="L353:P353">
    <cfRule type="expression" dxfId="7937" priority="10077" stopIfTrue="1">
      <formula>AND($B353="Tender Received",$D353&lt;=(TODAY()+3))</formula>
    </cfRule>
    <cfRule type="expression" dxfId="7936" priority="10078" stopIfTrue="1">
      <formula>$B353="Tender Received"</formula>
    </cfRule>
  </conditionalFormatting>
  <conditionalFormatting sqref="C353:K353">
    <cfRule type="expression" dxfId="7935" priority="10075" stopIfTrue="1">
      <formula>AND($B353="Tender Received",$D353&lt;=(TODAY()+3))</formula>
    </cfRule>
    <cfRule type="expression" dxfId="7934" priority="10076" stopIfTrue="1">
      <formula>$B353="Tender Received"</formula>
    </cfRule>
  </conditionalFormatting>
  <conditionalFormatting sqref="L354:P354">
    <cfRule type="expression" dxfId="7933" priority="10073" stopIfTrue="1">
      <formula>AND($B354="Tender Received",$D354&lt;=(TODAY()+3))</formula>
    </cfRule>
    <cfRule type="expression" dxfId="7932" priority="10074" stopIfTrue="1">
      <formula>$B354="Tender Received"</formula>
    </cfRule>
  </conditionalFormatting>
  <conditionalFormatting sqref="C354:K354">
    <cfRule type="expression" dxfId="7931" priority="10071" stopIfTrue="1">
      <formula>AND($B354="Tender Received",$D354&lt;=(TODAY()+3))</formula>
    </cfRule>
    <cfRule type="expression" dxfId="7930" priority="10072" stopIfTrue="1">
      <formula>$B354="Tender Received"</formula>
    </cfRule>
  </conditionalFormatting>
  <conditionalFormatting sqref="L355:P355">
    <cfRule type="expression" dxfId="7929" priority="10069" stopIfTrue="1">
      <formula>AND($B355="Tender Received",$D355&lt;=(TODAY()+3))</formula>
    </cfRule>
    <cfRule type="expression" dxfId="7928" priority="10070" stopIfTrue="1">
      <formula>$B355="Tender Received"</formula>
    </cfRule>
  </conditionalFormatting>
  <conditionalFormatting sqref="C355:K355">
    <cfRule type="expression" dxfId="7927" priority="10067" stopIfTrue="1">
      <formula>AND($B355="Tender Received",$D355&lt;=(TODAY()+3))</formula>
    </cfRule>
    <cfRule type="expression" dxfId="7926" priority="10068" stopIfTrue="1">
      <formula>$B355="Tender Received"</formula>
    </cfRule>
  </conditionalFormatting>
  <conditionalFormatting sqref="L356:P356">
    <cfRule type="expression" dxfId="7925" priority="10065" stopIfTrue="1">
      <formula>AND($B356="Tender Received",$D356&lt;=(TODAY()+3))</formula>
    </cfRule>
    <cfRule type="expression" dxfId="7924" priority="10066" stopIfTrue="1">
      <formula>$B356="Tender Received"</formula>
    </cfRule>
  </conditionalFormatting>
  <conditionalFormatting sqref="C356:K356">
    <cfRule type="expression" dxfId="7923" priority="10063" stopIfTrue="1">
      <formula>AND($B356="Tender Received",$D356&lt;=(TODAY()+3))</formula>
    </cfRule>
    <cfRule type="expression" dxfId="7922" priority="10064" stopIfTrue="1">
      <formula>$B356="Tender Received"</formula>
    </cfRule>
  </conditionalFormatting>
  <conditionalFormatting sqref="L357:P357">
    <cfRule type="expression" dxfId="7921" priority="10061" stopIfTrue="1">
      <formula>AND($B357="Tender Received",$D357&lt;=(TODAY()+3))</formula>
    </cfRule>
    <cfRule type="expression" dxfId="7920" priority="10062" stopIfTrue="1">
      <formula>$B357="Tender Received"</formula>
    </cfRule>
  </conditionalFormatting>
  <conditionalFormatting sqref="C357:K357">
    <cfRule type="expression" dxfId="7919" priority="10059" stopIfTrue="1">
      <formula>AND($B357="Tender Received",$D357&lt;=(TODAY()+3))</formula>
    </cfRule>
    <cfRule type="expression" dxfId="7918" priority="10060" stopIfTrue="1">
      <formula>$B357="Tender Received"</formula>
    </cfRule>
  </conditionalFormatting>
  <conditionalFormatting sqref="L358:P358">
    <cfRule type="expression" dxfId="7917" priority="10057" stopIfTrue="1">
      <formula>AND($B358="Tender Received",$D358&lt;=(TODAY()+3))</formula>
    </cfRule>
    <cfRule type="expression" dxfId="7916" priority="10058" stopIfTrue="1">
      <formula>$B358="Tender Received"</formula>
    </cfRule>
  </conditionalFormatting>
  <conditionalFormatting sqref="C358:K358">
    <cfRule type="expression" dxfId="7915" priority="10055" stopIfTrue="1">
      <formula>AND($B358="Tender Received",$D358&lt;=(TODAY()+3))</formula>
    </cfRule>
    <cfRule type="expression" dxfId="7914" priority="10056" stopIfTrue="1">
      <formula>$B358="Tender Received"</formula>
    </cfRule>
  </conditionalFormatting>
  <conditionalFormatting sqref="L359:P361">
    <cfRule type="expression" dxfId="7913" priority="10053" stopIfTrue="1">
      <formula>AND($B359="Tender Received",$D359&lt;=(TODAY()+3))</formula>
    </cfRule>
    <cfRule type="expression" dxfId="7912" priority="10054" stopIfTrue="1">
      <formula>$B359="Tender Received"</formula>
    </cfRule>
  </conditionalFormatting>
  <conditionalFormatting sqref="C359:K361">
    <cfRule type="expression" dxfId="7911" priority="10051" stopIfTrue="1">
      <formula>AND($B359="Tender Received",$D359&lt;=(TODAY()+3))</formula>
    </cfRule>
    <cfRule type="expression" dxfId="7910" priority="10052" stopIfTrue="1">
      <formula>$B359="Tender Received"</formula>
    </cfRule>
  </conditionalFormatting>
  <conditionalFormatting sqref="L362:P362">
    <cfRule type="expression" dxfId="7909" priority="10049" stopIfTrue="1">
      <formula>AND($B362="Tender Received",$D362&lt;=(TODAY()+3))</formula>
    </cfRule>
    <cfRule type="expression" dxfId="7908" priority="10050" stopIfTrue="1">
      <formula>$B362="Tender Received"</formula>
    </cfRule>
  </conditionalFormatting>
  <conditionalFormatting sqref="C362:K362">
    <cfRule type="expression" dxfId="7907" priority="10047" stopIfTrue="1">
      <formula>AND($B362="Tender Received",$D362&lt;=(TODAY()+3))</formula>
    </cfRule>
    <cfRule type="expression" dxfId="7906" priority="10048" stopIfTrue="1">
      <formula>$B362="Tender Received"</formula>
    </cfRule>
  </conditionalFormatting>
  <conditionalFormatting sqref="L363:P363">
    <cfRule type="expression" dxfId="7905" priority="10045" stopIfTrue="1">
      <formula>AND($B363="Tender Received",$D363&lt;=(TODAY()+3))</formula>
    </cfRule>
    <cfRule type="expression" dxfId="7904" priority="10046" stopIfTrue="1">
      <formula>$B363="Tender Received"</formula>
    </cfRule>
  </conditionalFormatting>
  <conditionalFormatting sqref="C363:K363">
    <cfRule type="expression" dxfId="7903" priority="10043" stopIfTrue="1">
      <formula>AND($B363="Tender Received",$D363&lt;=(TODAY()+3))</formula>
    </cfRule>
    <cfRule type="expression" dxfId="7902" priority="10044" stopIfTrue="1">
      <formula>$B363="Tender Received"</formula>
    </cfRule>
  </conditionalFormatting>
  <conditionalFormatting sqref="L364:P364">
    <cfRule type="expression" dxfId="7901" priority="10041" stopIfTrue="1">
      <formula>AND($B364="Tender Received",$D364&lt;=(TODAY()+3))</formula>
    </cfRule>
    <cfRule type="expression" dxfId="7900" priority="10042" stopIfTrue="1">
      <formula>$B364="Tender Received"</formula>
    </cfRule>
  </conditionalFormatting>
  <conditionalFormatting sqref="C364:K364">
    <cfRule type="expression" dxfId="7899" priority="10039" stopIfTrue="1">
      <formula>AND($B364="Tender Received",$D364&lt;=(TODAY()+3))</formula>
    </cfRule>
    <cfRule type="expression" dxfId="7898" priority="10040" stopIfTrue="1">
      <formula>$B364="Tender Received"</formula>
    </cfRule>
  </conditionalFormatting>
  <conditionalFormatting sqref="C365:R366">
    <cfRule type="expression" dxfId="7897" priority="10037" stopIfTrue="1">
      <formula>AND($B365="Tender Received",$D365&lt;=(TODAY()+3))</formula>
    </cfRule>
    <cfRule type="expression" dxfId="7896" priority="10038" stopIfTrue="1">
      <formula>$B365="Tender Received"</formula>
    </cfRule>
  </conditionalFormatting>
  <conditionalFormatting sqref="L365:P366">
    <cfRule type="expression" dxfId="7895" priority="10035" stopIfTrue="1">
      <formula>AND($B365="Tender Received",$D365&lt;=(TODAY()+3))</formula>
    </cfRule>
    <cfRule type="expression" dxfId="7894" priority="10036" stopIfTrue="1">
      <formula>$B365="Tender Received"</formula>
    </cfRule>
  </conditionalFormatting>
  <conditionalFormatting sqref="C365:K366">
    <cfRule type="expression" dxfId="7893" priority="10033" stopIfTrue="1">
      <formula>AND($B365="Tender Received",$D365&lt;=(TODAY()+3))</formula>
    </cfRule>
    <cfRule type="expression" dxfId="7892" priority="10034" stopIfTrue="1">
      <formula>$B365="Tender Received"</formula>
    </cfRule>
  </conditionalFormatting>
  <conditionalFormatting sqref="C367:R367">
    <cfRule type="expression" dxfId="7891" priority="10031" stopIfTrue="1">
      <formula>AND($B367="Tender Received",$D367&lt;=(TODAY()+3))</formula>
    </cfRule>
    <cfRule type="expression" dxfId="7890" priority="10032" stopIfTrue="1">
      <formula>$B367="Tender Received"</formula>
    </cfRule>
  </conditionalFormatting>
  <conditionalFormatting sqref="L367:P367">
    <cfRule type="expression" dxfId="7889" priority="10029" stopIfTrue="1">
      <formula>AND($B367="Tender Received",$D367&lt;=(TODAY()+3))</formula>
    </cfRule>
    <cfRule type="expression" dxfId="7888" priority="10030" stopIfTrue="1">
      <formula>$B367="Tender Received"</formula>
    </cfRule>
  </conditionalFormatting>
  <conditionalFormatting sqref="C367:K367">
    <cfRule type="expression" dxfId="7887" priority="10027" stopIfTrue="1">
      <formula>AND($B367="Tender Received",$D367&lt;=(TODAY()+3))</formula>
    </cfRule>
    <cfRule type="expression" dxfId="7886" priority="10028" stopIfTrue="1">
      <formula>$B367="Tender Received"</formula>
    </cfRule>
  </conditionalFormatting>
  <conditionalFormatting sqref="C368:R368">
    <cfRule type="expression" dxfId="7885" priority="10025" stopIfTrue="1">
      <formula>AND($B368="Tender Received",$D368&lt;=(TODAY()+3))</formula>
    </cfRule>
    <cfRule type="expression" dxfId="7884" priority="10026" stopIfTrue="1">
      <formula>$B368="Tender Received"</formula>
    </cfRule>
  </conditionalFormatting>
  <conditionalFormatting sqref="L368:P368">
    <cfRule type="expression" dxfId="7883" priority="10023" stopIfTrue="1">
      <formula>AND($B368="Tender Received",$D368&lt;=(TODAY()+3))</formula>
    </cfRule>
    <cfRule type="expression" dxfId="7882" priority="10024" stopIfTrue="1">
      <formula>$B368="Tender Received"</formula>
    </cfRule>
  </conditionalFormatting>
  <conditionalFormatting sqref="C368:K368">
    <cfRule type="expression" dxfId="7881" priority="10021" stopIfTrue="1">
      <formula>AND($B368="Tender Received",$D368&lt;=(TODAY()+3))</formula>
    </cfRule>
    <cfRule type="expression" dxfId="7880" priority="10022" stopIfTrue="1">
      <formula>$B368="Tender Received"</formula>
    </cfRule>
  </conditionalFormatting>
  <conditionalFormatting sqref="C369:R369">
    <cfRule type="expression" dxfId="7879" priority="10019" stopIfTrue="1">
      <formula>AND($B369="Tender Received",$D369&lt;=(TODAY()+3))</formula>
    </cfRule>
    <cfRule type="expression" dxfId="7878" priority="10020" stopIfTrue="1">
      <formula>$B369="Tender Received"</formula>
    </cfRule>
  </conditionalFormatting>
  <conditionalFormatting sqref="L369:P369">
    <cfRule type="expression" dxfId="7877" priority="10017" stopIfTrue="1">
      <formula>AND($B369="Tender Received",$D369&lt;=(TODAY()+3))</formula>
    </cfRule>
    <cfRule type="expression" dxfId="7876" priority="10018" stopIfTrue="1">
      <formula>$B369="Tender Received"</formula>
    </cfRule>
  </conditionalFormatting>
  <conditionalFormatting sqref="C369:K369">
    <cfRule type="expression" dxfId="7875" priority="10015" stopIfTrue="1">
      <formula>AND($B369="Tender Received",$D369&lt;=(TODAY()+3))</formula>
    </cfRule>
    <cfRule type="expression" dxfId="7874" priority="10016" stopIfTrue="1">
      <formula>$B369="Tender Received"</formula>
    </cfRule>
  </conditionalFormatting>
  <conditionalFormatting sqref="C370:R370">
    <cfRule type="expression" dxfId="7873" priority="10013" stopIfTrue="1">
      <formula>AND($B370="Tender Received",$D370&lt;=(TODAY()+3))</formula>
    </cfRule>
    <cfRule type="expression" dxfId="7872" priority="10014" stopIfTrue="1">
      <formula>$B370="Tender Received"</formula>
    </cfRule>
  </conditionalFormatting>
  <conditionalFormatting sqref="L370:P370">
    <cfRule type="expression" dxfId="7871" priority="10011" stopIfTrue="1">
      <formula>AND($B370="Tender Received",$D370&lt;=(TODAY()+3))</formula>
    </cfRule>
    <cfRule type="expression" dxfId="7870" priority="10012" stopIfTrue="1">
      <formula>$B370="Tender Received"</formula>
    </cfRule>
  </conditionalFormatting>
  <conditionalFormatting sqref="C370:K370">
    <cfRule type="expression" dxfId="7869" priority="10009" stopIfTrue="1">
      <formula>AND($B370="Tender Received",$D370&lt;=(TODAY()+3))</formula>
    </cfRule>
    <cfRule type="expression" dxfId="7868" priority="10010" stopIfTrue="1">
      <formula>$B370="Tender Received"</formula>
    </cfRule>
  </conditionalFormatting>
  <conditionalFormatting sqref="C371:R371">
    <cfRule type="expression" dxfId="7867" priority="10007" stopIfTrue="1">
      <formula>AND($B371="Tender Received",$D371&lt;=(TODAY()+3))</formula>
    </cfRule>
    <cfRule type="expression" dxfId="7866" priority="10008" stopIfTrue="1">
      <formula>$B371="Tender Received"</formula>
    </cfRule>
  </conditionalFormatting>
  <conditionalFormatting sqref="L371:P371">
    <cfRule type="expression" dxfId="7865" priority="10005" stopIfTrue="1">
      <formula>AND($B371="Tender Received",$D371&lt;=(TODAY()+3))</formula>
    </cfRule>
    <cfRule type="expression" dxfId="7864" priority="10006" stopIfTrue="1">
      <formula>$B371="Tender Received"</formula>
    </cfRule>
  </conditionalFormatting>
  <conditionalFormatting sqref="C371:K371">
    <cfRule type="expression" dxfId="7863" priority="10003" stopIfTrue="1">
      <formula>AND($B371="Tender Received",$D371&lt;=(TODAY()+3))</formula>
    </cfRule>
    <cfRule type="expression" dxfId="7862" priority="10004" stopIfTrue="1">
      <formula>$B371="Tender Received"</formula>
    </cfRule>
  </conditionalFormatting>
  <conditionalFormatting sqref="C372:R372">
    <cfRule type="expression" dxfId="7861" priority="10001" stopIfTrue="1">
      <formula>AND($B372="Tender Received",$D372&lt;=(TODAY()+3))</formula>
    </cfRule>
    <cfRule type="expression" dxfId="7860" priority="10002" stopIfTrue="1">
      <formula>$B372="Tender Received"</formula>
    </cfRule>
  </conditionalFormatting>
  <conditionalFormatting sqref="L372:P372">
    <cfRule type="expression" dxfId="7859" priority="9999" stopIfTrue="1">
      <formula>AND($B372="Tender Received",$D372&lt;=(TODAY()+3))</formula>
    </cfRule>
    <cfRule type="expression" dxfId="7858" priority="10000" stopIfTrue="1">
      <formula>$B372="Tender Received"</formula>
    </cfRule>
  </conditionalFormatting>
  <conditionalFormatting sqref="C372:K372">
    <cfRule type="expression" dxfId="7857" priority="9997" stopIfTrue="1">
      <formula>AND($B372="Tender Received",$D372&lt;=(TODAY()+3))</formula>
    </cfRule>
    <cfRule type="expression" dxfId="7856" priority="9998" stopIfTrue="1">
      <formula>$B372="Tender Received"</formula>
    </cfRule>
  </conditionalFormatting>
  <conditionalFormatting sqref="C373:R373">
    <cfRule type="expression" dxfId="7855" priority="9995" stopIfTrue="1">
      <formula>AND($B373="Tender Received",$D373&lt;=(TODAY()+3))</formula>
    </cfRule>
    <cfRule type="expression" dxfId="7854" priority="9996" stopIfTrue="1">
      <formula>$B373="Tender Received"</formula>
    </cfRule>
  </conditionalFormatting>
  <conditionalFormatting sqref="L373:P373">
    <cfRule type="expression" dxfId="7853" priority="9993" stopIfTrue="1">
      <formula>AND($B373="Tender Received",$D373&lt;=(TODAY()+3))</formula>
    </cfRule>
    <cfRule type="expression" dxfId="7852" priority="9994" stopIfTrue="1">
      <formula>$B373="Tender Received"</formula>
    </cfRule>
  </conditionalFormatting>
  <conditionalFormatting sqref="C373:K373">
    <cfRule type="expression" dxfId="7851" priority="9991" stopIfTrue="1">
      <formula>AND($B373="Tender Received",$D373&lt;=(TODAY()+3))</formula>
    </cfRule>
    <cfRule type="expression" dxfId="7850" priority="9992" stopIfTrue="1">
      <formula>$B373="Tender Received"</formula>
    </cfRule>
  </conditionalFormatting>
  <conditionalFormatting sqref="C374:R374">
    <cfRule type="expression" dxfId="7849" priority="9989" stopIfTrue="1">
      <formula>AND($B374="Tender Received",$D374&lt;=(TODAY()+3))</formula>
    </cfRule>
    <cfRule type="expression" dxfId="7848" priority="9990" stopIfTrue="1">
      <formula>$B374="Tender Received"</formula>
    </cfRule>
  </conditionalFormatting>
  <conditionalFormatting sqref="L374:P374">
    <cfRule type="expression" dxfId="7847" priority="9987" stopIfTrue="1">
      <formula>AND($B374="Tender Received",$D374&lt;=(TODAY()+3))</formula>
    </cfRule>
    <cfRule type="expression" dxfId="7846" priority="9988" stopIfTrue="1">
      <formula>$B374="Tender Received"</formula>
    </cfRule>
  </conditionalFormatting>
  <conditionalFormatting sqref="C374:K374">
    <cfRule type="expression" dxfId="7845" priority="9985" stopIfTrue="1">
      <formula>AND($B374="Tender Received",$D374&lt;=(TODAY()+3))</formula>
    </cfRule>
    <cfRule type="expression" dxfId="7844" priority="9986" stopIfTrue="1">
      <formula>$B374="Tender Received"</formula>
    </cfRule>
  </conditionalFormatting>
  <conditionalFormatting sqref="C375:R376">
    <cfRule type="expression" dxfId="7843" priority="9983" stopIfTrue="1">
      <formula>AND($B375="Tender Received",$D375&lt;=(TODAY()+3))</formula>
    </cfRule>
    <cfRule type="expression" dxfId="7842" priority="9984" stopIfTrue="1">
      <formula>$B375="Tender Received"</formula>
    </cfRule>
  </conditionalFormatting>
  <conditionalFormatting sqref="L375:P376">
    <cfRule type="expression" dxfId="7841" priority="9981" stopIfTrue="1">
      <formula>AND($B375="Tender Received",$D375&lt;=(TODAY()+3))</formula>
    </cfRule>
    <cfRule type="expression" dxfId="7840" priority="9982" stopIfTrue="1">
      <formula>$B375="Tender Received"</formula>
    </cfRule>
  </conditionalFormatting>
  <conditionalFormatting sqref="C375:K376">
    <cfRule type="expression" dxfId="7839" priority="9979" stopIfTrue="1">
      <formula>AND($B375="Tender Received",$D375&lt;=(TODAY()+3))</formula>
    </cfRule>
    <cfRule type="expression" dxfId="7838" priority="9980" stopIfTrue="1">
      <formula>$B375="Tender Received"</formula>
    </cfRule>
  </conditionalFormatting>
  <conditionalFormatting sqref="C377:R377">
    <cfRule type="expression" dxfId="7837" priority="9977" stopIfTrue="1">
      <formula>AND($B377="Tender Received",$D377&lt;=(TODAY()+3))</formula>
    </cfRule>
    <cfRule type="expression" dxfId="7836" priority="9978" stopIfTrue="1">
      <formula>$B377="Tender Received"</formula>
    </cfRule>
  </conditionalFormatting>
  <conditionalFormatting sqref="L377:P377">
    <cfRule type="expression" dxfId="7835" priority="9975" stopIfTrue="1">
      <formula>AND($B377="Tender Received",$D377&lt;=(TODAY()+3))</formula>
    </cfRule>
    <cfRule type="expression" dxfId="7834" priority="9976" stopIfTrue="1">
      <formula>$B377="Tender Received"</formula>
    </cfRule>
  </conditionalFormatting>
  <conditionalFormatting sqref="C377:K377">
    <cfRule type="expression" dxfId="7833" priority="9973" stopIfTrue="1">
      <formula>AND($B377="Tender Received",$D377&lt;=(TODAY()+3))</formula>
    </cfRule>
    <cfRule type="expression" dxfId="7832" priority="9974" stopIfTrue="1">
      <formula>$B377="Tender Received"</formula>
    </cfRule>
  </conditionalFormatting>
  <conditionalFormatting sqref="C378:R378">
    <cfRule type="expression" dxfId="7831" priority="9971" stopIfTrue="1">
      <formula>AND($B378="Tender Received",$D378&lt;=(TODAY()+3))</formula>
    </cfRule>
    <cfRule type="expression" dxfId="7830" priority="9972" stopIfTrue="1">
      <formula>$B378="Tender Received"</formula>
    </cfRule>
  </conditionalFormatting>
  <conditionalFormatting sqref="L378:P378">
    <cfRule type="expression" dxfId="7829" priority="9969" stopIfTrue="1">
      <formula>AND($B378="Tender Received",$D378&lt;=(TODAY()+3))</formula>
    </cfRule>
    <cfRule type="expression" dxfId="7828" priority="9970" stopIfTrue="1">
      <formula>$B378="Tender Received"</formula>
    </cfRule>
  </conditionalFormatting>
  <conditionalFormatting sqref="C378:K378">
    <cfRule type="expression" dxfId="7827" priority="9967" stopIfTrue="1">
      <formula>AND($B378="Tender Received",$D378&lt;=(TODAY()+3))</formula>
    </cfRule>
    <cfRule type="expression" dxfId="7826" priority="9968" stopIfTrue="1">
      <formula>$B378="Tender Received"</formula>
    </cfRule>
  </conditionalFormatting>
  <conditionalFormatting sqref="C379:R379">
    <cfRule type="expression" dxfId="7825" priority="9965" stopIfTrue="1">
      <formula>AND($B379="Tender Received",$D379&lt;=(TODAY()+3))</formula>
    </cfRule>
    <cfRule type="expression" dxfId="7824" priority="9966" stopIfTrue="1">
      <formula>$B379="Tender Received"</formula>
    </cfRule>
  </conditionalFormatting>
  <conditionalFormatting sqref="L379:P379">
    <cfRule type="expression" dxfId="7823" priority="9963" stopIfTrue="1">
      <formula>AND($B379="Tender Received",$D379&lt;=(TODAY()+3))</formula>
    </cfRule>
    <cfRule type="expression" dxfId="7822" priority="9964" stopIfTrue="1">
      <formula>$B379="Tender Received"</formula>
    </cfRule>
  </conditionalFormatting>
  <conditionalFormatting sqref="C379:K379">
    <cfRule type="expression" dxfId="7821" priority="9961" stopIfTrue="1">
      <formula>AND($B379="Tender Received",$D379&lt;=(TODAY()+3))</formula>
    </cfRule>
    <cfRule type="expression" dxfId="7820" priority="9962" stopIfTrue="1">
      <formula>$B379="Tender Received"</formula>
    </cfRule>
  </conditionalFormatting>
  <conditionalFormatting sqref="C380:R380">
    <cfRule type="expression" dxfId="7819" priority="9959" stopIfTrue="1">
      <formula>AND($B380="Tender Received",$D380&lt;=(TODAY()+3))</formula>
    </cfRule>
    <cfRule type="expression" dxfId="7818" priority="9960" stopIfTrue="1">
      <formula>$B380="Tender Received"</formula>
    </cfRule>
  </conditionalFormatting>
  <conditionalFormatting sqref="L380:P380">
    <cfRule type="expression" dxfId="7817" priority="9957" stopIfTrue="1">
      <formula>AND($B380="Tender Received",$D380&lt;=(TODAY()+3))</formula>
    </cfRule>
    <cfRule type="expression" dxfId="7816" priority="9958" stopIfTrue="1">
      <formula>$B380="Tender Received"</formula>
    </cfRule>
  </conditionalFormatting>
  <conditionalFormatting sqref="C380:K380">
    <cfRule type="expression" dxfId="7815" priority="9955" stopIfTrue="1">
      <formula>AND($B380="Tender Received",$D380&lt;=(TODAY()+3))</formula>
    </cfRule>
    <cfRule type="expression" dxfId="7814" priority="9956" stopIfTrue="1">
      <formula>$B380="Tender Received"</formula>
    </cfRule>
  </conditionalFormatting>
  <conditionalFormatting sqref="C381:R381">
    <cfRule type="expression" dxfId="7813" priority="9953" stopIfTrue="1">
      <formula>AND($B381="Tender Received",$D381&lt;=(TODAY()+3))</formula>
    </cfRule>
    <cfRule type="expression" dxfId="7812" priority="9954" stopIfTrue="1">
      <formula>$B381="Tender Received"</formula>
    </cfRule>
  </conditionalFormatting>
  <conditionalFormatting sqref="L381:P381">
    <cfRule type="expression" dxfId="7811" priority="9951" stopIfTrue="1">
      <formula>AND($B381="Tender Received",$D381&lt;=(TODAY()+3))</formula>
    </cfRule>
    <cfRule type="expression" dxfId="7810" priority="9952" stopIfTrue="1">
      <formula>$B381="Tender Received"</formula>
    </cfRule>
  </conditionalFormatting>
  <conditionalFormatting sqref="C381:K381">
    <cfRule type="expression" dxfId="7809" priority="9949" stopIfTrue="1">
      <formula>AND($B381="Tender Received",$D381&lt;=(TODAY()+3))</formula>
    </cfRule>
    <cfRule type="expression" dxfId="7808" priority="9950" stopIfTrue="1">
      <formula>$B381="Tender Received"</formula>
    </cfRule>
  </conditionalFormatting>
  <conditionalFormatting sqref="C382:R382">
    <cfRule type="expression" dxfId="7807" priority="9947" stopIfTrue="1">
      <formula>AND($B382="Tender Received",$D382&lt;=(TODAY()+3))</formula>
    </cfRule>
    <cfRule type="expression" dxfId="7806" priority="9948" stopIfTrue="1">
      <formula>$B382="Tender Received"</formula>
    </cfRule>
  </conditionalFormatting>
  <conditionalFormatting sqref="L382:P382">
    <cfRule type="expression" dxfId="7805" priority="9945" stopIfTrue="1">
      <formula>AND($B382="Tender Received",$D382&lt;=(TODAY()+3))</formula>
    </cfRule>
    <cfRule type="expression" dxfId="7804" priority="9946" stopIfTrue="1">
      <formula>$B382="Tender Received"</formula>
    </cfRule>
  </conditionalFormatting>
  <conditionalFormatting sqref="C382:K382">
    <cfRule type="expression" dxfId="7803" priority="9943" stopIfTrue="1">
      <formula>AND($B382="Tender Received",$D382&lt;=(TODAY()+3))</formula>
    </cfRule>
    <cfRule type="expression" dxfId="7802" priority="9944" stopIfTrue="1">
      <formula>$B382="Tender Received"</formula>
    </cfRule>
  </conditionalFormatting>
  <conditionalFormatting sqref="C383:R384">
    <cfRule type="expression" dxfId="7801" priority="9939" stopIfTrue="1">
      <formula>AND($B383="Tender Received",$D383&lt;=(TODAY()+3))</formula>
    </cfRule>
    <cfRule type="expression" dxfId="7800" priority="9940" stopIfTrue="1">
      <formula>$B383="Tender Received"</formula>
    </cfRule>
  </conditionalFormatting>
  <conditionalFormatting sqref="L383:P384">
    <cfRule type="expression" dxfId="7799" priority="9937" stopIfTrue="1">
      <formula>AND($B383="Tender Received",$D383&lt;=(TODAY()+3))</formula>
    </cfRule>
    <cfRule type="expression" dxfId="7798" priority="9938" stopIfTrue="1">
      <formula>$B383="Tender Received"</formula>
    </cfRule>
  </conditionalFormatting>
  <conditionalFormatting sqref="C383:K384">
    <cfRule type="expression" dxfId="7797" priority="9935" stopIfTrue="1">
      <formula>AND($B383="Tender Received",$D383&lt;=(TODAY()+3))</formula>
    </cfRule>
    <cfRule type="expression" dxfId="7796" priority="9936" stopIfTrue="1">
      <formula>$B383="Tender Received"</formula>
    </cfRule>
  </conditionalFormatting>
  <conditionalFormatting sqref="C385:P385">
    <cfRule type="expression" dxfId="7795" priority="9933" stopIfTrue="1">
      <formula>AND($B385="Tender Received",$D385&lt;=(TODAY()+3))</formula>
    </cfRule>
    <cfRule type="expression" dxfId="7794" priority="9934" stopIfTrue="1">
      <formula>$B385="Tender Received"</formula>
    </cfRule>
  </conditionalFormatting>
  <conditionalFormatting sqref="L385:P385">
    <cfRule type="expression" dxfId="7793" priority="9931" stopIfTrue="1">
      <formula>AND($B385="Tender Received",$D385&lt;=(TODAY()+3))</formula>
    </cfRule>
    <cfRule type="expression" dxfId="7792" priority="9932" stopIfTrue="1">
      <formula>$B385="Tender Received"</formula>
    </cfRule>
  </conditionalFormatting>
  <conditionalFormatting sqref="C385:K385">
    <cfRule type="expression" dxfId="7791" priority="9929" stopIfTrue="1">
      <formula>AND($B385="Tender Received",$D385&lt;=(TODAY()+3))</formula>
    </cfRule>
    <cfRule type="expression" dxfId="7790" priority="9930" stopIfTrue="1">
      <formula>$B385="Tender Received"</formula>
    </cfRule>
  </conditionalFormatting>
  <conditionalFormatting sqref="C386:P386">
    <cfRule type="expression" dxfId="7789" priority="9927" stopIfTrue="1">
      <formula>AND($B386="Tender Received",$D386&lt;=(TODAY()+3))</formula>
    </cfRule>
    <cfRule type="expression" dxfId="7788" priority="9928" stopIfTrue="1">
      <formula>$B386="Tender Received"</formula>
    </cfRule>
  </conditionalFormatting>
  <conditionalFormatting sqref="L386:P386">
    <cfRule type="expression" dxfId="7787" priority="9925" stopIfTrue="1">
      <formula>AND($B386="Tender Received",$D386&lt;=(TODAY()+3))</formula>
    </cfRule>
    <cfRule type="expression" dxfId="7786" priority="9926" stopIfTrue="1">
      <formula>$B386="Tender Received"</formula>
    </cfRule>
  </conditionalFormatting>
  <conditionalFormatting sqref="C386:K386">
    <cfRule type="expression" dxfId="7785" priority="9923" stopIfTrue="1">
      <formula>AND($B386="Tender Received",$D386&lt;=(TODAY()+3))</formula>
    </cfRule>
    <cfRule type="expression" dxfId="7784" priority="9924" stopIfTrue="1">
      <formula>$B386="Tender Received"</formula>
    </cfRule>
  </conditionalFormatting>
  <conditionalFormatting sqref="C387:P387">
    <cfRule type="expression" dxfId="7783" priority="9921" stopIfTrue="1">
      <formula>AND($B387="Tender Received",$D387&lt;=(TODAY()+3))</formula>
    </cfRule>
    <cfRule type="expression" dxfId="7782" priority="9922" stopIfTrue="1">
      <formula>$B387="Tender Received"</formula>
    </cfRule>
  </conditionalFormatting>
  <conditionalFormatting sqref="L387:P387">
    <cfRule type="expression" dxfId="7781" priority="9919" stopIfTrue="1">
      <formula>AND($B387="Tender Received",$D387&lt;=(TODAY()+3))</formula>
    </cfRule>
    <cfRule type="expression" dxfId="7780" priority="9920" stopIfTrue="1">
      <formula>$B387="Tender Received"</formula>
    </cfRule>
  </conditionalFormatting>
  <conditionalFormatting sqref="C387:K387">
    <cfRule type="expression" dxfId="7779" priority="9917" stopIfTrue="1">
      <formula>AND($B387="Tender Received",$D387&lt;=(TODAY()+3))</formula>
    </cfRule>
    <cfRule type="expression" dxfId="7778" priority="9918" stopIfTrue="1">
      <formula>$B387="Tender Received"</formula>
    </cfRule>
  </conditionalFormatting>
  <conditionalFormatting sqref="C385:P391">
    <cfRule type="expression" dxfId="7777" priority="9915" stopIfTrue="1">
      <formula>AND($B385="Tender Received",$D385&lt;=(TODAY()+3))</formula>
    </cfRule>
    <cfRule type="expression" dxfId="7776" priority="9916" stopIfTrue="1">
      <formula>$B385="Tender Received"</formula>
    </cfRule>
  </conditionalFormatting>
  <conditionalFormatting sqref="L385:P391">
    <cfRule type="expression" dxfId="7775" priority="9913" stopIfTrue="1">
      <formula>AND($B385="Tender Received",$D385&lt;=(TODAY()+3))</formula>
    </cfRule>
    <cfRule type="expression" dxfId="7774" priority="9914" stopIfTrue="1">
      <formula>$B385="Tender Received"</formula>
    </cfRule>
  </conditionalFormatting>
  <conditionalFormatting sqref="C385:K391">
    <cfRule type="expression" dxfId="7773" priority="9911" stopIfTrue="1">
      <formula>AND($B385="Tender Received",$D385&lt;=(TODAY()+3))</formula>
    </cfRule>
    <cfRule type="expression" dxfId="7772" priority="9912" stopIfTrue="1">
      <formula>$B385="Tender Received"</formula>
    </cfRule>
  </conditionalFormatting>
  <conditionalFormatting sqref="C389:P395">
    <cfRule type="expression" dxfId="7771" priority="9909" stopIfTrue="1">
      <formula>AND($B389="Tender Received",$D389&lt;=(TODAY()+3))</formula>
    </cfRule>
    <cfRule type="expression" dxfId="7770" priority="9910" stopIfTrue="1">
      <formula>$B389="Tender Received"</formula>
    </cfRule>
  </conditionalFormatting>
  <conditionalFormatting sqref="L389:P395">
    <cfRule type="expression" dxfId="7769" priority="9907" stopIfTrue="1">
      <formula>AND($B389="Tender Received",$D389&lt;=(TODAY()+3))</formula>
    </cfRule>
    <cfRule type="expression" dxfId="7768" priority="9908" stopIfTrue="1">
      <formula>$B389="Tender Received"</formula>
    </cfRule>
  </conditionalFormatting>
  <conditionalFormatting sqref="C389:K395">
    <cfRule type="expression" dxfId="7767" priority="9905" stopIfTrue="1">
      <formula>AND($B389="Tender Received",$D389&lt;=(TODAY()+3))</formula>
    </cfRule>
    <cfRule type="expression" dxfId="7766" priority="9906" stopIfTrue="1">
      <formula>$B389="Tender Received"</formula>
    </cfRule>
  </conditionalFormatting>
  <conditionalFormatting sqref="C396:P397">
    <cfRule type="expression" dxfId="7765" priority="9903" stopIfTrue="1">
      <formula>AND($B396="Tender Received",$D396&lt;=(TODAY()+3))</formula>
    </cfRule>
    <cfRule type="expression" dxfId="7764" priority="9904" stopIfTrue="1">
      <formula>$B396="Tender Received"</formula>
    </cfRule>
  </conditionalFormatting>
  <conditionalFormatting sqref="L396:P397">
    <cfRule type="expression" dxfId="7763" priority="9901" stopIfTrue="1">
      <formula>AND($B396="Tender Received",$D396&lt;=(TODAY()+3))</formula>
    </cfRule>
    <cfRule type="expression" dxfId="7762" priority="9902" stopIfTrue="1">
      <formula>$B396="Tender Received"</formula>
    </cfRule>
  </conditionalFormatting>
  <conditionalFormatting sqref="C396:K397">
    <cfRule type="expression" dxfId="7761" priority="9899" stopIfTrue="1">
      <formula>AND($B396="Tender Received",$D396&lt;=(TODAY()+3))</formula>
    </cfRule>
    <cfRule type="expression" dxfId="7760" priority="9900" stopIfTrue="1">
      <formula>$B396="Tender Received"</formula>
    </cfRule>
  </conditionalFormatting>
  <conditionalFormatting sqref="C398:P400">
    <cfRule type="expression" dxfId="7759" priority="9897" stopIfTrue="1">
      <formula>AND($B398="Tender Received",$D398&lt;=(TODAY()+3))</formula>
    </cfRule>
    <cfRule type="expression" dxfId="7758" priority="9898" stopIfTrue="1">
      <formula>$B398="Tender Received"</formula>
    </cfRule>
  </conditionalFormatting>
  <conditionalFormatting sqref="L398:P400">
    <cfRule type="expression" dxfId="7757" priority="9895" stopIfTrue="1">
      <formula>AND($B398="Tender Received",$D398&lt;=(TODAY()+3))</formula>
    </cfRule>
    <cfRule type="expression" dxfId="7756" priority="9896" stopIfTrue="1">
      <formula>$B398="Tender Received"</formula>
    </cfRule>
  </conditionalFormatting>
  <conditionalFormatting sqref="C398:K400">
    <cfRule type="expression" dxfId="7755" priority="9893" stopIfTrue="1">
      <formula>AND($B398="Tender Received",$D398&lt;=(TODAY()+3))</formula>
    </cfRule>
    <cfRule type="expression" dxfId="7754" priority="9894" stopIfTrue="1">
      <formula>$B398="Tender Received"</formula>
    </cfRule>
  </conditionalFormatting>
  <conditionalFormatting sqref="C401:P401">
    <cfRule type="expression" dxfId="7753" priority="9891" stopIfTrue="1">
      <formula>AND($B401="Tender Received",$D401&lt;=(TODAY()+3))</formula>
    </cfRule>
    <cfRule type="expression" dxfId="7752" priority="9892" stopIfTrue="1">
      <formula>$B401="Tender Received"</formula>
    </cfRule>
  </conditionalFormatting>
  <conditionalFormatting sqref="L401:P401">
    <cfRule type="expression" dxfId="7751" priority="9889" stopIfTrue="1">
      <formula>AND($B401="Tender Received",$D401&lt;=(TODAY()+3))</formula>
    </cfRule>
    <cfRule type="expression" dxfId="7750" priority="9890" stopIfTrue="1">
      <formula>$B401="Tender Received"</formula>
    </cfRule>
  </conditionalFormatting>
  <conditionalFormatting sqref="C401:K401">
    <cfRule type="expression" dxfId="7749" priority="9887" stopIfTrue="1">
      <formula>AND($B401="Tender Received",$D401&lt;=(TODAY()+3))</formula>
    </cfRule>
    <cfRule type="expression" dxfId="7748" priority="9888" stopIfTrue="1">
      <formula>$B401="Tender Received"</formula>
    </cfRule>
  </conditionalFormatting>
  <conditionalFormatting sqref="C402:P403">
    <cfRule type="expression" dxfId="7747" priority="9885" stopIfTrue="1">
      <formula>AND($B402="Tender Received",$D402&lt;=(TODAY()+3))</formula>
    </cfRule>
    <cfRule type="expression" dxfId="7746" priority="9886" stopIfTrue="1">
      <formula>$B402="Tender Received"</formula>
    </cfRule>
  </conditionalFormatting>
  <conditionalFormatting sqref="L402:P403">
    <cfRule type="expression" dxfId="7745" priority="9883" stopIfTrue="1">
      <formula>AND($B402="Tender Received",$D402&lt;=(TODAY()+3))</formula>
    </cfRule>
    <cfRule type="expression" dxfId="7744" priority="9884" stopIfTrue="1">
      <formula>$B402="Tender Received"</formula>
    </cfRule>
  </conditionalFormatting>
  <conditionalFormatting sqref="C402:K403">
    <cfRule type="expression" dxfId="7743" priority="9881" stopIfTrue="1">
      <formula>AND($B402="Tender Received",$D402&lt;=(TODAY()+3))</formula>
    </cfRule>
    <cfRule type="expression" dxfId="7742" priority="9882" stopIfTrue="1">
      <formula>$B402="Tender Received"</formula>
    </cfRule>
  </conditionalFormatting>
  <conditionalFormatting sqref="C404:P404">
    <cfRule type="expression" dxfId="7741" priority="9879" stopIfTrue="1">
      <formula>AND($B404="Tender Received",$D404&lt;=(TODAY()+3))</formula>
    </cfRule>
    <cfRule type="expression" dxfId="7740" priority="9880" stopIfTrue="1">
      <formula>$B404="Tender Received"</formula>
    </cfRule>
  </conditionalFormatting>
  <conditionalFormatting sqref="L404:P404">
    <cfRule type="expression" dxfId="7739" priority="9877" stopIfTrue="1">
      <formula>AND($B404="Tender Received",$D404&lt;=(TODAY()+3))</formula>
    </cfRule>
    <cfRule type="expression" dxfId="7738" priority="9878" stopIfTrue="1">
      <formula>$B404="Tender Received"</formula>
    </cfRule>
  </conditionalFormatting>
  <conditionalFormatting sqref="C404:K404">
    <cfRule type="expression" dxfId="7737" priority="9875" stopIfTrue="1">
      <formula>AND($B404="Tender Received",$D404&lt;=(TODAY()+3))</formula>
    </cfRule>
    <cfRule type="expression" dxfId="7736" priority="9876" stopIfTrue="1">
      <formula>$B404="Tender Received"</formula>
    </cfRule>
  </conditionalFormatting>
  <conditionalFormatting sqref="C405:P405">
    <cfRule type="expression" dxfId="7735" priority="9871" stopIfTrue="1">
      <formula>AND($B405="Tender Received",$D405&lt;=(TODAY()+3))</formula>
    </cfRule>
    <cfRule type="expression" dxfId="7734" priority="9872" stopIfTrue="1">
      <formula>$B405="Tender Received"</formula>
    </cfRule>
  </conditionalFormatting>
  <conditionalFormatting sqref="L405:P405">
    <cfRule type="expression" dxfId="7733" priority="9869" stopIfTrue="1">
      <formula>AND($B405="Tender Received",$D405&lt;=(TODAY()+3))</formula>
    </cfRule>
    <cfRule type="expression" dxfId="7732" priority="9870" stopIfTrue="1">
      <formula>$B405="Tender Received"</formula>
    </cfRule>
  </conditionalFormatting>
  <conditionalFormatting sqref="C405:K405">
    <cfRule type="expression" dxfId="7731" priority="9867" stopIfTrue="1">
      <formula>AND($B405="Tender Received",$D405&lt;=(TODAY()+3))</formula>
    </cfRule>
    <cfRule type="expression" dxfId="7730" priority="9868" stopIfTrue="1">
      <formula>$B405="Tender Received"</formula>
    </cfRule>
  </conditionalFormatting>
  <conditionalFormatting sqref="C406:P406">
    <cfRule type="expression" dxfId="7729" priority="9865" stopIfTrue="1">
      <formula>AND($B406="Tender Received",$D406&lt;=(TODAY()+3))</formula>
    </cfRule>
    <cfRule type="expression" dxfId="7728" priority="9866" stopIfTrue="1">
      <formula>$B406="Tender Received"</formula>
    </cfRule>
  </conditionalFormatting>
  <conditionalFormatting sqref="L406:P406">
    <cfRule type="expression" dxfId="7727" priority="9863" stopIfTrue="1">
      <formula>AND($B406="Tender Received",$D406&lt;=(TODAY()+3))</formula>
    </cfRule>
    <cfRule type="expression" dxfId="7726" priority="9864" stopIfTrue="1">
      <formula>$B406="Tender Received"</formula>
    </cfRule>
  </conditionalFormatting>
  <conditionalFormatting sqref="C406:K406">
    <cfRule type="expression" dxfId="7725" priority="9861" stopIfTrue="1">
      <formula>AND($B406="Tender Received",$D406&lt;=(TODAY()+3))</formula>
    </cfRule>
    <cfRule type="expression" dxfId="7724" priority="9862" stopIfTrue="1">
      <formula>$B406="Tender Received"</formula>
    </cfRule>
  </conditionalFormatting>
  <conditionalFormatting sqref="C407:P407">
    <cfRule type="expression" dxfId="7723" priority="9859" stopIfTrue="1">
      <formula>AND($B407="Tender Received",$D407&lt;=(TODAY()+3))</formula>
    </cfRule>
    <cfRule type="expression" dxfId="7722" priority="9860" stopIfTrue="1">
      <formula>$B407="Tender Received"</formula>
    </cfRule>
  </conditionalFormatting>
  <conditionalFormatting sqref="L407:P407">
    <cfRule type="expression" dxfId="7721" priority="9857" stopIfTrue="1">
      <formula>AND($B407="Tender Received",$D407&lt;=(TODAY()+3))</formula>
    </cfRule>
    <cfRule type="expression" dxfId="7720" priority="9858" stopIfTrue="1">
      <formula>$B407="Tender Received"</formula>
    </cfRule>
  </conditionalFormatting>
  <conditionalFormatting sqref="C407:K407">
    <cfRule type="expression" dxfId="7719" priority="9855" stopIfTrue="1">
      <formula>AND($B407="Tender Received",$D407&lt;=(TODAY()+3))</formula>
    </cfRule>
    <cfRule type="expression" dxfId="7718" priority="9856" stopIfTrue="1">
      <formula>$B407="Tender Received"</formula>
    </cfRule>
  </conditionalFormatting>
  <conditionalFormatting sqref="C408:P408">
    <cfRule type="expression" dxfId="7717" priority="9853" stopIfTrue="1">
      <formula>AND($B408="Tender Received",$D408&lt;=(TODAY()+3))</formula>
    </cfRule>
    <cfRule type="expression" dxfId="7716" priority="9854" stopIfTrue="1">
      <formula>$B408="Tender Received"</formula>
    </cfRule>
  </conditionalFormatting>
  <conditionalFormatting sqref="L408:P408">
    <cfRule type="expression" dxfId="7715" priority="9851" stopIfTrue="1">
      <formula>AND($B408="Tender Received",$D408&lt;=(TODAY()+3))</formula>
    </cfRule>
    <cfRule type="expression" dxfId="7714" priority="9852" stopIfTrue="1">
      <formula>$B408="Tender Received"</formula>
    </cfRule>
  </conditionalFormatting>
  <conditionalFormatting sqref="C408:K408">
    <cfRule type="expression" dxfId="7713" priority="9849" stopIfTrue="1">
      <formula>AND($B408="Tender Received",$D408&lt;=(TODAY()+3))</formula>
    </cfRule>
    <cfRule type="expression" dxfId="7712" priority="9850" stopIfTrue="1">
      <formula>$B408="Tender Received"</formula>
    </cfRule>
  </conditionalFormatting>
  <conditionalFormatting sqref="C409:P409">
    <cfRule type="expression" dxfId="7711" priority="9847" stopIfTrue="1">
      <formula>AND($B409="Tender Received",$D409&lt;=(TODAY()+3))</formula>
    </cfRule>
    <cfRule type="expression" dxfId="7710" priority="9848" stopIfTrue="1">
      <formula>$B409="Tender Received"</formula>
    </cfRule>
  </conditionalFormatting>
  <conditionalFormatting sqref="L409:P409">
    <cfRule type="expression" dxfId="7709" priority="9845" stopIfTrue="1">
      <formula>AND($B409="Tender Received",$D409&lt;=(TODAY()+3))</formula>
    </cfRule>
    <cfRule type="expression" dxfId="7708" priority="9846" stopIfTrue="1">
      <formula>$B409="Tender Received"</formula>
    </cfRule>
  </conditionalFormatting>
  <conditionalFormatting sqref="C409:K409">
    <cfRule type="expression" dxfId="7707" priority="9843" stopIfTrue="1">
      <formula>AND($B409="Tender Received",$D409&lt;=(TODAY()+3))</formula>
    </cfRule>
    <cfRule type="expression" dxfId="7706" priority="9844" stopIfTrue="1">
      <formula>$B409="Tender Received"</formula>
    </cfRule>
  </conditionalFormatting>
  <conditionalFormatting sqref="C410:P411">
    <cfRule type="expression" dxfId="7705" priority="9841" stopIfTrue="1">
      <formula>AND($B410="Tender Received",$D410&lt;=(TODAY()+3))</formula>
    </cfRule>
    <cfRule type="expression" dxfId="7704" priority="9842" stopIfTrue="1">
      <formula>$B410="Tender Received"</formula>
    </cfRule>
  </conditionalFormatting>
  <conditionalFormatting sqref="L410:P411">
    <cfRule type="expression" dxfId="7703" priority="9839" stopIfTrue="1">
      <formula>AND($B410="Tender Received",$D410&lt;=(TODAY()+3))</formula>
    </cfRule>
    <cfRule type="expression" dxfId="7702" priority="9840" stopIfTrue="1">
      <formula>$B410="Tender Received"</formula>
    </cfRule>
  </conditionalFormatting>
  <conditionalFormatting sqref="C410:K411">
    <cfRule type="expression" dxfId="7701" priority="9837" stopIfTrue="1">
      <formula>AND($B410="Tender Received",$D410&lt;=(TODAY()+3))</formula>
    </cfRule>
    <cfRule type="expression" dxfId="7700" priority="9838" stopIfTrue="1">
      <formula>$B410="Tender Received"</formula>
    </cfRule>
  </conditionalFormatting>
  <conditionalFormatting sqref="C412:H412 J412:K412 O412:R412">
    <cfRule type="expression" dxfId="7699" priority="9835" stopIfTrue="1">
      <formula>AND($B412="Tender Received",$D412&lt;=(TODAY()+3))</formula>
    </cfRule>
    <cfRule type="expression" dxfId="7698" priority="9836" stopIfTrue="1">
      <formula>$B412="Tender Received"</formula>
    </cfRule>
  </conditionalFormatting>
  <conditionalFormatting sqref="I412">
    <cfRule type="expression" dxfId="7697" priority="9833" stopIfTrue="1">
      <formula>AND($B412="Tender Received",$D412&lt;=(TODAY()+3))</formula>
    </cfRule>
    <cfRule type="expression" dxfId="7696" priority="9834" stopIfTrue="1">
      <formula>$B412="Tender Received"</formula>
    </cfRule>
  </conditionalFormatting>
  <conditionalFormatting sqref="M412:N412">
    <cfRule type="expression" dxfId="7695" priority="9831" stopIfTrue="1">
      <formula>AND($B412="Tender Received",$D412&lt;=(TODAY()+3))</formula>
    </cfRule>
    <cfRule type="expression" dxfId="7694" priority="9832" stopIfTrue="1">
      <formula>$B412="Tender Received"</formula>
    </cfRule>
  </conditionalFormatting>
  <conditionalFormatting sqref="L412">
    <cfRule type="expression" dxfId="7693" priority="9829" stopIfTrue="1">
      <formula>AND($B412="Tender Received",$D412&lt;=(TODAY()+3))</formula>
    </cfRule>
    <cfRule type="expression" dxfId="7692" priority="9830" stopIfTrue="1">
      <formula>$B412="Tender Received"</formula>
    </cfRule>
  </conditionalFormatting>
  <conditionalFormatting sqref="J413:K414 O413:R414 C413:H414">
    <cfRule type="expression" dxfId="7691" priority="9827" stopIfTrue="1">
      <formula>AND($B413="Tender Received",$D413&lt;=(TODAY()+3))</formula>
    </cfRule>
    <cfRule type="expression" dxfId="7690" priority="9828" stopIfTrue="1">
      <formula>$B413="Tender Received"</formula>
    </cfRule>
  </conditionalFormatting>
  <conditionalFormatting sqref="I413:I414">
    <cfRule type="expression" dxfId="7689" priority="9825" stopIfTrue="1">
      <formula>AND($B413="Tender Received",$D413&lt;=(TODAY()+3))</formula>
    </cfRule>
    <cfRule type="expression" dxfId="7688" priority="9826" stopIfTrue="1">
      <formula>$B413="Tender Received"</formula>
    </cfRule>
  </conditionalFormatting>
  <conditionalFormatting sqref="M413:N414">
    <cfRule type="expression" dxfId="7687" priority="9823" stopIfTrue="1">
      <formula>AND($B413="Tender Received",$D413&lt;=(TODAY()+3))</formula>
    </cfRule>
    <cfRule type="expression" dxfId="7686" priority="9824" stopIfTrue="1">
      <formula>$B413="Tender Received"</formula>
    </cfRule>
  </conditionalFormatting>
  <conditionalFormatting sqref="L413:L414">
    <cfRule type="expression" dxfId="7685" priority="9821" stopIfTrue="1">
      <formula>AND($B413="Tender Received",$D413&lt;=(TODAY()+3))</formula>
    </cfRule>
    <cfRule type="expression" dxfId="7684" priority="9822" stopIfTrue="1">
      <formula>$B413="Tender Received"</formula>
    </cfRule>
  </conditionalFormatting>
  <conditionalFormatting sqref="O415:R416 J415:K416 C415:H416">
    <cfRule type="expression" dxfId="7683" priority="9819" stopIfTrue="1">
      <formula>AND($B415="Tender Received",$D415&lt;=(TODAY()+3))</formula>
    </cfRule>
    <cfRule type="expression" dxfId="7682" priority="9820" stopIfTrue="1">
      <formula>$B415="Tender Received"</formula>
    </cfRule>
  </conditionalFormatting>
  <conditionalFormatting sqref="I415:I416">
    <cfRule type="expression" dxfId="7681" priority="9817" stopIfTrue="1">
      <formula>AND($B415="Tender Received",$D415&lt;=(TODAY()+3))</formula>
    </cfRule>
    <cfRule type="expression" dxfId="7680" priority="9818" stopIfTrue="1">
      <formula>$B415="Tender Received"</formula>
    </cfRule>
  </conditionalFormatting>
  <conditionalFormatting sqref="M415:N416">
    <cfRule type="expression" dxfId="7679" priority="9815" stopIfTrue="1">
      <formula>AND($B415="Tender Received",$D415&lt;=(TODAY()+3))</formula>
    </cfRule>
    <cfRule type="expression" dxfId="7678" priority="9816" stopIfTrue="1">
      <formula>$B415="Tender Received"</formula>
    </cfRule>
  </conditionalFormatting>
  <conditionalFormatting sqref="L415:L416">
    <cfRule type="expression" dxfId="7677" priority="9813" stopIfTrue="1">
      <formula>AND($B415="Tender Received",$D415&lt;=(TODAY()+3))</formula>
    </cfRule>
    <cfRule type="expression" dxfId="7676" priority="9814" stopIfTrue="1">
      <formula>$B415="Tender Received"</formula>
    </cfRule>
  </conditionalFormatting>
  <conditionalFormatting sqref="O417:R418 C417:H418 J417:K418">
    <cfRule type="expression" dxfId="7675" priority="9811" stopIfTrue="1">
      <formula>AND($B417="Tender Received",$D417&lt;=(TODAY()+3))</formula>
    </cfRule>
    <cfRule type="expression" dxfId="7674" priority="9812" stopIfTrue="1">
      <formula>$B417="Tender Received"</formula>
    </cfRule>
  </conditionalFormatting>
  <conditionalFormatting sqref="I417:I418">
    <cfRule type="expression" dxfId="7673" priority="9809" stopIfTrue="1">
      <formula>AND($B417="Tender Received",$D417&lt;=(TODAY()+3))</formula>
    </cfRule>
    <cfRule type="expression" dxfId="7672" priority="9810" stopIfTrue="1">
      <formula>$B417="Tender Received"</formula>
    </cfRule>
  </conditionalFormatting>
  <conditionalFormatting sqref="M417:N418">
    <cfRule type="expression" dxfId="7671" priority="9807" stopIfTrue="1">
      <formula>AND($B417="Tender Received",$D417&lt;=(TODAY()+3))</formula>
    </cfRule>
    <cfRule type="expression" dxfId="7670" priority="9808" stopIfTrue="1">
      <formula>$B417="Tender Received"</formula>
    </cfRule>
  </conditionalFormatting>
  <conditionalFormatting sqref="L417:L418">
    <cfRule type="expression" dxfId="7669" priority="9805" stopIfTrue="1">
      <formula>AND($B417="Tender Received",$D417&lt;=(TODAY()+3))</formula>
    </cfRule>
    <cfRule type="expression" dxfId="7668" priority="9806" stopIfTrue="1">
      <formula>$B417="Tender Received"</formula>
    </cfRule>
  </conditionalFormatting>
  <conditionalFormatting sqref="O419:R419 C419:H419 J419:K419">
    <cfRule type="expression" dxfId="7667" priority="9803" stopIfTrue="1">
      <formula>AND($B419="Tender Received",$D419&lt;=(TODAY()+3))</formula>
    </cfRule>
    <cfRule type="expression" dxfId="7666" priority="9804" stopIfTrue="1">
      <formula>$B419="Tender Received"</formula>
    </cfRule>
  </conditionalFormatting>
  <conditionalFormatting sqref="I419">
    <cfRule type="expression" dxfId="7665" priority="9801" stopIfTrue="1">
      <formula>AND($B419="Tender Received",$D419&lt;=(TODAY()+3))</formula>
    </cfRule>
    <cfRule type="expression" dxfId="7664" priority="9802" stopIfTrue="1">
      <formula>$B419="Tender Received"</formula>
    </cfRule>
  </conditionalFormatting>
  <conditionalFormatting sqref="M419:N419">
    <cfRule type="expression" dxfId="7663" priority="9799" stopIfTrue="1">
      <formula>AND($B419="Tender Received",$D419&lt;=(TODAY()+3))</formula>
    </cfRule>
    <cfRule type="expression" dxfId="7662" priority="9800" stopIfTrue="1">
      <formula>$B419="Tender Received"</formula>
    </cfRule>
  </conditionalFormatting>
  <conditionalFormatting sqref="L419">
    <cfRule type="expression" dxfId="7661" priority="9797" stopIfTrue="1">
      <formula>AND($B419="Tender Received",$D419&lt;=(TODAY()+3))</formula>
    </cfRule>
    <cfRule type="expression" dxfId="7660" priority="9798" stopIfTrue="1">
      <formula>$B419="Tender Received"</formula>
    </cfRule>
  </conditionalFormatting>
  <conditionalFormatting sqref="O420:R420 E420:H420 J420:K420">
    <cfRule type="expression" dxfId="7659" priority="9795" stopIfTrue="1">
      <formula>AND($B420="Tender Received",$D420&lt;=(TODAY()+3))</formula>
    </cfRule>
    <cfRule type="expression" dxfId="7658" priority="9796" stopIfTrue="1">
      <formula>$B420="Tender Received"</formula>
    </cfRule>
  </conditionalFormatting>
  <conditionalFormatting sqref="I420">
    <cfRule type="expression" dxfId="7657" priority="9793" stopIfTrue="1">
      <formula>AND($B420="Tender Received",$D420&lt;=(TODAY()+3))</formula>
    </cfRule>
    <cfRule type="expression" dxfId="7656" priority="9794" stopIfTrue="1">
      <formula>$B420="Tender Received"</formula>
    </cfRule>
  </conditionalFormatting>
  <conditionalFormatting sqref="M420:N420">
    <cfRule type="expression" dxfId="7655" priority="9791" stopIfTrue="1">
      <formula>AND($B420="Tender Received",$D420&lt;=(TODAY()+3))</formula>
    </cfRule>
    <cfRule type="expression" dxfId="7654" priority="9792" stopIfTrue="1">
      <formula>$B420="Tender Received"</formula>
    </cfRule>
  </conditionalFormatting>
  <conditionalFormatting sqref="L420">
    <cfRule type="expression" dxfId="7653" priority="9789" stopIfTrue="1">
      <formula>AND($B420="Tender Received",$D420&lt;=(TODAY()+3))</formula>
    </cfRule>
    <cfRule type="expression" dxfId="7652" priority="9790" stopIfTrue="1">
      <formula>$B420="Tender Received"</formula>
    </cfRule>
  </conditionalFormatting>
  <conditionalFormatting sqref="C420:D420">
    <cfRule type="expression" dxfId="7651" priority="9787" stopIfTrue="1">
      <formula>AND($B420="Tender Received",$D420&lt;=(TODAY()+3))</formula>
    </cfRule>
    <cfRule type="expression" dxfId="7650" priority="9788" stopIfTrue="1">
      <formula>$B420="Tender Received"</formula>
    </cfRule>
  </conditionalFormatting>
  <conditionalFormatting sqref="O421:R421 E421:H421 J421:K421">
    <cfRule type="expression" dxfId="7649" priority="9785" stopIfTrue="1">
      <formula>AND($B421="Tender Received",$D421&lt;=(TODAY()+3))</formula>
    </cfRule>
    <cfRule type="expression" dxfId="7648" priority="9786" stopIfTrue="1">
      <formula>$B421="Tender Received"</formula>
    </cfRule>
  </conditionalFormatting>
  <conditionalFormatting sqref="I421">
    <cfRule type="expression" dxfId="7647" priority="9783" stopIfTrue="1">
      <formula>AND($B421="Tender Received",$D421&lt;=(TODAY()+3))</formula>
    </cfRule>
    <cfRule type="expression" dxfId="7646" priority="9784" stopIfTrue="1">
      <formula>$B421="Tender Received"</formula>
    </cfRule>
  </conditionalFormatting>
  <conditionalFormatting sqref="M421:N421">
    <cfRule type="expression" dxfId="7645" priority="9781" stopIfTrue="1">
      <formula>AND($B421="Tender Received",$D421&lt;=(TODAY()+3))</formula>
    </cfRule>
    <cfRule type="expression" dxfId="7644" priority="9782" stopIfTrue="1">
      <formula>$B421="Tender Received"</formula>
    </cfRule>
  </conditionalFormatting>
  <conditionalFormatting sqref="L421">
    <cfRule type="expression" dxfId="7643" priority="9779" stopIfTrue="1">
      <formula>AND($B421="Tender Received",$D421&lt;=(TODAY()+3))</formula>
    </cfRule>
    <cfRule type="expression" dxfId="7642" priority="9780" stopIfTrue="1">
      <formula>$B421="Tender Received"</formula>
    </cfRule>
  </conditionalFormatting>
  <conditionalFormatting sqref="C421:D421">
    <cfRule type="expression" dxfId="7641" priority="9777" stopIfTrue="1">
      <formula>AND($B421="Tender Received",$D421&lt;=(TODAY()+3))</formula>
    </cfRule>
    <cfRule type="expression" dxfId="7640" priority="9778" stopIfTrue="1">
      <formula>$B421="Tender Received"</formula>
    </cfRule>
  </conditionalFormatting>
  <conditionalFormatting sqref="O422:R422 E422:H422 J422:K422">
    <cfRule type="expression" dxfId="7639" priority="9775" stopIfTrue="1">
      <formula>AND($B422="Tender Received",$D422&lt;=(TODAY()+3))</formula>
    </cfRule>
    <cfRule type="expression" dxfId="7638" priority="9776" stopIfTrue="1">
      <formula>$B422="Tender Received"</formula>
    </cfRule>
  </conditionalFormatting>
  <conditionalFormatting sqref="I422">
    <cfRule type="expression" dxfId="7637" priority="9773" stopIfTrue="1">
      <formula>AND($B422="Tender Received",$D422&lt;=(TODAY()+3))</formula>
    </cfRule>
    <cfRule type="expression" dxfId="7636" priority="9774" stopIfTrue="1">
      <formula>$B422="Tender Received"</formula>
    </cfRule>
  </conditionalFormatting>
  <conditionalFormatting sqref="M422:N422">
    <cfRule type="expression" dxfId="7635" priority="9771" stopIfTrue="1">
      <formula>AND($B422="Tender Received",$D422&lt;=(TODAY()+3))</formula>
    </cfRule>
    <cfRule type="expression" dxfId="7634" priority="9772" stopIfTrue="1">
      <formula>$B422="Tender Received"</formula>
    </cfRule>
  </conditionalFormatting>
  <conditionalFormatting sqref="L422">
    <cfRule type="expression" dxfId="7633" priority="9769" stopIfTrue="1">
      <formula>AND($B422="Tender Received",$D422&lt;=(TODAY()+3))</formula>
    </cfRule>
    <cfRule type="expression" dxfId="7632" priority="9770" stopIfTrue="1">
      <formula>$B422="Tender Received"</formula>
    </cfRule>
  </conditionalFormatting>
  <conditionalFormatting sqref="C422:D422">
    <cfRule type="expression" dxfId="7631" priority="9767" stopIfTrue="1">
      <formula>AND($B422="Tender Received",$D422&lt;=(TODAY()+3))</formula>
    </cfRule>
    <cfRule type="expression" dxfId="7630" priority="9768" stopIfTrue="1">
      <formula>$B422="Tender Received"</formula>
    </cfRule>
  </conditionalFormatting>
  <conditionalFormatting sqref="O423:R423 E423:H423 J423:K423">
    <cfRule type="expression" dxfId="7629" priority="9765" stopIfTrue="1">
      <formula>AND($B423="Tender Received",$D423&lt;=(TODAY()+3))</formula>
    </cfRule>
    <cfRule type="expression" dxfId="7628" priority="9766" stopIfTrue="1">
      <formula>$B423="Tender Received"</formula>
    </cfRule>
  </conditionalFormatting>
  <conditionalFormatting sqref="I423">
    <cfRule type="expression" dxfId="7627" priority="9763" stopIfTrue="1">
      <formula>AND($B423="Tender Received",$D423&lt;=(TODAY()+3))</formula>
    </cfRule>
    <cfRule type="expression" dxfId="7626" priority="9764" stopIfTrue="1">
      <formula>$B423="Tender Received"</formula>
    </cfRule>
  </conditionalFormatting>
  <conditionalFormatting sqref="M423:N423">
    <cfRule type="expression" dxfId="7625" priority="9761" stopIfTrue="1">
      <formula>AND($B423="Tender Received",$D423&lt;=(TODAY()+3))</formula>
    </cfRule>
    <cfRule type="expression" dxfId="7624" priority="9762" stopIfTrue="1">
      <formula>$B423="Tender Received"</formula>
    </cfRule>
  </conditionalFormatting>
  <conditionalFormatting sqref="L423">
    <cfRule type="expression" dxfId="7623" priority="9759" stopIfTrue="1">
      <formula>AND($B423="Tender Received",$D423&lt;=(TODAY()+3))</formula>
    </cfRule>
    <cfRule type="expression" dxfId="7622" priority="9760" stopIfTrue="1">
      <formula>$B423="Tender Received"</formula>
    </cfRule>
  </conditionalFormatting>
  <conditionalFormatting sqref="C423:D423">
    <cfRule type="expression" dxfId="7621" priority="9757" stopIfTrue="1">
      <formula>AND($B423="Tender Received",$D423&lt;=(TODAY()+3))</formula>
    </cfRule>
    <cfRule type="expression" dxfId="7620" priority="9758" stopIfTrue="1">
      <formula>$B423="Tender Received"</formula>
    </cfRule>
  </conditionalFormatting>
  <conditionalFormatting sqref="O424:R424 J424:K424">
    <cfRule type="expression" dxfId="7619" priority="9755" stopIfTrue="1">
      <formula>AND($B424="Tender Received",$D424&lt;=(TODAY()+3))</formula>
    </cfRule>
    <cfRule type="expression" dxfId="7618" priority="9756" stopIfTrue="1">
      <formula>$B424="Tender Received"</formula>
    </cfRule>
  </conditionalFormatting>
  <conditionalFormatting sqref="I424">
    <cfRule type="expression" dxfId="7617" priority="9753" stopIfTrue="1">
      <formula>AND($B424="Tender Received",$D424&lt;=(TODAY()+3))</formula>
    </cfRule>
    <cfRule type="expression" dxfId="7616" priority="9754" stopIfTrue="1">
      <formula>$B424="Tender Received"</formula>
    </cfRule>
  </conditionalFormatting>
  <conditionalFormatting sqref="M424:N424">
    <cfRule type="expression" dxfId="7615" priority="9751" stopIfTrue="1">
      <formula>AND($B424="Tender Received",$D424&lt;=(TODAY()+3))</formula>
    </cfRule>
    <cfRule type="expression" dxfId="7614" priority="9752" stopIfTrue="1">
      <formula>$B424="Tender Received"</formula>
    </cfRule>
  </conditionalFormatting>
  <conditionalFormatting sqref="L424">
    <cfRule type="expression" dxfId="7613" priority="9749" stopIfTrue="1">
      <formula>AND($B424="Tender Received",$D424&lt;=(TODAY()+3))</formula>
    </cfRule>
    <cfRule type="expression" dxfId="7612" priority="9750" stopIfTrue="1">
      <formula>$B424="Tender Received"</formula>
    </cfRule>
  </conditionalFormatting>
  <conditionalFormatting sqref="C424:D424">
    <cfRule type="expression" dxfId="7611" priority="9747" stopIfTrue="1">
      <formula>AND($B424="Tender Received",$D424&lt;=(TODAY()+3))</formula>
    </cfRule>
    <cfRule type="expression" dxfId="7610" priority="9748" stopIfTrue="1">
      <formula>$B424="Tender Received"</formula>
    </cfRule>
  </conditionalFormatting>
  <conditionalFormatting sqref="B425 E425:G425">
    <cfRule type="expression" dxfId="7609" priority="9745" stopIfTrue="1">
      <formula>AND($B425="Tender Received",$D425&lt;=(TODAY()+3))</formula>
    </cfRule>
    <cfRule type="expression" dxfId="7608" priority="9746" stopIfTrue="1">
      <formula>$B425="Tender Received"</formula>
    </cfRule>
  </conditionalFormatting>
  <conditionalFormatting sqref="O425:R425 J425:K425">
    <cfRule type="expression" dxfId="7607" priority="9743" stopIfTrue="1">
      <formula>AND($B425="Tender Received",$D425&lt;=(TODAY()+3))</formula>
    </cfRule>
    <cfRule type="expression" dxfId="7606" priority="9744" stopIfTrue="1">
      <formula>$B425="Tender Received"</formula>
    </cfRule>
  </conditionalFormatting>
  <conditionalFormatting sqref="I425">
    <cfRule type="expression" dxfId="7605" priority="9741" stopIfTrue="1">
      <formula>AND($B425="Tender Received",$D425&lt;=(TODAY()+3))</formula>
    </cfRule>
    <cfRule type="expression" dxfId="7604" priority="9742" stopIfTrue="1">
      <formula>$B425="Tender Received"</formula>
    </cfRule>
  </conditionalFormatting>
  <conditionalFormatting sqref="M425:N425">
    <cfRule type="expression" dxfId="7603" priority="9739" stopIfTrue="1">
      <formula>AND($B425="Tender Received",$D425&lt;=(TODAY()+3))</formula>
    </cfRule>
    <cfRule type="expression" dxfId="7602" priority="9740" stopIfTrue="1">
      <formula>$B425="Tender Received"</formula>
    </cfRule>
  </conditionalFormatting>
  <conditionalFormatting sqref="L425">
    <cfRule type="expression" dxfId="7601" priority="9737" stopIfTrue="1">
      <formula>AND($B425="Tender Received",$D425&lt;=(TODAY()+3))</formula>
    </cfRule>
    <cfRule type="expression" dxfId="7600" priority="9738" stopIfTrue="1">
      <formula>$B425="Tender Received"</formula>
    </cfRule>
  </conditionalFormatting>
  <conditionalFormatting sqref="C425:D425">
    <cfRule type="expression" dxfId="7599" priority="9735" stopIfTrue="1">
      <formula>AND($B425="Tender Received",$D425&lt;=(TODAY()+3))</formula>
    </cfRule>
    <cfRule type="expression" dxfId="7598" priority="9736" stopIfTrue="1">
      <formula>$B425="Tender Received"</formula>
    </cfRule>
  </conditionalFormatting>
  <conditionalFormatting sqref="H425">
    <cfRule type="expression" dxfId="7597" priority="9733" stopIfTrue="1">
      <formula>AND($B425="Tender Received",$D425&lt;=(TODAY()+3))</formula>
    </cfRule>
    <cfRule type="expression" dxfId="7596" priority="9734" stopIfTrue="1">
      <formula>$B425="Tender Received"</formula>
    </cfRule>
  </conditionalFormatting>
  <conditionalFormatting sqref="H424">
    <cfRule type="expression" dxfId="7595" priority="9731" stopIfTrue="1">
      <formula>AND($B424="Tender Received",$D424&lt;=(TODAY()+3))</formula>
    </cfRule>
    <cfRule type="expression" dxfId="7594" priority="9732" stopIfTrue="1">
      <formula>$B424="Tender Received"</formula>
    </cfRule>
  </conditionalFormatting>
  <conditionalFormatting sqref="E426:G426">
    <cfRule type="expression" dxfId="7593" priority="9729" stopIfTrue="1">
      <formula>AND($B426="Tender Received",$D426&lt;=(TODAY()+3))</formula>
    </cfRule>
    <cfRule type="expression" dxfId="7592" priority="9730" stopIfTrue="1">
      <formula>$B426="Tender Received"</formula>
    </cfRule>
  </conditionalFormatting>
  <conditionalFormatting sqref="O426:R426 J426:K426">
    <cfRule type="expression" dxfId="7591" priority="9727" stopIfTrue="1">
      <formula>AND($B426="Tender Received",$D426&lt;=(TODAY()+3))</formula>
    </cfRule>
    <cfRule type="expression" dxfId="7590" priority="9728" stopIfTrue="1">
      <formula>$B426="Tender Received"</formula>
    </cfRule>
  </conditionalFormatting>
  <conditionalFormatting sqref="I426">
    <cfRule type="expression" dxfId="7589" priority="9725" stopIfTrue="1">
      <formula>AND($B426="Tender Received",$D426&lt;=(TODAY()+3))</formula>
    </cfRule>
    <cfRule type="expression" dxfId="7588" priority="9726" stopIfTrue="1">
      <formula>$B426="Tender Received"</formula>
    </cfRule>
  </conditionalFormatting>
  <conditionalFormatting sqref="M426:N426">
    <cfRule type="expression" dxfId="7587" priority="9723" stopIfTrue="1">
      <formula>AND($B426="Tender Received",$D426&lt;=(TODAY()+3))</formula>
    </cfRule>
    <cfRule type="expression" dxfId="7586" priority="9724" stopIfTrue="1">
      <formula>$B426="Tender Received"</formula>
    </cfRule>
  </conditionalFormatting>
  <conditionalFormatting sqref="L426">
    <cfRule type="expression" dxfId="7585" priority="9721" stopIfTrue="1">
      <formula>AND($B426="Tender Received",$D426&lt;=(TODAY()+3))</formula>
    </cfRule>
    <cfRule type="expression" dxfId="7584" priority="9722" stopIfTrue="1">
      <formula>$B426="Tender Received"</formula>
    </cfRule>
  </conditionalFormatting>
  <conditionalFormatting sqref="C426:D426">
    <cfRule type="expression" dxfId="7583" priority="9719" stopIfTrue="1">
      <formula>AND($B426="Tender Received",$D426&lt;=(TODAY()+3))</formula>
    </cfRule>
    <cfRule type="expression" dxfId="7582" priority="9720" stopIfTrue="1">
      <formula>$B426="Tender Received"</formula>
    </cfRule>
  </conditionalFormatting>
  <conditionalFormatting sqref="H426">
    <cfRule type="expression" dxfId="7581" priority="9717" stopIfTrue="1">
      <formula>AND($B426="Tender Received",$D426&lt;=(TODAY()+3))</formula>
    </cfRule>
    <cfRule type="expression" dxfId="7580" priority="9718" stopIfTrue="1">
      <formula>$B426="Tender Received"</formula>
    </cfRule>
  </conditionalFormatting>
  <conditionalFormatting sqref="E427:G427">
    <cfRule type="expression" dxfId="7579" priority="9715" stopIfTrue="1">
      <formula>AND($B427="Tender Received",$D427&lt;=(TODAY()+3))</formula>
    </cfRule>
    <cfRule type="expression" dxfId="7578" priority="9716" stopIfTrue="1">
      <formula>$B427="Tender Received"</formula>
    </cfRule>
  </conditionalFormatting>
  <conditionalFormatting sqref="O427:R427 J427:K427">
    <cfRule type="expression" dxfId="7577" priority="9713" stopIfTrue="1">
      <formula>AND($B427="Tender Received",$D427&lt;=(TODAY()+3))</formula>
    </cfRule>
    <cfRule type="expression" dxfId="7576" priority="9714" stopIfTrue="1">
      <formula>$B427="Tender Received"</formula>
    </cfRule>
  </conditionalFormatting>
  <conditionalFormatting sqref="I427">
    <cfRule type="expression" dxfId="7575" priority="9711" stopIfTrue="1">
      <formula>AND($B427="Tender Received",$D427&lt;=(TODAY()+3))</formula>
    </cfRule>
    <cfRule type="expression" dxfId="7574" priority="9712" stopIfTrue="1">
      <formula>$B427="Tender Received"</formula>
    </cfRule>
  </conditionalFormatting>
  <conditionalFormatting sqref="M427:N427">
    <cfRule type="expression" dxfId="7573" priority="9709" stopIfTrue="1">
      <formula>AND($B427="Tender Received",$D427&lt;=(TODAY()+3))</formula>
    </cfRule>
    <cfRule type="expression" dxfId="7572" priority="9710" stopIfTrue="1">
      <formula>$B427="Tender Received"</formula>
    </cfRule>
  </conditionalFormatting>
  <conditionalFormatting sqref="L427">
    <cfRule type="expression" dxfId="7571" priority="9707" stopIfTrue="1">
      <formula>AND($B427="Tender Received",$D427&lt;=(TODAY()+3))</formula>
    </cfRule>
    <cfRule type="expression" dxfId="7570" priority="9708" stopIfTrue="1">
      <formula>$B427="Tender Received"</formula>
    </cfRule>
  </conditionalFormatting>
  <conditionalFormatting sqref="C427:D427">
    <cfRule type="expression" dxfId="7569" priority="9705" stopIfTrue="1">
      <formula>AND($B427="Tender Received",$D427&lt;=(TODAY()+3))</formula>
    </cfRule>
    <cfRule type="expression" dxfId="7568" priority="9706" stopIfTrue="1">
      <formula>$B427="Tender Received"</formula>
    </cfRule>
  </conditionalFormatting>
  <conditionalFormatting sqref="H427">
    <cfRule type="expression" dxfId="7567" priority="9703" stopIfTrue="1">
      <formula>AND($B427="Tender Received",$D427&lt;=(TODAY()+3))</formula>
    </cfRule>
    <cfRule type="expression" dxfId="7566" priority="9704" stopIfTrue="1">
      <formula>$B427="Tender Received"</formula>
    </cfRule>
  </conditionalFormatting>
  <conditionalFormatting sqref="E428:G428">
    <cfRule type="expression" dxfId="7565" priority="9701" stopIfTrue="1">
      <formula>AND($B428="Tender Received",$D428&lt;=(TODAY()+3))</formula>
    </cfRule>
    <cfRule type="expression" dxfId="7564" priority="9702" stopIfTrue="1">
      <formula>$B428="Tender Received"</formula>
    </cfRule>
  </conditionalFormatting>
  <conditionalFormatting sqref="O428:R428 J428:K428">
    <cfRule type="expression" dxfId="7563" priority="9699" stopIfTrue="1">
      <formula>AND($B428="Tender Received",$D428&lt;=(TODAY()+3))</formula>
    </cfRule>
    <cfRule type="expression" dxfId="7562" priority="9700" stopIfTrue="1">
      <formula>$B428="Tender Received"</formula>
    </cfRule>
  </conditionalFormatting>
  <conditionalFormatting sqref="I428">
    <cfRule type="expression" dxfId="7561" priority="9697" stopIfTrue="1">
      <formula>AND($B428="Tender Received",$D428&lt;=(TODAY()+3))</formula>
    </cfRule>
    <cfRule type="expression" dxfId="7560" priority="9698" stopIfTrue="1">
      <formula>$B428="Tender Received"</formula>
    </cfRule>
  </conditionalFormatting>
  <conditionalFormatting sqref="M428:N428">
    <cfRule type="expression" dxfId="7559" priority="9695" stopIfTrue="1">
      <formula>AND($B428="Tender Received",$D428&lt;=(TODAY()+3))</formula>
    </cfRule>
    <cfRule type="expression" dxfId="7558" priority="9696" stopIfTrue="1">
      <formula>$B428="Tender Received"</formula>
    </cfRule>
  </conditionalFormatting>
  <conditionalFormatting sqref="L428">
    <cfRule type="expression" dxfId="7557" priority="9693" stopIfTrue="1">
      <formula>AND($B428="Tender Received",$D428&lt;=(TODAY()+3))</formula>
    </cfRule>
    <cfRule type="expression" dxfId="7556" priority="9694" stopIfTrue="1">
      <formula>$B428="Tender Received"</formula>
    </cfRule>
  </conditionalFormatting>
  <conditionalFormatting sqref="C428:D428">
    <cfRule type="expression" dxfId="7555" priority="9691" stopIfTrue="1">
      <formula>AND($B428="Tender Received",$D428&lt;=(TODAY()+3))</formula>
    </cfRule>
    <cfRule type="expression" dxfId="7554" priority="9692" stopIfTrue="1">
      <formula>$B428="Tender Received"</formula>
    </cfRule>
  </conditionalFormatting>
  <conditionalFormatting sqref="H428">
    <cfRule type="expression" dxfId="7553" priority="9689" stopIfTrue="1">
      <formula>AND($B428="Tender Received",$D428&lt;=(TODAY()+3))</formula>
    </cfRule>
    <cfRule type="expression" dxfId="7552" priority="9690" stopIfTrue="1">
      <formula>$B428="Tender Received"</formula>
    </cfRule>
  </conditionalFormatting>
  <conditionalFormatting sqref="E429:G429">
    <cfRule type="expression" dxfId="7551" priority="9687" stopIfTrue="1">
      <formula>AND($B429="Tender Received",$D429&lt;=(TODAY()+3))</formula>
    </cfRule>
    <cfRule type="expression" dxfId="7550" priority="9688" stopIfTrue="1">
      <formula>$B429="Tender Received"</formula>
    </cfRule>
  </conditionalFormatting>
  <conditionalFormatting sqref="O429:R429 J429:K429">
    <cfRule type="expression" dxfId="7549" priority="9685" stopIfTrue="1">
      <formula>AND($B429="Tender Received",$D429&lt;=(TODAY()+3))</formula>
    </cfRule>
    <cfRule type="expression" dxfId="7548" priority="9686" stopIfTrue="1">
      <formula>$B429="Tender Received"</formula>
    </cfRule>
  </conditionalFormatting>
  <conditionalFormatting sqref="I429">
    <cfRule type="expression" dxfId="7547" priority="9683" stopIfTrue="1">
      <formula>AND($B429="Tender Received",$D429&lt;=(TODAY()+3))</formula>
    </cfRule>
    <cfRule type="expression" dxfId="7546" priority="9684" stopIfTrue="1">
      <formula>$B429="Tender Received"</formula>
    </cfRule>
  </conditionalFormatting>
  <conditionalFormatting sqref="M429:N429">
    <cfRule type="expression" dxfId="7545" priority="9681" stopIfTrue="1">
      <formula>AND($B429="Tender Received",$D429&lt;=(TODAY()+3))</formula>
    </cfRule>
    <cfRule type="expression" dxfId="7544" priority="9682" stopIfTrue="1">
      <formula>$B429="Tender Received"</formula>
    </cfRule>
  </conditionalFormatting>
  <conditionalFormatting sqref="L429">
    <cfRule type="expression" dxfId="7543" priority="9679" stopIfTrue="1">
      <formula>AND($B429="Tender Received",$D429&lt;=(TODAY()+3))</formula>
    </cfRule>
    <cfRule type="expression" dxfId="7542" priority="9680" stopIfTrue="1">
      <formula>$B429="Tender Received"</formula>
    </cfRule>
  </conditionalFormatting>
  <conditionalFormatting sqref="C429:D429">
    <cfRule type="expression" dxfId="7541" priority="9677" stopIfTrue="1">
      <formula>AND($B429="Tender Received",$D429&lt;=(TODAY()+3))</formula>
    </cfRule>
    <cfRule type="expression" dxfId="7540" priority="9678" stopIfTrue="1">
      <formula>$B429="Tender Received"</formula>
    </cfRule>
  </conditionalFormatting>
  <conditionalFormatting sqref="H429">
    <cfRule type="expression" dxfId="7539" priority="9675" stopIfTrue="1">
      <formula>AND($B429="Tender Received",$D429&lt;=(TODAY()+3))</formula>
    </cfRule>
    <cfRule type="expression" dxfId="7538" priority="9676" stopIfTrue="1">
      <formula>$B429="Tender Received"</formula>
    </cfRule>
  </conditionalFormatting>
  <conditionalFormatting sqref="J496">
    <cfRule type="expression" dxfId="7537" priority="9669" stopIfTrue="1">
      <formula>AND($B496="Tender Received",$D496&lt;=(TODAY()+3))</formula>
    </cfRule>
    <cfRule type="expression" dxfId="7536" priority="9670" stopIfTrue="1">
      <formula>$B496="Tender Received"</formula>
    </cfRule>
  </conditionalFormatting>
  <conditionalFormatting sqref="C497:I497 K497:R497">
    <cfRule type="expression" dxfId="7535" priority="9667" stopIfTrue="1">
      <formula>AND($B497="Tender Received",$D497&lt;=(TODAY()+3))</formula>
    </cfRule>
    <cfRule type="expression" dxfId="7534" priority="9668" stopIfTrue="1">
      <formula>$B497="Tender Received"</formula>
    </cfRule>
  </conditionalFormatting>
  <conditionalFormatting sqref="J497">
    <cfRule type="expression" dxfId="7533" priority="9665" stopIfTrue="1">
      <formula>AND($B497="Tender Received",$D497&lt;=(TODAY()+3))</formula>
    </cfRule>
    <cfRule type="expression" dxfId="7532" priority="9666" stopIfTrue="1">
      <formula>$B497="Tender Received"</formula>
    </cfRule>
  </conditionalFormatting>
  <conditionalFormatting sqref="C498:I498 K498:R498">
    <cfRule type="expression" dxfId="7531" priority="9663" stopIfTrue="1">
      <formula>AND($B498="Tender Received",$D498&lt;=(TODAY()+3))</formula>
    </cfRule>
    <cfRule type="expression" dxfId="7530" priority="9664" stopIfTrue="1">
      <formula>$B498="Tender Received"</formula>
    </cfRule>
  </conditionalFormatting>
  <conditionalFormatting sqref="J498">
    <cfRule type="expression" dxfId="7529" priority="9661" stopIfTrue="1">
      <formula>AND($B498="Tender Received",$D498&lt;=(TODAY()+3))</formula>
    </cfRule>
    <cfRule type="expression" dxfId="7528" priority="9662" stopIfTrue="1">
      <formula>$B498="Tender Received"</formula>
    </cfRule>
  </conditionalFormatting>
  <conditionalFormatting sqref="C499:I499 K499:R499">
    <cfRule type="expression" dxfId="7527" priority="9659" stopIfTrue="1">
      <formula>AND($B499="Tender Received",$D499&lt;=(TODAY()+3))</formula>
    </cfRule>
    <cfRule type="expression" dxfId="7526" priority="9660" stopIfTrue="1">
      <formula>$B499="Tender Received"</formula>
    </cfRule>
  </conditionalFormatting>
  <conditionalFormatting sqref="J499">
    <cfRule type="expression" dxfId="7525" priority="9657" stopIfTrue="1">
      <formula>AND($B499="Tender Received",$D499&lt;=(TODAY()+3))</formula>
    </cfRule>
    <cfRule type="expression" dxfId="7524" priority="9658" stopIfTrue="1">
      <formula>$B499="Tender Received"</formula>
    </cfRule>
  </conditionalFormatting>
  <conditionalFormatting sqref="C500:I500 K500:R500">
    <cfRule type="expression" dxfId="7523" priority="9651" stopIfTrue="1">
      <formula>AND($B500="Tender Received",$D500&lt;=(TODAY()+3))</formula>
    </cfRule>
    <cfRule type="expression" dxfId="7522" priority="9652" stopIfTrue="1">
      <formula>$B500="Tender Received"</formula>
    </cfRule>
  </conditionalFormatting>
  <conditionalFormatting sqref="J500">
    <cfRule type="expression" dxfId="7521" priority="9649" stopIfTrue="1">
      <formula>AND($B500="Tender Received",$D500&lt;=(TODAY()+3))</formula>
    </cfRule>
    <cfRule type="expression" dxfId="7520" priority="9650" stopIfTrue="1">
      <formula>$B500="Tender Received"</formula>
    </cfRule>
  </conditionalFormatting>
  <conditionalFormatting sqref="C501:I501 K501:R501">
    <cfRule type="expression" dxfId="7519" priority="9647" stopIfTrue="1">
      <formula>AND($B501="Tender Received",$D501&lt;=(TODAY()+3))</formula>
    </cfRule>
    <cfRule type="expression" dxfId="7518" priority="9648" stopIfTrue="1">
      <formula>$B501="Tender Received"</formula>
    </cfRule>
  </conditionalFormatting>
  <conditionalFormatting sqref="J501">
    <cfRule type="expression" dxfId="7517" priority="9645" stopIfTrue="1">
      <formula>AND($B501="Tender Received",$D501&lt;=(TODAY()+3))</formula>
    </cfRule>
    <cfRule type="expression" dxfId="7516" priority="9646" stopIfTrue="1">
      <formula>$B501="Tender Received"</formula>
    </cfRule>
  </conditionalFormatting>
  <conditionalFormatting sqref="C502:I502 K502:R502">
    <cfRule type="expression" dxfId="7515" priority="9643" stopIfTrue="1">
      <formula>AND($B502="Tender Received",$D502&lt;=(TODAY()+3))</formula>
    </cfRule>
    <cfRule type="expression" dxfId="7514" priority="9644" stopIfTrue="1">
      <formula>$B502="Tender Received"</formula>
    </cfRule>
  </conditionalFormatting>
  <conditionalFormatting sqref="J502">
    <cfRule type="expression" dxfId="7513" priority="9641" stopIfTrue="1">
      <formula>AND($B502="Tender Received",$D502&lt;=(TODAY()+3))</formula>
    </cfRule>
    <cfRule type="expression" dxfId="7512" priority="9642" stopIfTrue="1">
      <formula>$B502="Tender Received"</formula>
    </cfRule>
  </conditionalFormatting>
  <conditionalFormatting sqref="C503:I503 K503:R503">
    <cfRule type="expression" dxfId="7511" priority="9639" stopIfTrue="1">
      <formula>AND($B503="Tender Received",$D503&lt;=(TODAY()+3))</formula>
    </cfRule>
    <cfRule type="expression" dxfId="7510" priority="9640" stopIfTrue="1">
      <formula>$B503="Tender Received"</formula>
    </cfRule>
  </conditionalFormatting>
  <conditionalFormatting sqref="J503">
    <cfRule type="expression" dxfId="7509" priority="9637" stopIfTrue="1">
      <formula>AND($B503="Tender Received",$D503&lt;=(TODAY()+3))</formula>
    </cfRule>
    <cfRule type="expression" dxfId="7508" priority="9638" stopIfTrue="1">
      <formula>$B503="Tender Received"</formula>
    </cfRule>
  </conditionalFormatting>
  <conditionalFormatting sqref="C504:I504 K504:R504">
    <cfRule type="expression" dxfId="7507" priority="9635" stopIfTrue="1">
      <formula>AND($B504="Tender Received",$D504&lt;=(TODAY()+3))</formula>
    </cfRule>
    <cfRule type="expression" dxfId="7506" priority="9636" stopIfTrue="1">
      <formula>$B504="Tender Received"</formula>
    </cfRule>
  </conditionalFormatting>
  <conditionalFormatting sqref="J504">
    <cfRule type="expression" dxfId="7505" priority="9633" stopIfTrue="1">
      <formula>AND($B504="Tender Received",$D504&lt;=(TODAY()+3))</formula>
    </cfRule>
    <cfRule type="expression" dxfId="7504" priority="9634" stopIfTrue="1">
      <formula>$B504="Tender Received"</formula>
    </cfRule>
  </conditionalFormatting>
  <conditionalFormatting sqref="C505:I505 K505:R505">
    <cfRule type="expression" dxfId="7503" priority="9631" stopIfTrue="1">
      <formula>AND($B505="Tender Received",$D505&lt;=(TODAY()+3))</formula>
    </cfRule>
    <cfRule type="expression" dxfId="7502" priority="9632" stopIfTrue="1">
      <formula>$B505="Tender Received"</formula>
    </cfRule>
  </conditionalFormatting>
  <conditionalFormatting sqref="J505">
    <cfRule type="expression" dxfId="7501" priority="9629" stopIfTrue="1">
      <formula>AND($B505="Tender Received",$D505&lt;=(TODAY()+3))</formula>
    </cfRule>
    <cfRule type="expression" dxfId="7500" priority="9630" stopIfTrue="1">
      <formula>$B505="Tender Received"</formula>
    </cfRule>
  </conditionalFormatting>
  <conditionalFormatting sqref="C506:I506 K506:R506">
    <cfRule type="expression" dxfId="7499" priority="9625" stopIfTrue="1">
      <formula>AND($B506="Tender Received",$D506&lt;=(TODAY()+3))</formula>
    </cfRule>
    <cfRule type="expression" dxfId="7498" priority="9626" stopIfTrue="1">
      <formula>$B506="Tender Received"</formula>
    </cfRule>
  </conditionalFormatting>
  <conditionalFormatting sqref="J506">
    <cfRule type="expression" dxfId="7497" priority="9623" stopIfTrue="1">
      <formula>AND($B506="Tender Received",$D506&lt;=(TODAY()+3))</formula>
    </cfRule>
    <cfRule type="expression" dxfId="7496" priority="9624" stopIfTrue="1">
      <formula>$B506="Tender Received"</formula>
    </cfRule>
  </conditionalFormatting>
  <conditionalFormatting sqref="C507:I507 K507:R507">
    <cfRule type="expression" dxfId="7495" priority="9621" stopIfTrue="1">
      <formula>AND($B507="Tender Received",$D507&lt;=(TODAY()+3))</formula>
    </cfRule>
    <cfRule type="expression" dxfId="7494" priority="9622" stopIfTrue="1">
      <formula>$B507="Tender Received"</formula>
    </cfRule>
  </conditionalFormatting>
  <conditionalFormatting sqref="J507">
    <cfRule type="expression" dxfId="7493" priority="9619" stopIfTrue="1">
      <formula>AND($B507="Tender Received",$D507&lt;=(TODAY()+3))</formula>
    </cfRule>
    <cfRule type="expression" dxfId="7492" priority="9620" stopIfTrue="1">
      <formula>$B507="Tender Received"</formula>
    </cfRule>
  </conditionalFormatting>
  <conditionalFormatting sqref="C508:I508 K508:R508">
    <cfRule type="expression" dxfId="7491" priority="9617" stopIfTrue="1">
      <formula>AND($B508="Tender Received",$D508&lt;=(TODAY()+3))</formula>
    </cfRule>
    <cfRule type="expression" dxfId="7490" priority="9618" stopIfTrue="1">
      <formula>$B508="Tender Received"</formula>
    </cfRule>
  </conditionalFormatting>
  <conditionalFormatting sqref="J508">
    <cfRule type="expression" dxfId="7489" priority="9615" stopIfTrue="1">
      <formula>AND($B508="Tender Received",$D508&lt;=(TODAY()+3))</formula>
    </cfRule>
    <cfRule type="expression" dxfId="7488" priority="9616" stopIfTrue="1">
      <formula>$B508="Tender Received"</formula>
    </cfRule>
  </conditionalFormatting>
  <conditionalFormatting sqref="C509:I509 K509:R509">
    <cfRule type="expression" dxfId="7487" priority="9613" stopIfTrue="1">
      <formula>AND($B509="Tender Received",$D509&lt;=(TODAY()+3))</formula>
    </cfRule>
    <cfRule type="expression" dxfId="7486" priority="9614" stopIfTrue="1">
      <formula>$B509="Tender Received"</formula>
    </cfRule>
  </conditionalFormatting>
  <conditionalFormatting sqref="J509">
    <cfRule type="expression" dxfId="7485" priority="9611" stopIfTrue="1">
      <formula>AND($B509="Tender Received",$D509&lt;=(TODAY()+3))</formula>
    </cfRule>
    <cfRule type="expression" dxfId="7484" priority="9612" stopIfTrue="1">
      <formula>$B509="Tender Received"</formula>
    </cfRule>
  </conditionalFormatting>
  <conditionalFormatting sqref="C510:I510 K510:R510">
    <cfRule type="expression" dxfId="7483" priority="9609" stopIfTrue="1">
      <formula>AND($B510="Tender Received",$D510&lt;=(TODAY()+3))</formula>
    </cfRule>
    <cfRule type="expression" dxfId="7482" priority="9610" stopIfTrue="1">
      <formula>$B510="Tender Received"</formula>
    </cfRule>
  </conditionalFormatting>
  <conditionalFormatting sqref="J510">
    <cfRule type="expression" dxfId="7481" priority="9607" stopIfTrue="1">
      <formula>AND($B510="Tender Received",$D510&lt;=(TODAY()+3))</formula>
    </cfRule>
    <cfRule type="expression" dxfId="7480" priority="9608" stopIfTrue="1">
      <formula>$B510="Tender Received"</formula>
    </cfRule>
  </conditionalFormatting>
  <conditionalFormatting sqref="C511:I511 K511:R511">
    <cfRule type="expression" dxfId="7479" priority="9605" stopIfTrue="1">
      <formula>AND($B511="Tender Received",$D511&lt;=(TODAY()+3))</formula>
    </cfRule>
    <cfRule type="expression" dxfId="7478" priority="9606" stopIfTrue="1">
      <formula>$B511="Tender Received"</formula>
    </cfRule>
  </conditionalFormatting>
  <conditionalFormatting sqref="J511">
    <cfRule type="expression" dxfId="7477" priority="9603" stopIfTrue="1">
      <formula>AND($B511="Tender Received",$D511&lt;=(TODAY()+3))</formula>
    </cfRule>
    <cfRule type="expression" dxfId="7476" priority="9604" stopIfTrue="1">
      <formula>$B511="Tender Received"</formula>
    </cfRule>
  </conditionalFormatting>
  <conditionalFormatting sqref="K512:R513 C512:I513">
    <cfRule type="expression" dxfId="7475" priority="9601" stopIfTrue="1">
      <formula>AND($B512="Tender Received",$D512&lt;=(TODAY()+3))</formula>
    </cfRule>
    <cfRule type="expression" dxfId="7474" priority="9602" stopIfTrue="1">
      <formula>$B512="Tender Received"</formula>
    </cfRule>
  </conditionalFormatting>
  <conditionalFormatting sqref="J512:J513">
    <cfRule type="expression" dxfId="7473" priority="9599" stopIfTrue="1">
      <formula>AND($B512="Tender Received",$D512&lt;=(TODAY()+3))</formula>
    </cfRule>
    <cfRule type="expression" dxfId="7472" priority="9600" stopIfTrue="1">
      <formula>$B512="Tender Received"</formula>
    </cfRule>
  </conditionalFormatting>
  <conditionalFormatting sqref="K514:R514 C514:I514">
    <cfRule type="expression" dxfId="7471" priority="9597" stopIfTrue="1">
      <formula>AND($B514="Tender Received",$D514&lt;=(TODAY()+3))</formula>
    </cfRule>
    <cfRule type="expression" dxfId="7470" priority="9598" stopIfTrue="1">
      <formula>$B514="Tender Received"</formula>
    </cfRule>
  </conditionalFormatting>
  <conditionalFormatting sqref="J514">
    <cfRule type="expression" dxfId="7469" priority="9595" stopIfTrue="1">
      <formula>AND($B514="Tender Received",$D514&lt;=(TODAY()+3))</formula>
    </cfRule>
    <cfRule type="expression" dxfId="7468" priority="9596" stopIfTrue="1">
      <formula>$B514="Tender Received"</formula>
    </cfRule>
  </conditionalFormatting>
  <conditionalFormatting sqref="K512:R518 C512:I518">
    <cfRule type="expression" dxfId="7467" priority="9593" stopIfTrue="1">
      <formula>AND($B512="Tender Received",$D512&lt;=(TODAY()+3))</formula>
    </cfRule>
    <cfRule type="expression" dxfId="7466" priority="9594" stopIfTrue="1">
      <formula>$B512="Tender Received"</formula>
    </cfRule>
  </conditionalFormatting>
  <conditionalFormatting sqref="J512:J518">
    <cfRule type="expression" dxfId="7465" priority="9591" stopIfTrue="1">
      <formula>AND($B512="Tender Received",$D512&lt;=(TODAY()+3))</formula>
    </cfRule>
    <cfRule type="expression" dxfId="7464" priority="9592" stopIfTrue="1">
      <formula>$B512="Tender Received"</formula>
    </cfRule>
  </conditionalFormatting>
  <conditionalFormatting sqref="K516:R522 C516:I522">
    <cfRule type="expression" dxfId="7463" priority="9589" stopIfTrue="1">
      <formula>AND($B516="Tender Received",$D516&lt;=(TODAY()+3))</formula>
    </cfRule>
    <cfRule type="expression" dxfId="7462" priority="9590" stopIfTrue="1">
      <formula>$B516="Tender Received"</formula>
    </cfRule>
  </conditionalFormatting>
  <conditionalFormatting sqref="J516:J522">
    <cfRule type="expression" dxfId="7461" priority="9587" stopIfTrue="1">
      <formula>AND($B516="Tender Received",$D516&lt;=(TODAY()+3))</formula>
    </cfRule>
    <cfRule type="expression" dxfId="7460" priority="9588" stopIfTrue="1">
      <formula>$B516="Tender Received"</formula>
    </cfRule>
  </conditionalFormatting>
  <conditionalFormatting sqref="K523:R523 C523:I523">
    <cfRule type="expression" dxfId="7459" priority="9583" stopIfTrue="1">
      <formula>AND($B523="Tender Received",$D523&lt;=(TODAY()+3))</formula>
    </cfRule>
    <cfRule type="expression" dxfId="7458" priority="9584" stopIfTrue="1">
      <formula>$B523="Tender Received"</formula>
    </cfRule>
  </conditionalFormatting>
  <conditionalFormatting sqref="J523">
    <cfRule type="expression" dxfId="7457" priority="9581" stopIfTrue="1">
      <formula>AND($B523="Tender Received",$D523&lt;=(TODAY()+3))</formula>
    </cfRule>
    <cfRule type="expression" dxfId="7456" priority="9582" stopIfTrue="1">
      <formula>$B523="Tender Received"</formula>
    </cfRule>
  </conditionalFormatting>
  <conditionalFormatting sqref="K524:R524 C524:I524">
    <cfRule type="expression" dxfId="7455" priority="9579" stopIfTrue="1">
      <formula>AND($B524="Tender Received",$D524&lt;=(TODAY()+3))</formula>
    </cfRule>
    <cfRule type="expression" dxfId="7454" priority="9580" stopIfTrue="1">
      <formula>$B524="Tender Received"</formula>
    </cfRule>
  </conditionalFormatting>
  <conditionalFormatting sqref="J524">
    <cfRule type="expression" dxfId="7453" priority="9577" stopIfTrue="1">
      <formula>AND($B524="Tender Received",$D524&lt;=(TODAY()+3))</formula>
    </cfRule>
    <cfRule type="expression" dxfId="7452" priority="9578" stopIfTrue="1">
      <formula>$B524="Tender Received"</formula>
    </cfRule>
  </conditionalFormatting>
  <conditionalFormatting sqref="M526:R526 O525:R525 B525:B526 D525:K526">
    <cfRule type="expression" dxfId="7451" priority="9571" stopIfTrue="1">
      <formula>AND($B525="Tender Received",$D525&lt;=(TODAY()+3))</formula>
    </cfRule>
    <cfRule type="expression" dxfId="7450" priority="9572" stopIfTrue="1">
      <formula>$B525="Tender Received"</formula>
    </cfRule>
  </conditionalFormatting>
  <conditionalFormatting sqref="M525:N525">
    <cfRule type="expression" dxfId="7449" priority="9569" stopIfTrue="1">
      <formula>AND($B525="Tender Received",$D525&lt;=(TODAY()+3))</formula>
    </cfRule>
    <cfRule type="expression" dxfId="7448" priority="9570" stopIfTrue="1">
      <formula>$B525="Tender Received"</formula>
    </cfRule>
  </conditionalFormatting>
  <conditionalFormatting sqref="L526">
    <cfRule type="expression" dxfId="7447" priority="9567" stopIfTrue="1">
      <formula>AND($B526="Tender Received",$D526&lt;=(TODAY()+3))</formula>
    </cfRule>
    <cfRule type="expression" dxfId="7446" priority="9568" stopIfTrue="1">
      <formula>$B526="Tender Received"</formula>
    </cfRule>
  </conditionalFormatting>
  <conditionalFormatting sqref="L525">
    <cfRule type="expression" dxfId="7445" priority="9565" stopIfTrue="1">
      <formula>AND($B525="Tender Received",$D525&lt;=(TODAY()+3))</formula>
    </cfRule>
    <cfRule type="expression" dxfId="7444" priority="9566" stopIfTrue="1">
      <formula>$B525="Tender Received"</formula>
    </cfRule>
  </conditionalFormatting>
  <conditionalFormatting sqref="C525:C526">
    <cfRule type="expression" dxfId="7443" priority="9563" stopIfTrue="1">
      <formula>AND($B525="Tender Received",$D525&lt;=(TODAY()+3))</formula>
    </cfRule>
    <cfRule type="expression" dxfId="7442" priority="9564" stopIfTrue="1">
      <formula>$B525="Tender Received"</formula>
    </cfRule>
  </conditionalFormatting>
  <conditionalFormatting sqref="J530:K530 D528:K529 D530:H530 J527:K527 O524:R530 D525:K526 D527:H527 D524:H524 J524:K524">
    <cfRule type="expression" dxfId="7441" priority="9559" stopIfTrue="1">
      <formula>AND($B524="Tender Received",$D524&lt;=(TODAY()+3))</formula>
    </cfRule>
    <cfRule type="expression" dxfId="7440" priority="9560" stopIfTrue="1">
      <formula>$B524="Tender Received"</formula>
    </cfRule>
  </conditionalFormatting>
  <conditionalFormatting sqref="I530">
    <cfRule type="expression" dxfId="7439" priority="9557" stopIfTrue="1">
      <formula>AND($B530="Tender Received",$D530&lt;=(TODAY()+3))</formula>
    </cfRule>
    <cfRule type="expression" dxfId="7438" priority="9558" stopIfTrue="1">
      <formula>$B530="Tender Received"</formula>
    </cfRule>
  </conditionalFormatting>
  <conditionalFormatting sqref="M524:N530">
    <cfRule type="expression" dxfId="7437" priority="9555" stopIfTrue="1">
      <formula>AND($B524="Tender Received",$D524&lt;=(TODAY()+3))</formula>
    </cfRule>
    <cfRule type="expression" dxfId="7436" priority="9556" stopIfTrue="1">
      <formula>$B524="Tender Received"</formula>
    </cfRule>
  </conditionalFormatting>
  <conditionalFormatting sqref="L528 L530">
    <cfRule type="expression" dxfId="7435" priority="9553" stopIfTrue="1">
      <formula>AND($B528="Tender Received",$D528&lt;=(TODAY()+3))</formula>
    </cfRule>
    <cfRule type="expression" dxfId="7434" priority="9554" stopIfTrue="1">
      <formula>$B528="Tender Received"</formula>
    </cfRule>
  </conditionalFormatting>
  <conditionalFormatting sqref="L527">
    <cfRule type="expression" dxfId="7433" priority="9551" stopIfTrue="1">
      <formula>AND($B527="Tender Received",$D527&lt;=(TODAY()+3))</formula>
    </cfRule>
    <cfRule type="expression" dxfId="7432" priority="9552" stopIfTrue="1">
      <formula>$B527="Tender Received"</formula>
    </cfRule>
  </conditionalFormatting>
  <conditionalFormatting sqref="L529">
    <cfRule type="expression" dxfId="7431" priority="9549" stopIfTrue="1">
      <formula>AND($B529="Tender Received",$D529&lt;=(TODAY()+3))</formula>
    </cfRule>
    <cfRule type="expression" dxfId="7430" priority="9550" stopIfTrue="1">
      <formula>$B529="Tender Received"</formula>
    </cfRule>
  </conditionalFormatting>
  <conditionalFormatting sqref="C524:C530">
    <cfRule type="expression" dxfId="7429" priority="9547" stopIfTrue="1">
      <formula>AND($B524="Tender Received",$D524&lt;=(TODAY()+3))</formula>
    </cfRule>
    <cfRule type="expression" dxfId="7428" priority="9548" stopIfTrue="1">
      <formula>$B524="Tender Received"</formula>
    </cfRule>
  </conditionalFormatting>
  <conditionalFormatting sqref="I527">
    <cfRule type="expression" dxfId="7427" priority="9545" stopIfTrue="1">
      <formula>AND($B527="Tender Received",$D527&lt;=(TODAY()+3))</formula>
    </cfRule>
    <cfRule type="expression" dxfId="7426" priority="9546" stopIfTrue="1">
      <formula>$B527="Tender Received"</formula>
    </cfRule>
  </conditionalFormatting>
  <conditionalFormatting sqref="B527">
    <cfRule type="expression" dxfId="7425" priority="9543" stopIfTrue="1">
      <formula>AND($B527="Tender Received",$D527&lt;=(TODAY()+3))</formula>
    </cfRule>
    <cfRule type="expression" dxfId="7424" priority="9544" stopIfTrue="1">
      <formula>$B527="Tender Received"</formula>
    </cfRule>
  </conditionalFormatting>
  <conditionalFormatting sqref="B528">
    <cfRule type="expression" dxfId="7423" priority="9541" stopIfTrue="1">
      <formula>AND($B528="Tender Received",$D528&lt;=(TODAY()+3))</formula>
    </cfRule>
    <cfRule type="expression" dxfId="7422" priority="9542" stopIfTrue="1">
      <formula>$B528="Tender Received"</formula>
    </cfRule>
  </conditionalFormatting>
  <conditionalFormatting sqref="B529">
    <cfRule type="expression" dxfId="7421" priority="9539" stopIfTrue="1">
      <formula>AND($B529="Tender Received",$D529&lt;=(TODAY()+3))</formula>
    </cfRule>
    <cfRule type="expression" dxfId="7420" priority="9540" stopIfTrue="1">
      <formula>$B529="Tender Received"</formula>
    </cfRule>
  </conditionalFormatting>
  <conditionalFormatting sqref="B530">
    <cfRule type="expression" dxfId="7419" priority="9537" stopIfTrue="1">
      <formula>AND($B530="Tender Received",$D530&lt;=(TODAY()+3))</formula>
    </cfRule>
    <cfRule type="expression" dxfId="7418" priority="9538" stopIfTrue="1">
      <formula>$B530="Tender Received"</formula>
    </cfRule>
  </conditionalFormatting>
  <conditionalFormatting sqref="O531:R531 B531 D531:H531 J531:K531">
    <cfRule type="expression" dxfId="7417" priority="9535" stopIfTrue="1">
      <formula>AND($B531="Tender Received",$D531&lt;=(TODAY()+3))</formula>
    </cfRule>
    <cfRule type="expression" dxfId="7416" priority="9536" stopIfTrue="1">
      <formula>$B531="Tender Received"</formula>
    </cfRule>
  </conditionalFormatting>
  <conditionalFormatting sqref="I531">
    <cfRule type="expression" dxfId="7415" priority="9533" stopIfTrue="1">
      <formula>AND($B531="Tender Received",$D531&lt;=(TODAY()+3))</formula>
    </cfRule>
    <cfRule type="expression" dxfId="7414" priority="9534" stopIfTrue="1">
      <formula>$B531="Tender Received"</formula>
    </cfRule>
  </conditionalFormatting>
  <conditionalFormatting sqref="M531:N531">
    <cfRule type="expression" dxfId="7413" priority="9531" stopIfTrue="1">
      <formula>AND($B531="Tender Received",$D531&lt;=(TODAY()+3))</formula>
    </cfRule>
    <cfRule type="expression" dxfId="7412" priority="9532" stopIfTrue="1">
      <formula>$B531="Tender Received"</formula>
    </cfRule>
  </conditionalFormatting>
  <conditionalFormatting sqref="C531">
    <cfRule type="expression" dxfId="7411" priority="9529" stopIfTrue="1">
      <formula>AND($B531="Tender Received",$D531&lt;=(TODAY()+3))</formula>
    </cfRule>
    <cfRule type="expression" dxfId="7410" priority="9530" stopIfTrue="1">
      <formula>$B531="Tender Received"</formula>
    </cfRule>
  </conditionalFormatting>
  <conditionalFormatting sqref="L531">
    <cfRule type="expression" dxfId="7409" priority="9527" stopIfTrue="1">
      <formula>AND($B531="Tender Received",$D531&lt;=(TODAY()+3))</formula>
    </cfRule>
    <cfRule type="expression" dxfId="7408" priority="9528" stopIfTrue="1">
      <formula>$B531="Tender Received"</formula>
    </cfRule>
  </conditionalFormatting>
  <conditionalFormatting sqref="J533:K533 O532:R534 D532:K532 B532:B534 D534:K534 D533:H533">
    <cfRule type="expression" dxfId="7407" priority="9517" stopIfTrue="1">
      <formula>AND($B532="Tender Received",$D532&lt;=(TODAY()+3))</formula>
    </cfRule>
    <cfRule type="expression" dxfId="7406" priority="9518" stopIfTrue="1">
      <formula>$B532="Tender Received"</formula>
    </cfRule>
  </conditionalFormatting>
  <conditionalFormatting sqref="I533">
    <cfRule type="expression" dxfId="7405" priority="9515" stopIfTrue="1">
      <formula>AND($B533="Tender Received",$D533&lt;=(TODAY()+3))</formula>
    </cfRule>
    <cfRule type="expression" dxfId="7404" priority="9516" stopIfTrue="1">
      <formula>$B533="Tender Received"</formula>
    </cfRule>
  </conditionalFormatting>
  <conditionalFormatting sqref="M532:N534">
    <cfRule type="expression" dxfId="7403" priority="9513" stopIfTrue="1">
      <formula>AND($B532="Tender Received",$D532&lt;=(TODAY()+3))</formula>
    </cfRule>
    <cfRule type="expression" dxfId="7402" priority="9514" stopIfTrue="1">
      <formula>$B532="Tender Received"</formula>
    </cfRule>
  </conditionalFormatting>
  <conditionalFormatting sqref="L533">
    <cfRule type="expression" dxfId="7401" priority="9511" stopIfTrue="1">
      <formula>AND($B533="Tender Received",$D533&lt;=(TODAY()+3))</formula>
    </cfRule>
    <cfRule type="expression" dxfId="7400" priority="9512" stopIfTrue="1">
      <formula>$B533="Tender Received"</formula>
    </cfRule>
  </conditionalFormatting>
  <conditionalFormatting sqref="L532">
    <cfRule type="expression" dxfId="7399" priority="9509" stopIfTrue="1">
      <formula>AND($B532="Tender Received",$D532&lt;=(TODAY()+3))</formula>
    </cfRule>
    <cfRule type="expression" dxfId="7398" priority="9510" stopIfTrue="1">
      <formula>$B532="Tender Received"</formula>
    </cfRule>
  </conditionalFormatting>
  <conditionalFormatting sqref="L534">
    <cfRule type="expression" dxfId="7397" priority="9507" stopIfTrue="1">
      <formula>AND($B534="Tender Received",$D534&lt;=(TODAY()+3))</formula>
    </cfRule>
    <cfRule type="expression" dxfId="7396" priority="9508" stopIfTrue="1">
      <formula>$B534="Tender Received"</formula>
    </cfRule>
  </conditionalFormatting>
  <conditionalFormatting sqref="C532:C534">
    <cfRule type="expression" dxfId="7395" priority="9505" stopIfTrue="1">
      <formula>AND($B532="Tender Received",$D532&lt;=(TODAY()+3))</formula>
    </cfRule>
    <cfRule type="expression" dxfId="7394" priority="9506" stopIfTrue="1">
      <formula>$B532="Tender Received"</formula>
    </cfRule>
  </conditionalFormatting>
  <conditionalFormatting sqref="O535:R535 B535 D535:K535">
    <cfRule type="expression" dxfId="7393" priority="9503" stopIfTrue="1">
      <formula>AND($B535="Tender Received",$D535&lt;=(TODAY()+3))</formula>
    </cfRule>
    <cfRule type="expression" dxfId="7392" priority="9504" stopIfTrue="1">
      <formula>$B535="Tender Received"</formula>
    </cfRule>
  </conditionalFormatting>
  <conditionalFormatting sqref="M535:N535">
    <cfRule type="expression" dxfId="7391" priority="9501" stopIfTrue="1">
      <formula>AND($B535="Tender Received",$D535&lt;=(TODAY()+3))</formula>
    </cfRule>
    <cfRule type="expression" dxfId="7390" priority="9502" stopIfTrue="1">
      <formula>$B535="Tender Received"</formula>
    </cfRule>
  </conditionalFormatting>
  <conditionalFormatting sqref="L535">
    <cfRule type="expression" dxfId="7389" priority="9499" stopIfTrue="1">
      <formula>AND($B535="Tender Received",$D535&lt;=(TODAY()+3))</formula>
    </cfRule>
    <cfRule type="expression" dxfId="7388" priority="9500" stopIfTrue="1">
      <formula>$B535="Tender Received"</formula>
    </cfRule>
  </conditionalFormatting>
  <conditionalFormatting sqref="C535">
    <cfRule type="expression" dxfId="7387" priority="9497" stopIfTrue="1">
      <formula>AND($B535="Tender Received",$D535&lt;=(TODAY()+3))</formula>
    </cfRule>
    <cfRule type="expression" dxfId="7386" priority="9498" stopIfTrue="1">
      <formula>$B535="Tender Received"</formula>
    </cfRule>
  </conditionalFormatting>
  <conditionalFormatting sqref="B536:K536 O536:R536">
    <cfRule type="expression" dxfId="7385" priority="9493" stopIfTrue="1">
      <formula>AND($B536="Tender Received",$D536&lt;=(TODAY()+3))</formula>
    </cfRule>
    <cfRule type="expression" dxfId="7384" priority="9494" stopIfTrue="1">
      <formula>$B536="Tender Received"</formula>
    </cfRule>
  </conditionalFormatting>
  <conditionalFormatting sqref="M536:N536">
    <cfRule type="expression" dxfId="7383" priority="9491" stopIfTrue="1">
      <formula>AND($B536="Tender Received",$D536&lt;=(TODAY()+3))</formula>
    </cfRule>
    <cfRule type="expression" dxfId="7382" priority="9492" stopIfTrue="1">
      <formula>$B536="Tender Received"</formula>
    </cfRule>
  </conditionalFormatting>
  <conditionalFormatting sqref="L536">
    <cfRule type="expression" dxfId="7381" priority="9489" stopIfTrue="1">
      <formula>AND($B536="Tender Received",$D536&lt;=(TODAY()+3))</formula>
    </cfRule>
    <cfRule type="expression" dxfId="7380" priority="9490" stopIfTrue="1">
      <formula>$B536="Tender Received"</formula>
    </cfRule>
  </conditionalFormatting>
  <conditionalFormatting sqref="J537:K537 O537:R537 B537:H537">
    <cfRule type="expression" dxfId="7379" priority="9487" stopIfTrue="1">
      <formula>AND($B537="Tender Received",$D537&lt;=(TODAY()+3))</formula>
    </cfRule>
    <cfRule type="expression" dxfId="7378" priority="9488" stopIfTrue="1">
      <formula>$B537="Tender Received"</formula>
    </cfRule>
  </conditionalFormatting>
  <conditionalFormatting sqref="M537:N537">
    <cfRule type="expression" dxfId="7377" priority="9485" stopIfTrue="1">
      <formula>AND($B537="Tender Received",$D537&lt;=(TODAY()+3))</formula>
    </cfRule>
    <cfRule type="expression" dxfId="7376" priority="9486" stopIfTrue="1">
      <formula>$B537="Tender Received"</formula>
    </cfRule>
  </conditionalFormatting>
  <conditionalFormatting sqref="I537">
    <cfRule type="expression" dxfId="7375" priority="9483" stopIfTrue="1">
      <formula>AND($B537="Tender Received",$D537&lt;=(TODAY()+3))</formula>
    </cfRule>
    <cfRule type="expression" dxfId="7374" priority="9484" stopIfTrue="1">
      <formula>$B537="Tender Received"</formula>
    </cfRule>
  </conditionalFormatting>
  <conditionalFormatting sqref="L537">
    <cfRule type="expression" dxfId="7373" priority="9481" stopIfTrue="1">
      <formula>AND($B537="Tender Received",$D537&lt;=(TODAY()+3))</formula>
    </cfRule>
    <cfRule type="expression" dxfId="7372" priority="9482" stopIfTrue="1">
      <formula>$B537="Tender Received"</formula>
    </cfRule>
  </conditionalFormatting>
  <conditionalFormatting sqref="B539:K539 J538:K538 O538:R539 B538:H538">
    <cfRule type="expression" dxfId="7371" priority="9473" stopIfTrue="1">
      <formula>AND($B538="Tender Received",$D538&lt;=(TODAY()+3))</formula>
    </cfRule>
    <cfRule type="expression" dxfId="7370" priority="9474" stopIfTrue="1">
      <formula>$B538="Tender Received"</formula>
    </cfRule>
  </conditionalFormatting>
  <conditionalFormatting sqref="M538:N539">
    <cfRule type="expression" dxfId="7369" priority="9471" stopIfTrue="1">
      <formula>AND($B538="Tender Received",$D538&lt;=(TODAY()+3))</formula>
    </cfRule>
    <cfRule type="expression" dxfId="7368" priority="9472" stopIfTrue="1">
      <formula>$B538="Tender Received"</formula>
    </cfRule>
  </conditionalFormatting>
  <conditionalFormatting sqref="I538">
    <cfRule type="expression" dxfId="7367" priority="9469" stopIfTrue="1">
      <formula>AND($B538="Tender Received",$D538&lt;=(TODAY()+3))</formula>
    </cfRule>
    <cfRule type="expression" dxfId="7366" priority="9470" stopIfTrue="1">
      <formula>$B538="Tender Received"</formula>
    </cfRule>
  </conditionalFormatting>
  <conditionalFormatting sqref="L538">
    <cfRule type="expression" dxfId="7365" priority="9467" stopIfTrue="1">
      <formula>AND($B538="Tender Received",$D538&lt;=(TODAY()+3))</formula>
    </cfRule>
    <cfRule type="expression" dxfId="7364" priority="9468" stopIfTrue="1">
      <formula>$B538="Tender Received"</formula>
    </cfRule>
  </conditionalFormatting>
  <conditionalFormatting sqref="L539">
    <cfRule type="expression" dxfId="7363" priority="9465" stopIfTrue="1">
      <formula>AND($B539="Tender Received",$D539&lt;=(TODAY()+3))</formula>
    </cfRule>
    <cfRule type="expression" dxfId="7362" priority="9466" stopIfTrue="1">
      <formula>$B539="Tender Received"</formula>
    </cfRule>
  </conditionalFormatting>
  <conditionalFormatting sqref="J542:K542 D543:K543 D542:H542 J539:K539 O537:R543 D537:K538 B537:B542 D540:K541 D539:H539">
    <cfRule type="expression" dxfId="7361" priority="9463" stopIfTrue="1">
      <formula>AND($B537="Tender Received",$D537&lt;=(TODAY()+3))</formula>
    </cfRule>
    <cfRule type="expression" dxfId="7360" priority="9464" stopIfTrue="1">
      <formula>$B537="Tender Received"</formula>
    </cfRule>
  </conditionalFormatting>
  <conditionalFormatting sqref="I542">
    <cfRule type="expression" dxfId="7359" priority="9461" stopIfTrue="1">
      <formula>AND($B542="Tender Received",$D542&lt;=(TODAY()+3))</formula>
    </cfRule>
    <cfRule type="expression" dxfId="7358" priority="9462" stopIfTrue="1">
      <formula>$B542="Tender Received"</formula>
    </cfRule>
  </conditionalFormatting>
  <conditionalFormatting sqref="M537:N543">
    <cfRule type="expression" dxfId="7357" priority="9459" stopIfTrue="1">
      <formula>AND($B537="Tender Received",$D537&lt;=(TODAY()+3))</formula>
    </cfRule>
    <cfRule type="expression" dxfId="7356" priority="9460" stopIfTrue="1">
      <formula>$B537="Tender Received"</formula>
    </cfRule>
  </conditionalFormatting>
  <conditionalFormatting sqref="L540 L542">
    <cfRule type="expression" dxfId="7355" priority="9457" stopIfTrue="1">
      <formula>AND($B540="Tender Received",$D540&lt;=(TODAY()+3))</formula>
    </cfRule>
    <cfRule type="expression" dxfId="7354" priority="9458" stopIfTrue="1">
      <formula>$B540="Tender Received"</formula>
    </cfRule>
  </conditionalFormatting>
  <conditionalFormatting sqref="L541">
    <cfRule type="expression" dxfId="7353" priority="9455" stopIfTrue="1">
      <formula>AND($B541="Tender Received",$D541&lt;=(TODAY()+3))</formula>
    </cfRule>
    <cfRule type="expression" dxfId="7352" priority="9456" stopIfTrue="1">
      <formula>$B541="Tender Received"</formula>
    </cfRule>
  </conditionalFormatting>
  <conditionalFormatting sqref="L543">
    <cfRule type="expression" dxfId="7351" priority="9453" stopIfTrue="1">
      <formula>AND($B543="Tender Received",$D543&lt;=(TODAY()+3))</formula>
    </cfRule>
    <cfRule type="expression" dxfId="7350" priority="9454" stopIfTrue="1">
      <formula>$B543="Tender Received"</formula>
    </cfRule>
  </conditionalFormatting>
  <conditionalFormatting sqref="C537:C543">
    <cfRule type="expression" dxfId="7349" priority="9451" stopIfTrue="1">
      <formula>AND($B537="Tender Received",$D537&lt;=(TODAY()+3))</formula>
    </cfRule>
    <cfRule type="expression" dxfId="7348" priority="9452" stopIfTrue="1">
      <formula>$B537="Tender Received"</formula>
    </cfRule>
  </conditionalFormatting>
  <conditionalFormatting sqref="B543">
    <cfRule type="expression" dxfId="7347" priority="9449" stopIfTrue="1">
      <formula>AND($B543="Tender Received",$D543&lt;=(TODAY()+3))</formula>
    </cfRule>
    <cfRule type="expression" dxfId="7346" priority="9450" stopIfTrue="1">
      <formula>$B543="Tender Received"</formula>
    </cfRule>
  </conditionalFormatting>
  <conditionalFormatting sqref="H97">
    <cfRule type="expression" dxfId="7345" priority="9447" stopIfTrue="1">
      <formula>AND($B97="Tender Received",$D97&lt;=(TODAY()+3))</formula>
    </cfRule>
    <cfRule type="expression" dxfId="7344" priority="9448" stopIfTrue="1">
      <formula>$B97="Tender Received"</formula>
    </cfRule>
  </conditionalFormatting>
  <conditionalFormatting sqref="J546:K546 D547:K547 D546:H546 J543:K543 O541:R547 D541:K542 D544:K545 D543:H543">
    <cfRule type="expression" dxfId="7343" priority="9431" stopIfTrue="1">
      <formula>AND($B541="Tender Received",$D541&lt;=(TODAY()+3))</formula>
    </cfRule>
    <cfRule type="expression" dxfId="7342" priority="9432" stopIfTrue="1">
      <formula>$B541="Tender Received"</formula>
    </cfRule>
  </conditionalFormatting>
  <conditionalFormatting sqref="I546">
    <cfRule type="expression" dxfId="7341" priority="9429" stopIfTrue="1">
      <formula>AND($B546="Tender Received",$D546&lt;=(TODAY()+3))</formula>
    </cfRule>
    <cfRule type="expression" dxfId="7340" priority="9430" stopIfTrue="1">
      <formula>$B546="Tender Received"</formula>
    </cfRule>
  </conditionalFormatting>
  <conditionalFormatting sqref="M541:N547">
    <cfRule type="expression" dxfId="7339" priority="9427" stopIfTrue="1">
      <formula>AND($B541="Tender Received",$D541&lt;=(TODAY()+3))</formula>
    </cfRule>
    <cfRule type="expression" dxfId="7338" priority="9428" stopIfTrue="1">
      <formula>$B541="Tender Received"</formula>
    </cfRule>
  </conditionalFormatting>
  <conditionalFormatting sqref="L544 L546">
    <cfRule type="expression" dxfId="7337" priority="9425" stopIfTrue="1">
      <formula>AND($B544="Tender Received",$D544&lt;=(TODAY()+3))</formula>
    </cfRule>
    <cfRule type="expression" dxfId="7336" priority="9426" stopIfTrue="1">
      <formula>$B544="Tender Received"</formula>
    </cfRule>
  </conditionalFormatting>
  <conditionalFormatting sqref="L545">
    <cfRule type="expression" dxfId="7335" priority="9423" stopIfTrue="1">
      <formula>AND($B545="Tender Received",$D545&lt;=(TODAY()+3))</formula>
    </cfRule>
    <cfRule type="expression" dxfId="7334" priority="9424" stopIfTrue="1">
      <formula>$B545="Tender Received"</formula>
    </cfRule>
  </conditionalFormatting>
  <conditionalFormatting sqref="L547">
    <cfRule type="expression" dxfId="7333" priority="9421" stopIfTrue="1">
      <formula>AND($B547="Tender Received",$D547&lt;=(TODAY()+3))</formula>
    </cfRule>
    <cfRule type="expression" dxfId="7332" priority="9422" stopIfTrue="1">
      <formula>$B547="Tender Received"</formula>
    </cfRule>
  </conditionalFormatting>
  <conditionalFormatting sqref="C541:C547">
    <cfRule type="expression" dxfId="7331" priority="9419" stopIfTrue="1">
      <formula>AND($B541="Tender Received",$D541&lt;=(TODAY()+3))</formula>
    </cfRule>
    <cfRule type="expression" dxfId="7330" priority="9420" stopIfTrue="1">
      <formula>$B541="Tender Received"</formula>
    </cfRule>
  </conditionalFormatting>
  <conditionalFormatting sqref="O548:R548 D548:K548">
    <cfRule type="expression" dxfId="7329" priority="9417" stopIfTrue="1">
      <formula>AND($B548="Tender Received",$D548&lt;=(TODAY()+3))</formula>
    </cfRule>
    <cfRule type="expression" dxfId="7328" priority="9418" stopIfTrue="1">
      <formula>$B548="Tender Received"</formula>
    </cfRule>
  </conditionalFormatting>
  <conditionalFormatting sqref="M548:N548">
    <cfRule type="expression" dxfId="7327" priority="9415" stopIfTrue="1">
      <formula>AND($B548="Tender Received",$D548&lt;=(TODAY()+3))</formula>
    </cfRule>
    <cfRule type="expression" dxfId="7326" priority="9416" stopIfTrue="1">
      <formula>$B548="Tender Received"</formula>
    </cfRule>
  </conditionalFormatting>
  <conditionalFormatting sqref="L548">
    <cfRule type="expression" dxfId="7325" priority="9413" stopIfTrue="1">
      <formula>AND($B548="Tender Received",$D548&lt;=(TODAY()+3))</formula>
    </cfRule>
    <cfRule type="expression" dxfId="7324" priority="9414" stopIfTrue="1">
      <formula>$B548="Tender Received"</formula>
    </cfRule>
  </conditionalFormatting>
  <conditionalFormatting sqref="C548">
    <cfRule type="expression" dxfId="7323" priority="9411" stopIfTrue="1">
      <formula>AND($B548="Tender Received",$D548&lt;=(TODAY()+3))</formula>
    </cfRule>
    <cfRule type="expression" dxfId="7322" priority="9412" stopIfTrue="1">
      <formula>$B548="Tender Received"</formula>
    </cfRule>
  </conditionalFormatting>
  <conditionalFormatting sqref="B541:B548">
    <cfRule type="expression" dxfId="7321" priority="9409" stopIfTrue="1">
      <formula>AND($B541="Tender Received",$D541&lt;=(TODAY()+3))</formula>
    </cfRule>
    <cfRule type="expression" dxfId="7320" priority="9410" stopIfTrue="1">
      <formula>$B541="Tender Received"</formula>
    </cfRule>
  </conditionalFormatting>
  <conditionalFormatting sqref="O549:R549 D549:K549 B549">
    <cfRule type="expression" dxfId="7319" priority="9395" stopIfTrue="1">
      <formula>AND($B549="Tender Received",$D549&lt;=(TODAY()+3))</formula>
    </cfRule>
    <cfRule type="expression" dxfId="7318" priority="9396" stopIfTrue="1">
      <formula>$B549="Tender Received"</formula>
    </cfRule>
  </conditionalFormatting>
  <conditionalFormatting sqref="M549:N549">
    <cfRule type="expression" dxfId="7317" priority="9393" stopIfTrue="1">
      <formula>AND($B549="Tender Received",$D549&lt;=(TODAY()+3))</formula>
    </cfRule>
    <cfRule type="expression" dxfId="7316" priority="9394" stopIfTrue="1">
      <formula>$B549="Tender Received"</formula>
    </cfRule>
  </conditionalFormatting>
  <conditionalFormatting sqref="L549">
    <cfRule type="expression" dxfId="7315" priority="9391" stopIfTrue="1">
      <formula>AND($B549="Tender Received",$D549&lt;=(TODAY()+3))</formula>
    </cfRule>
    <cfRule type="expression" dxfId="7314" priority="9392" stopIfTrue="1">
      <formula>$B549="Tender Received"</formula>
    </cfRule>
  </conditionalFormatting>
  <conditionalFormatting sqref="C549">
    <cfRule type="expression" dxfId="7313" priority="9389" stopIfTrue="1">
      <formula>AND($B549="Tender Received",$D549&lt;=(TODAY()+3))</formula>
    </cfRule>
    <cfRule type="expression" dxfId="7312" priority="9390" stopIfTrue="1">
      <formula>$B549="Tender Received"</formula>
    </cfRule>
  </conditionalFormatting>
  <conditionalFormatting sqref="B550:K550 O550:R550">
    <cfRule type="expression" dxfId="7311" priority="9385" stopIfTrue="1">
      <formula>AND($B550="Tender Received",$D550&lt;=(TODAY()+3))</formula>
    </cfRule>
    <cfRule type="expression" dxfId="7310" priority="9386" stopIfTrue="1">
      <formula>$B550="Tender Received"</formula>
    </cfRule>
  </conditionalFormatting>
  <conditionalFormatting sqref="M550:N550">
    <cfRule type="expression" dxfId="7309" priority="9383" stopIfTrue="1">
      <formula>AND($B550="Tender Received",$D550&lt;=(TODAY()+3))</formula>
    </cfRule>
    <cfRule type="expression" dxfId="7308" priority="9384" stopIfTrue="1">
      <formula>$B550="Tender Received"</formula>
    </cfRule>
  </conditionalFormatting>
  <conditionalFormatting sqref="L550">
    <cfRule type="expression" dxfId="7307" priority="9381" stopIfTrue="1">
      <formula>AND($B550="Tender Received",$D550&lt;=(TODAY()+3))</formula>
    </cfRule>
    <cfRule type="expression" dxfId="7306" priority="9382" stopIfTrue="1">
      <formula>$B550="Tender Received"</formula>
    </cfRule>
  </conditionalFormatting>
  <conditionalFormatting sqref="O551:R552 D552:K552 D551:H551 J551:K551 B551:B552">
    <cfRule type="expression" dxfId="7305" priority="9375" stopIfTrue="1">
      <formula>AND($B551="Tender Received",$D551&lt;=(TODAY()+3))</formula>
    </cfRule>
    <cfRule type="expression" dxfId="7304" priority="9376" stopIfTrue="1">
      <formula>$B551="Tender Received"</formula>
    </cfRule>
  </conditionalFormatting>
  <conditionalFormatting sqref="M551:N552">
    <cfRule type="expression" dxfId="7303" priority="9373" stopIfTrue="1">
      <formula>AND($B551="Tender Received",$D551&lt;=(TODAY()+3))</formula>
    </cfRule>
    <cfRule type="expression" dxfId="7302" priority="9374" stopIfTrue="1">
      <formula>$B551="Tender Received"</formula>
    </cfRule>
  </conditionalFormatting>
  <conditionalFormatting sqref="L552">
    <cfRule type="expression" dxfId="7301" priority="9371" stopIfTrue="1">
      <formula>AND($B552="Tender Received",$D552&lt;=(TODAY()+3))</formula>
    </cfRule>
    <cfRule type="expression" dxfId="7300" priority="9372" stopIfTrue="1">
      <formula>$B552="Tender Received"</formula>
    </cfRule>
  </conditionalFormatting>
  <conditionalFormatting sqref="L551">
    <cfRule type="expression" dxfId="7299" priority="9369" stopIfTrue="1">
      <formula>AND($B551="Tender Received",$D551&lt;=(TODAY()+3))</formula>
    </cfRule>
    <cfRule type="expression" dxfId="7298" priority="9370" stopIfTrue="1">
      <formula>$B551="Tender Received"</formula>
    </cfRule>
  </conditionalFormatting>
  <conditionalFormatting sqref="C551:C552">
    <cfRule type="expression" dxfId="7297" priority="9367" stopIfTrue="1">
      <formula>AND($B551="Tender Received",$D551&lt;=(TODAY()+3))</formula>
    </cfRule>
    <cfRule type="expression" dxfId="7296" priority="9368" stopIfTrue="1">
      <formula>$B551="Tender Received"</formula>
    </cfRule>
  </conditionalFormatting>
  <conditionalFormatting sqref="I551">
    <cfRule type="expression" dxfId="7295" priority="9365" stopIfTrue="1">
      <formula>AND($B551="Tender Received",$D551&lt;=(TODAY()+3))</formula>
    </cfRule>
    <cfRule type="expression" dxfId="7294" priority="9366" stopIfTrue="1">
      <formula>$B551="Tender Received"</formula>
    </cfRule>
  </conditionalFormatting>
  <conditionalFormatting sqref="O553:R553 D553:H553 J553:K553 B553">
    <cfRule type="expression" dxfId="7293" priority="9355" stopIfTrue="1">
      <formula>AND($B553="Tender Received",$D553&lt;=(TODAY()+3))</formula>
    </cfRule>
    <cfRule type="expression" dxfId="7292" priority="9356" stopIfTrue="1">
      <formula>$B553="Tender Received"</formula>
    </cfRule>
  </conditionalFormatting>
  <conditionalFormatting sqref="I553">
    <cfRule type="expression" dxfId="7291" priority="9353" stopIfTrue="1">
      <formula>AND($B553="Tender Received",$D553&lt;=(TODAY()+3))</formula>
    </cfRule>
    <cfRule type="expression" dxfId="7290" priority="9354" stopIfTrue="1">
      <formula>$B553="Tender Received"</formula>
    </cfRule>
  </conditionalFormatting>
  <conditionalFormatting sqref="M553:N553">
    <cfRule type="expression" dxfId="7289" priority="9351" stopIfTrue="1">
      <formula>AND($B553="Tender Received",$D553&lt;=(TODAY()+3))</formula>
    </cfRule>
    <cfRule type="expression" dxfId="7288" priority="9352" stopIfTrue="1">
      <formula>$B553="Tender Received"</formula>
    </cfRule>
  </conditionalFormatting>
  <conditionalFormatting sqref="C553">
    <cfRule type="expression" dxfId="7287" priority="9349" stopIfTrue="1">
      <formula>AND($B553="Tender Received",$D553&lt;=(TODAY()+3))</formula>
    </cfRule>
    <cfRule type="expression" dxfId="7286" priority="9350" stopIfTrue="1">
      <formula>$B553="Tender Received"</formula>
    </cfRule>
  </conditionalFormatting>
  <conditionalFormatting sqref="L553">
    <cfRule type="expression" dxfId="7285" priority="9347" stopIfTrue="1">
      <formula>AND($B553="Tender Received",$D553&lt;=(TODAY()+3))</formula>
    </cfRule>
    <cfRule type="expression" dxfId="7284" priority="9348" stopIfTrue="1">
      <formula>$B553="Tender Received"</formula>
    </cfRule>
  </conditionalFormatting>
  <conditionalFormatting sqref="J564:K564 D565:K565 D564:H564 J560:K561 J552:K552 O551:R565 D559:K560 D562:K563 D560:H561 B551:H552 B553:K559 K551 B557:B565">
    <cfRule type="expression" dxfId="7283" priority="9343" stopIfTrue="1">
      <formula>AND($B551="Tender Received",$D551&lt;=(TODAY()+3))</formula>
    </cfRule>
    <cfRule type="expression" dxfId="7282" priority="9344" stopIfTrue="1">
      <formula>$B551="Tender Received"</formula>
    </cfRule>
  </conditionalFormatting>
  <conditionalFormatting sqref="I560">
    <cfRule type="expression" dxfId="7281" priority="9341" stopIfTrue="1">
      <formula>AND($B560="Tender Received",$D560&lt;=(TODAY()+3))</formula>
    </cfRule>
    <cfRule type="expression" dxfId="7280" priority="9342" stopIfTrue="1">
      <formula>$B560="Tender Received"</formula>
    </cfRule>
  </conditionalFormatting>
  <conditionalFormatting sqref="I564">
    <cfRule type="expression" dxfId="7279" priority="9339" stopIfTrue="1">
      <formula>AND($B564="Tender Received",$D564&lt;=(TODAY()+3))</formula>
    </cfRule>
    <cfRule type="expression" dxfId="7278" priority="9340" stopIfTrue="1">
      <formula>$B564="Tender Received"</formula>
    </cfRule>
  </conditionalFormatting>
  <conditionalFormatting sqref="I554">
    <cfRule type="expression" dxfId="7277" priority="9337" stopIfTrue="1">
      <formula>AND($B554="Tender Received",$D554&lt;=(TODAY()+3))</formula>
    </cfRule>
    <cfRule type="expression" dxfId="7276" priority="9338" stopIfTrue="1">
      <formula>$B554="Tender Received"</formula>
    </cfRule>
  </conditionalFormatting>
  <conditionalFormatting sqref="M551:N565">
    <cfRule type="expression" dxfId="7275" priority="9335" stopIfTrue="1">
      <formula>AND($B551="Tender Received",$D551&lt;=(TODAY()+3))</formula>
    </cfRule>
    <cfRule type="expression" dxfId="7274" priority="9336" stopIfTrue="1">
      <formula>$B551="Tender Received"</formula>
    </cfRule>
  </conditionalFormatting>
  <conditionalFormatting sqref="I555">
    <cfRule type="expression" dxfId="7273" priority="9333" stopIfTrue="1">
      <formula>AND($B555="Tender Received",$D555&lt;=(TODAY()+3))</formula>
    </cfRule>
    <cfRule type="expression" dxfId="7272" priority="9334" stopIfTrue="1">
      <formula>$B555="Tender Received"</formula>
    </cfRule>
  </conditionalFormatting>
  <conditionalFormatting sqref="L562">
    <cfRule type="expression" dxfId="7271" priority="9331" stopIfTrue="1">
      <formula>AND($B562="Tender Received",$D562&lt;=(TODAY()+3))</formula>
    </cfRule>
    <cfRule type="expression" dxfId="7270" priority="9332" stopIfTrue="1">
      <formula>$B562="Tender Received"</formula>
    </cfRule>
  </conditionalFormatting>
  <conditionalFormatting sqref="L555">
    <cfRule type="expression" dxfId="7269" priority="9329" stopIfTrue="1">
      <formula>AND($B555="Tender Received",$D555&lt;=(TODAY()+3))</formula>
    </cfRule>
    <cfRule type="expression" dxfId="7268" priority="9330" stopIfTrue="1">
      <formula>$B555="Tender Received"</formula>
    </cfRule>
  </conditionalFormatting>
  <conditionalFormatting sqref="L557">
    <cfRule type="expression" dxfId="7267" priority="9327" stopIfTrue="1">
      <formula>AND($B557="Tender Received",$D557&lt;=(TODAY()+3))</formula>
    </cfRule>
    <cfRule type="expression" dxfId="7266" priority="9328" stopIfTrue="1">
      <formula>$B557="Tender Received"</formula>
    </cfRule>
  </conditionalFormatting>
  <conditionalFormatting sqref="L565">
    <cfRule type="expression" dxfId="7265" priority="9325" stopIfTrue="1">
      <formula>AND($B565="Tender Received",$D565&lt;=(TODAY()+3))</formula>
    </cfRule>
    <cfRule type="expression" dxfId="7264" priority="9326" stopIfTrue="1">
      <formula>$B565="Tender Received"</formula>
    </cfRule>
  </conditionalFormatting>
  <conditionalFormatting sqref="C557:C565">
    <cfRule type="expression" dxfId="7263" priority="9323" stopIfTrue="1">
      <formula>AND($B557="Tender Received",$D557&lt;=(TODAY()+3))</formula>
    </cfRule>
    <cfRule type="expression" dxfId="7262" priority="9324" stopIfTrue="1">
      <formula>$B557="Tender Received"</formula>
    </cfRule>
  </conditionalFormatting>
  <conditionalFormatting sqref="I561">
    <cfRule type="expression" dxfId="7261" priority="9321" stopIfTrue="1">
      <formula>AND($B561="Tender Received",$D561&lt;=(TODAY()+3))</formula>
    </cfRule>
    <cfRule type="expression" dxfId="7260" priority="9322" stopIfTrue="1">
      <formula>$B561="Tender Received"</formula>
    </cfRule>
  </conditionalFormatting>
  <conditionalFormatting sqref="O566:R566 B566 D566:K566">
    <cfRule type="expression" dxfId="7259" priority="9319" stopIfTrue="1">
      <formula>AND($B566="Tender Received",$D566&lt;=(TODAY()+3))</formula>
    </cfRule>
    <cfRule type="expression" dxfId="7258" priority="9320" stopIfTrue="1">
      <formula>$B566="Tender Received"</formula>
    </cfRule>
  </conditionalFormatting>
  <conditionalFormatting sqref="M566:N566">
    <cfRule type="expression" dxfId="7257" priority="9317" stopIfTrue="1">
      <formula>AND($B566="Tender Received",$D566&lt;=(TODAY()+3))</formula>
    </cfRule>
    <cfRule type="expression" dxfId="7256" priority="9318" stopIfTrue="1">
      <formula>$B566="Tender Received"</formula>
    </cfRule>
  </conditionalFormatting>
  <conditionalFormatting sqref="L566">
    <cfRule type="expression" dxfId="7255" priority="9315" stopIfTrue="1">
      <formula>AND($B566="Tender Received",$D566&lt;=(TODAY()+3))</formula>
    </cfRule>
    <cfRule type="expression" dxfId="7254" priority="9316" stopIfTrue="1">
      <formula>$B566="Tender Received"</formula>
    </cfRule>
  </conditionalFormatting>
  <conditionalFormatting sqref="C566">
    <cfRule type="expression" dxfId="7253" priority="9313" stopIfTrue="1">
      <formula>AND($B566="Tender Received",$D566&lt;=(TODAY()+3))</formula>
    </cfRule>
    <cfRule type="expression" dxfId="7252" priority="9314" stopIfTrue="1">
      <formula>$B566="Tender Received"</formula>
    </cfRule>
  </conditionalFormatting>
  <conditionalFormatting sqref="J554">
    <cfRule type="expression" dxfId="7251" priority="9311" stopIfTrue="1">
      <formula>AND($B554="Tender Received",$D554&lt;=(TODAY()+3))</formula>
    </cfRule>
    <cfRule type="expression" dxfId="7250" priority="9312" stopIfTrue="1">
      <formula>$B554="Tender Received"</formula>
    </cfRule>
  </conditionalFormatting>
  <conditionalFormatting sqref="L554">
    <cfRule type="expression" dxfId="7249" priority="9309" stopIfTrue="1">
      <formula>AND($B554="Tender Received",$D554&lt;=(TODAY()+3))</formula>
    </cfRule>
    <cfRule type="expression" dxfId="7248" priority="9310" stopIfTrue="1">
      <formula>$B554="Tender Received"</formula>
    </cfRule>
  </conditionalFormatting>
  <conditionalFormatting sqref="L558">
    <cfRule type="expression" dxfId="7247" priority="9307" stopIfTrue="1">
      <formula>AND($B558="Tender Received",$D558&lt;=(TODAY()+3))</formula>
    </cfRule>
    <cfRule type="expression" dxfId="7246" priority="9308" stopIfTrue="1">
      <formula>$B558="Tender Received"</formula>
    </cfRule>
  </conditionalFormatting>
  <conditionalFormatting sqref="L561">
    <cfRule type="expression" dxfId="7245" priority="9305" stopIfTrue="1">
      <formula>AND($B561="Tender Received",$D561&lt;=(TODAY()+3))</formula>
    </cfRule>
    <cfRule type="expression" dxfId="7244" priority="9306" stopIfTrue="1">
      <formula>$B561="Tender Received"</formula>
    </cfRule>
  </conditionalFormatting>
  <conditionalFormatting sqref="L560">
    <cfRule type="expression" dxfId="7243" priority="9303" stopIfTrue="1">
      <formula>AND($B560="Tender Received",$D560&lt;=(TODAY()+3))</formula>
    </cfRule>
    <cfRule type="expression" dxfId="7242" priority="9304" stopIfTrue="1">
      <formula>$B560="Tender Received"</formula>
    </cfRule>
  </conditionalFormatting>
  <conditionalFormatting sqref="L564">
    <cfRule type="expression" dxfId="7241" priority="9301" stopIfTrue="1">
      <formula>AND($B564="Tender Received",$D564&lt;=(TODAY()+3))</formula>
    </cfRule>
    <cfRule type="expression" dxfId="7240" priority="9302" stopIfTrue="1">
      <formula>$B564="Tender Received"</formula>
    </cfRule>
  </conditionalFormatting>
  <conditionalFormatting sqref="L556">
    <cfRule type="expression" dxfId="7239" priority="9299" stopIfTrue="1">
      <formula>AND($B556="Tender Received",$D556&lt;=(TODAY()+3))</formula>
    </cfRule>
    <cfRule type="expression" dxfId="7238" priority="9300" stopIfTrue="1">
      <formula>$B556="Tender Received"</formula>
    </cfRule>
  </conditionalFormatting>
  <conditionalFormatting sqref="L559">
    <cfRule type="expression" dxfId="7237" priority="9297" stopIfTrue="1">
      <formula>AND($B559="Tender Received",$D559&lt;=(TODAY()+3))</formula>
    </cfRule>
    <cfRule type="expression" dxfId="7236" priority="9298" stopIfTrue="1">
      <formula>$B559="Tender Received"</formula>
    </cfRule>
  </conditionalFormatting>
  <conditionalFormatting sqref="L563">
    <cfRule type="expression" dxfId="7235" priority="9295" stopIfTrue="1">
      <formula>AND($B563="Tender Received",$D563&lt;=(TODAY()+3))</formula>
    </cfRule>
    <cfRule type="expression" dxfId="7234" priority="9296" stopIfTrue="1">
      <formula>$B563="Tender Received"</formula>
    </cfRule>
  </conditionalFormatting>
  <conditionalFormatting sqref="C567:R568">
    <cfRule type="expression" dxfId="7233" priority="9285" stopIfTrue="1">
      <formula>AND($B567="Tender Received",$D567&lt;=(TODAY()+3))</formula>
    </cfRule>
    <cfRule type="expression" dxfId="7232" priority="9286" stopIfTrue="1">
      <formula>$B567="Tender Received"</formula>
    </cfRule>
  </conditionalFormatting>
  <conditionalFormatting sqref="B567:B568">
    <cfRule type="expression" dxfId="7231" priority="9283" stopIfTrue="1">
      <formula>AND($B567="Tender Received",$D567&lt;=(TODAY()+3))</formula>
    </cfRule>
    <cfRule type="expression" dxfId="7230" priority="9284" stopIfTrue="1">
      <formula>$B567="Tender Received"</formula>
    </cfRule>
  </conditionalFormatting>
  <conditionalFormatting sqref="B569:R570">
    <cfRule type="expression" dxfId="7229" priority="9275" stopIfTrue="1">
      <formula>AND($B569="Tender Received",$D569&lt;=(TODAY()+3))</formula>
    </cfRule>
    <cfRule type="expression" dxfId="7228" priority="9276" stopIfTrue="1">
      <formula>$B569="Tender Received"</formula>
    </cfRule>
  </conditionalFormatting>
  <conditionalFormatting sqref="N569:N570">
    <cfRule type="expression" dxfId="7227" priority="9273" stopIfTrue="1">
      <formula>AND($B569="Tender Received",$D569&lt;=(TODAY()+3))</formula>
    </cfRule>
    <cfRule type="expression" dxfId="7226" priority="9274" stopIfTrue="1">
      <formula>$B569="Tender Received"</formula>
    </cfRule>
  </conditionalFormatting>
  <conditionalFormatting sqref="P569:P570">
    <cfRule type="expression" dxfId="7225" priority="9271" stopIfTrue="1">
      <formula>AND($B569="Tender Received",$D569&lt;=(TODAY()+3))</formula>
    </cfRule>
    <cfRule type="expression" dxfId="7224" priority="9272" stopIfTrue="1">
      <formula>$B569="Tender Received"</formula>
    </cfRule>
  </conditionalFormatting>
  <conditionalFormatting sqref="B571:K571 O571:R571">
    <cfRule type="expression" dxfId="7223" priority="9263" stopIfTrue="1">
      <formula>AND($B571="Tender Received",$D571&lt;=(TODAY()+3))</formula>
    </cfRule>
    <cfRule type="expression" dxfId="7222" priority="9264" stopIfTrue="1">
      <formula>$B571="Tender Received"</formula>
    </cfRule>
  </conditionalFormatting>
  <conditionalFormatting sqref="M571:N571">
    <cfRule type="expression" dxfId="7221" priority="9261" stopIfTrue="1">
      <formula>AND($B571="Tender Received",$D571&lt;=(TODAY()+3))</formula>
    </cfRule>
    <cfRule type="expression" dxfId="7220" priority="9262" stopIfTrue="1">
      <formula>$B571="Tender Received"</formula>
    </cfRule>
  </conditionalFormatting>
  <conditionalFormatting sqref="L571">
    <cfRule type="expression" dxfId="7219" priority="9259" stopIfTrue="1">
      <formula>AND($B571="Tender Received",$D571&lt;=(TODAY()+3))</formula>
    </cfRule>
    <cfRule type="expression" dxfId="7218" priority="9260" stopIfTrue="1">
      <formula>$B571="Tender Received"</formula>
    </cfRule>
  </conditionalFormatting>
  <conditionalFormatting sqref="Q579:R579 B572:R572 B569:R569 B570:B579 D570:R576">
    <cfRule type="expression" dxfId="7217" priority="9255" stopIfTrue="1">
      <formula>AND($B569="Tender Received",$D569&lt;=(TODAY()+3))</formula>
    </cfRule>
    <cfRule type="expression" dxfId="7216" priority="9256" stopIfTrue="1">
      <formula>$B569="Tender Received"</formula>
    </cfRule>
  </conditionalFormatting>
  <conditionalFormatting sqref="D577:R577">
    <cfRule type="expression" dxfId="7215" priority="9253" stopIfTrue="1">
      <formula>AND($B577="Tender Received",$D577&lt;=(TODAY()+3))</formula>
    </cfRule>
    <cfRule type="expression" dxfId="7214" priority="9254" stopIfTrue="1">
      <formula>$B577="Tender Received"</formula>
    </cfRule>
  </conditionalFormatting>
  <conditionalFormatting sqref="D578:R578">
    <cfRule type="expression" dxfId="7213" priority="9251" stopIfTrue="1">
      <formula>AND($B578="Tender Received",$D578&lt;=(TODAY()+3))</formula>
    </cfRule>
    <cfRule type="expression" dxfId="7212" priority="9252" stopIfTrue="1">
      <formula>$B578="Tender Received"</formula>
    </cfRule>
  </conditionalFormatting>
  <conditionalFormatting sqref="D579:P579">
    <cfRule type="expression" dxfId="7211" priority="9249" stopIfTrue="1">
      <formula>AND($B579="Tender Received",$D579&lt;=(TODAY()+3))</formula>
    </cfRule>
    <cfRule type="expression" dxfId="7210" priority="9250" stopIfTrue="1">
      <formula>$B579="Tender Received"</formula>
    </cfRule>
  </conditionalFormatting>
  <conditionalFormatting sqref="C570:C577">
    <cfRule type="expression" dxfId="7209" priority="9247" stopIfTrue="1">
      <formula>AND($B570="Tender Received",$D570&lt;=(TODAY()+3))</formula>
    </cfRule>
    <cfRule type="expression" dxfId="7208" priority="9248" stopIfTrue="1">
      <formula>$B570="Tender Received"</formula>
    </cfRule>
  </conditionalFormatting>
  <conditionalFormatting sqref="C578">
    <cfRule type="expression" dxfId="7207" priority="9245" stopIfTrue="1">
      <formula>AND($B578="Tender Received",$D578&lt;=(TODAY()+3))</formula>
    </cfRule>
    <cfRule type="expression" dxfId="7206" priority="9246" stopIfTrue="1">
      <formula>$B578="Tender Received"</formula>
    </cfRule>
  </conditionalFormatting>
  <conditionalFormatting sqref="C579">
    <cfRule type="expression" dxfId="7205" priority="9243" stopIfTrue="1">
      <formula>AND($B579="Tender Received",$D579&lt;=(TODAY()+3))</formula>
    </cfRule>
    <cfRule type="expression" dxfId="7204" priority="9244" stopIfTrue="1">
      <formula>$B579="Tender Received"</formula>
    </cfRule>
  </conditionalFormatting>
  <conditionalFormatting sqref="B577:B583">
    <cfRule type="expression" dxfId="7203" priority="9241" stopIfTrue="1">
      <formula>AND($B577="Tender Received",$D577&lt;=(TODAY()+3))</formula>
    </cfRule>
    <cfRule type="expression" dxfId="7202" priority="9242" stopIfTrue="1">
      <formula>$B577="Tender Received"</formula>
    </cfRule>
  </conditionalFormatting>
  <conditionalFormatting sqref="Q580:R582">
    <cfRule type="expression" dxfId="7201" priority="9239" stopIfTrue="1">
      <formula>AND($B580="Tender Received",$D580&lt;=(TODAY()+3))</formula>
    </cfRule>
    <cfRule type="expression" dxfId="7200" priority="9240" stopIfTrue="1">
      <formula>$B580="Tender Received"</formula>
    </cfRule>
  </conditionalFormatting>
  <conditionalFormatting sqref="D580:P582">
    <cfRule type="expression" dxfId="7199" priority="9237" stopIfTrue="1">
      <formula>AND($B580="Tender Received",$D580&lt;=(TODAY()+3))</formula>
    </cfRule>
    <cfRule type="expression" dxfId="7198" priority="9238" stopIfTrue="1">
      <formula>$B580="Tender Received"</formula>
    </cfRule>
  </conditionalFormatting>
  <conditionalFormatting sqref="C580:C582">
    <cfRule type="expression" dxfId="7197" priority="9235" stopIfTrue="1">
      <formula>AND($B580="Tender Received",$D580&lt;=(TODAY()+3))</formula>
    </cfRule>
    <cfRule type="expression" dxfId="7196" priority="9236" stopIfTrue="1">
      <formula>$B580="Tender Received"</formula>
    </cfRule>
  </conditionalFormatting>
  <conditionalFormatting sqref="Q583:R583">
    <cfRule type="expression" dxfId="7195" priority="9233" stopIfTrue="1">
      <formula>AND($B583="Tender Received",$D583&lt;=(TODAY()+3))</formula>
    </cfRule>
    <cfRule type="expression" dxfId="7194" priority="9234" stopIfTrue="1">
      <formula>$B583="Tender Received"</formula>
    </cfRule>
  </conditionalFormatting>
  <conditionalFormatting sqref="D583:I583 K583:P583">
    <cfRule type="expression" dxfId="7193" priority="9231" stopIfTrue="1">
      <formula>AND($B583="Tender Received",$D583&lt;=(TODAY()+3))</formula>
    </cfRule>
    <cfRule type="expression" dxfId="7192" priority="9232" stopIfTrue="1">
      <formula>$B583="Tender Received"</formula>
    </cfRule>
  </conditionalFormatting>
  <conditionalFormatting sqref="C583">
    <cfRule type="expression" dxfId="7191" priority="9229" stopIfTrue="1">
      <formula>AND($B583="Tender Received",$D583&lt;=(TODAY()+3))</formula>
    </cfRule>
    <cfRule type="expression" dxfId="7190" priority="9230" stopIfTrue="1">
      <formula>$B583="Tender Received"</formula>
    </cfRule>
  </conditionalFormatting>
  <conditionalFormatting sqref="J583">
    <cfRule type="expression" dxfId="7189" priority="9227" stopIfTrue="1">
      <formula>AND($B583="Tender Received",$D583&lt;=(TODAY()+3))</formula>
    </cfRule>
    <cfRule type="expression" dxfId="7188" priority="9228" stopIfTrue="1">
      <formula>$B583="Tender Received"</formula>
    </cfRule>
  </conditionalFormatting>
  <conditionalFormatting sqref="B39:B41 D39:R40 D41:G41 I41:P41 R41">
    <cfRule type="expression" dxfId="7187" priority="9163" stopIfTrue="1">
      <formula>AND($B39="Tender Received",$D39&lt;=(TODAY()+3))</formula>
    </cfRule>
    <cfRule type="expression" dxfId="7186" priority="9164" stopIfTrue="1">
      <formula>$B39="Tender Received"</formula>
    </cfRule>
  </conditionalFormatting>
  <conditionalFormatting sqref="B42:E42 J42:N42 B43:R43 P42:R42 G42">
    <cfRule type="expression" dxfId="7185" priority="9161" stopIfTrue="1">
      <formula>AND($B42="Tender Received",$D42&lt;=(TODAY()+3))</formula>
    </cfRule>
    <cfRule type="expression" dxfId="7184" priority="9162" stopIfTrue="1">
      <formula>$B42="Tender Received"</formula>
    </cfRule>
  </conditionalFormatting>
  <conditionalFormatting sqref="I42">
    <cfRule type="expression" dxfId="7183" priority="9159" stopIfTrue="1">
      <formula>AND($B42="Tender Received",$D42&lt;=(TODAY()+3))</formula>
    </cfRule>
    <cfRule type="expression" dxfId="7182" priority="9160" stopIfTrue="1">
      <formula>$B42="Tender Received"</formula>
    </cfRule>
  </conditionalFormatting>
  <conditionalFormatting sqref="J34:P34 B32 D32:G32 B33:G34 I32:P33 R32:R34">
    <cfRule type="expression" dxfId="7181" priority="9155" stopIfTrue="1">
      <formula>AND($B32="Tender Received",$D32&lt;=(TODAY()+3))</formula>
    </cfRule>
    <cfRule type="expression" dxfId="7180" priority="9156" stopIfTrue="1">
      <formula>$B32="Tender Received"</formula>
    </cfRule>
  </conditionalFormatting>
  <conditionalFormatting sqref="B38:R38 J37:P37 R37 B35:G37 I35:R36">
    <cfRule type="expression" dxfId="7179" priority="9153" stopIfTrue="1">
      <formula>AND($B35="Tender Received",$D35&lt;=(TODAY()+3))</formula>
    </cfRule>
    <cfRule type="expression" dxfId="7178" priority="9154" stopIfTrue="1">
      <formula>$B35="Tender Received"</formula>
    </cfRule>
  </conditionalFormatting>
  <conditionalFormatting sqref="J47:P47 R47 B46:B47 D46:R46 D47:G47 B44:C44 E44:G44 I44:R44">
    <cfRule type="expression" dxfId="7177" priority="9151" stopIfTrue="1">
      <formula>AND($B44="Tender Received",$D44&lt;=(TODAY()+3))</formula>
    </cfRule>
    <cfRule type="expression" dxfId="7176" priority="9152" stopIfTrue="1">
      <formula>$B44="Tender Received"</formula>
    </cfRule>
  </conditionalFormatting>
  <conditionalFormatting sqref="B50:R50 B52:P52 B51:G51 J51:P51 B49:G49 I49:R49 R51:R52">
    <cfRule type="expression" dxfId="7175" priority="9149" stopIfTrue="1">
      <formula>AND($B49="Tender Received",$D49&lt;=(TODAY()+3))</formula>
    </cfRule>
    <cfRule type="expression" dxfId="7174" priority="9150" stopIfTrue="1">
      <formula>$B49="Tender Received"</formula>
    </cfRule>
  </conditionalFormatting>
  <conditionalFormatting sqref="B53:P53 B55:P55 B54:G54 I54:P54 R53:R55">
    <cfRule type="expression" dxfId="7173" priority="9147" stopIfTrue="1">
      <formula>AND($B53="Tender Received",$D53&lt;=(TODAY()+3))</formula>
    </cfRule>
    <cfRule type="expression" dxfId="7172" priority="9148" stopIfTrue="1">
      <formula>$B53="Tender Received"</formula>
    </cfRule>
  </conditionalFormatting>
  <conditionalFormatting sqref="B56:G58 J57:P58 R56:R59 I56:P56 B59:P59">
    <cfRule type="expression" dxfId="7171" priority="9145" stopIfTrue="1">
      <formula>AND($B56="Tender Received",$D56&lt;=(TODAY()+3))</formula>
    </cfRule>
    <cfRule type="expression" dxfId="7170" priority="9146" stopIfTrue="1">
      <formula>$B56="Tender Received"</formula>
    </cfRule>
  </conditionalFormatting>
  <conditionalFormatting sqref="B60:G60 I60:P60 R60 B61:R61 B63:G63 B62:C62 E62:R62 I63:R63">
    <cfRule type="expression" dxfId="7169" priority="9141" stopIfTrue="1">
      <formula>AND($B60="Tender Received",$D60&lt;=(TODAY()+3))</formula>
    </cfRule>
    <cfRule type="expression" dxfId="7168" priority="9142" stopIfTrue="1">
      <formula>$B60="Tender Received"</formula>
    </cfRule>
  </conditionalFormatting>
  <conditionalFormatting sqref="B67:R67 B65:G66 I66:R66 I65:P65 R65">
    <cfRule type="expression" dxfId="7167" priority="9137" stopIfTrue="1">
      <formula>AND($B65="Tender Received",$D65&lt;=(TODAY()+3))</formula>
    </cfRule>
    <cfRule type="expression" dxfId="7166" priority="9138" stopIfTrue="1">
      <formula>$B65="Tender Received"</formula>
    </cfRule>
  </conditionalFormatting>
  <conditionalFormatting sqref="I68:P68 B72:R73 B71:G71 I71:P71 R71 B68:G68 J69:P69 B69:C69 E69:G69 R68:R69 B67:R67 B65:G66 I66:R66 I65:P65 R65 B70:R70">
    <cfRule type="expression" dxfId="7165" priority="9135" stopIfTrue="1">
      <formula>AND($B65="Tender Received",$D65&lt;=(TODAY()+3))</formula>
    </cfRule>
    <cfRule type="expression" dxfId="7164" priority="9136" stopIfTrue="1">
      <formula>$B65="Tender Received"</formula>
    </cfRule>
  </conditionalFormatting>
  <conditionalFormatting sqref="Q76">
    <cfRule type="expression" dxfId="7163" priority="9131" stopIfTrue="1">
      <formula>AND($B76="Tender Received",$D76&lt;=(TODAY()+3))</formula>
    </cfRule>
    <cfRule type="expression" dxfId="7162" priority="9132" stopIfTrue="1">
      <formula>$B76="Tender Received"</formula>
    </cfRule>
  </conditionalFormatting>
  <conditionalFormatting sqref="H76:I76">
    <cfRule type="expression" dxfId="7161" priority="9129" stopIfTrue="1">
      <formula>AND($B76="Tender Received",$D76&lt;=(TODAY()+3))</formula>
    </cfRule>
    <cfRule type="expression" dxfId="7160" priority="9130" stopIfTrue="1">
      <formula>$B76="Tender Received"</formula>
    </cfRule>
  </conditionalFormatting>
  <conditionalFormatting sqref="H81:I81">
    <cfRule type="expression" dxfId="7159" priority="9127" stopIfTrue="1">
      <formula>AND($B81="Tender Received",$D81&lt;=(TODAY()+3))</formula>
    </cfRule>
    <cfRule type="expression" dxfId="7158" priority="9128" stopIfTrue="1">
      <formula>$B81="Tender Received"</formula>
    </cfRule>
  </conditionalFormatting>
  <conditionalFormatting sqref="Q81">
    <cfRule type="expression" dxfId="7157" priority="9125" stopIfTrue="1">
      <formula>AND($B81="Tender Received",$D81&lt;=(TODAY()+3))</formula>
    </cfRule>
    <cfRule type="expression" dxfId="7156" priority="9126" stopIfTrue="1">
      <formula>$B81="Tender Received"</formula>
    </cfRule>
  </conditionalFormatting>
  <conditionalFormatting sqref="I96">
    <cfRule type="expression" dxfId="7155" priority="9123" stopIfTrue="1">
      <formula>AND($B96="Tender Received",$D96&lt;=(TODAY()+3))</formula>
    </cfRule>
    <cfRule type="expression" dxfId="7154" priority="9124" stopIfTrue="1">
      <formula>$B96="Tender Received"</formula>
    </cfRule>
  </conditionalFormatting>
  <conditionalFormatting sqref="H106:I106">
    <cfRule type="expression" dxfId="7153" priority="9119" stopIfTrue="1">
      <formula>AND($B106="Tender Received",$D106&lt;=(TODAY()+3))</formula>
    </cfRule>
    <cfRule type="expression" dxfId="7152" priority="9120" stopIfTrue="1">
      <formula>$B106="Tender Received"</formula>
    </cfRule>
  </conditionalFormatting>
  <conditionalFormatting sqref="Q106">
    <cfRule type="expression" dxfId="7151" priority="9117" stopIfTrue="1">
      <formula>AND($B106="Tender Received",$D106&lt;=(TODAY()+3))</formula>
    </cfRule>
    <cfRule type="expression" dxfId="7150" priority="9118" stopIfTrue="1">
      <formula>$B106="Tender Received"</formula>
    </cfRule>
  </conditionalFormatting>
  <conditionalFormatting sqref="H113:I113">
    <cfRule type="expression" dxfId="7149" priority="9115" stopIfTrue="1">
      <formula>AND($B113="Tender Received",$D113&lt;=(TODAY()+3))</formula>
    </cfRule>
    <cfRule type="expression" dxfId="7148" priority="9116" stopIfTrue="1">
      <formula>$B113="Tender Received"</formula>
    </cfRule>
  </conditionalFormatting>
  <conditionalFormatting sqref="Q113">
    <cfRule type="expression" dxfId="7147" priority="9113" stopIfTrue="1">
      <formula>AND($B113="Tender Received",$D113&lt;=(TODAY()+3))</formula>
    </cfRule>
    <cfRule type="expression" dxfId="7146" priority="9114" stopIfTrue="1">
      <formula>$B113="Tender Received"</formula>
    </cfRule>
  </conditionalFormatting>
  <conditionalFormatting sqref="H157:I157">
    <cfRule type="expression" dxfId="7145" priority="9111" stopIfTrue="1">
      <formula>AND($B157="Tender Received",$D157&lt;=(TODAY()+3))</formula>
    </cfRule>
    <cfRule type="expression" dxfId="7144" priority="9112" stopIfTrue="1">
      <formula>$B157="Tender Received"</formula>
    </cfRule>
  </conditionalFormatting>
  <conditionalFormatting sqref="Q157">
    <cfRule type="expression" dxfId="7143" priority="9109" stopIfTrue="1">
      <formula>AND($B157="Tender Received",$D157&lt;=(TODAY()+3))</formula>
    </cfRule>
    <cfRule type="expression" dxfId="7142" priority="9110" stopIfTrue="1">
      <formula>$B157="Tender Received"</formula>
    </cfRule>
  </conditionalFormatting>
  <conditionalFormatting sqref="B584">
    <cfRule type="expression" dxfId="7141" priority="9105" stopIfTrue="1">
      <formula>AND($B584="Tender Received",$D584&lt;=(TODAY()+3))</formula>
    </cfRule>
    <cfRule type="expression" dxfId="7140" priority="9106" stopIfTrue="1">
      <formula>$B584="Tender Received"</formula>
    </cfRule>
  </conditionalFormatting>
  <conditionalFormatting sqref="Q584:R584">
    <cfRule type="expression" dxfId="7139" priority="9103" stopIfTrue="1">
      <formula>AND($B584="Tender Received",$D584&lt;=(TODAY()+3))</formula>
    </cfRule>
    <cfRule type="expression" dxfId="7138" priority="9104" stopIfTrue="1">
      <formula>$B584="Tender Received"</formula>
    </cfRule>
  </conditionalFormatting>
  <conditionalFormatting sqref="D584:I584 K584:P584">
    <cfRule type="expression" dxfId="7137" priority="9101" stopIfTrue="1">
      <formula>AND($B584="Tender Received",$D584&lt;=(TODAY()+3))</formula>
    </cfRule>
    <cfRule type="expression" dxfId="7136" priority="9102" stopIfTrue="1">
      <formula>$B584="Tender Received"</formula>
    </cfRule>
  </conditionalFormatting>
  <conditionalFormatting sqref="C584">
    <cfRule type="expression" dxfId="7135" priority="9099" stopIfTrue="1">
      <formula>AND($B584="Tender Received",$D584&lt;=(TODAY()+3))</formula>
    </cfRule>
    <cfRule type="expression" dxfId="7134" priority="9100" stopIfTrue="1">
      <formula>$B584="Tender Received"</formula>
    </cfRule>
  </conditionalFormatting>
  <conditionalFormatting sqref="J584">
    <cfRule type="expression" dxfId="7133" priority="9097" stopIfTrue="1">
      <formula>AND($B584="Tender Received",$D584&lt;=(TODAY()+3))</formula>
    </cfRule>
    <cfRule type="expression" dxfId="7132" priority="9098" stopIfTrue="1">
      <formula>$B584="Tender Received"</formula>
    </cfRule>
  </conditionalFormatting>
  <conditionalFormatting sqref="J585:K585 O585:R585 D585:H585 B585">
    <cfRule type="expression" dxfId="7131" priority="9091" stopIfTrue="1">
      <formula>AND($B585="Tender Received",$D585&lt;=(TODAY()+3))</formula>
    </cfRule>
    <cfRule type="expression" dxfId="7130" priority="9092" stopIfTrue="1">
      <formula>$B585="Tender Received"</formula>
    </cfRule>
  </conditionalFormatting>
  <conditionalFormatting sqref="I585">
    <cfRule type="expression" dxfId="7129" priority="9089" stopIfTrue="1">
      <formula>AND($B585="Tender Received",$D585&lt;=(TODAY()+3))</formula>
    </cfRule>
    <cfRule type="expression" dxfId="7128" priority="9090" stopIfTrue="1">
      <formula>$B585="Tender Received"</formula>
    </cfRule>
  </conditionalFormatting>
  <conditionalFormatting sqref="M585:N585">
    <cfRule type="expression" dxfId="7127" priority="9087" stopIfTrue="1">
      <formula>AND($B585="Tender Received",$D585&lt;=(TODAY()+3))</formula>
    </cfRule>
    <cfRule type="expression" dxfId="7126" priority="9088" stopIfTrue="1">
      <formula>$B585="Tender Received"</formula>
    </cfRule>
  </conditionalFormatting>
  <conditionalFormatting sqref="C585">
    <cfRule type="expression" dxfId="7125" priority="9085" stopIfTrue="1">
      <formula>AND($B585="Tender Received",$D585&lt;=(TODAY()+3))</formula>
    </cfRule>
    <cfRule type="expression" dxfId="7124" priority="9086" stopIfTrue="1">
      <formula>$B585="Tender Received"</formula>
    </cfRule>
  </conditionalFormatting>
  <conditionalFormatting sqref="L585">
    <cfRule type="expression" dxfId="7123" priority="9083" stopIfTrue="1">
      <formula>AND($B585="Tender Received",$D585&lt;=(TODAY()+3))</formula>
    </cfRule>
    <cfRule type="expression" dxfId="7122" priority="9084" stopIfTrue="1">
      <formula>$B585="Tender Received"</formula>
    </cfRule>
  </conditionalFormatting>
  <conditionalFormatting sqref="B583:B589">
    <cfRule type="expression" dxfId="7121" priority="9081" stopIfTrue="1">
      <formula>AND($B583="Tender Received",$D583&lt;=(TODAY()+3))</formula>
    </cfRule>
    <cfRule type="expression" dxfId="7120" priority="9082" stopIfTrue="1">
      <formula>$B583="Tender Received"</formula>
    </cfRule>
  </conditionalFormatting>
  <conditionalFormatting sqref="Q586:R588">
    <cfRule type="expression" dxfId="7119" priority="9079" stopIfTrue="1">
      <formula>AND($B586="Tender Received",$D586&lt;=(TODAY()+3))</formula>
    </cfRule>
    <cfRule type="expression" dxfId="7118" priority="9080" stopIfTrue="1">
      <formula>$B586="Tender Received"</formula>
    </cfRule>
  </conditionalFormatting>
  <conditionalFormatting sqref="D586:I586 K586:P588 E587:I588">
    <cfRule type="expression" dxfId="7117" priority="9077" stopIfTrue="1">
      <formula>AND($B586="Tender Received",$D586&lt;=(TODAY()+3))</formula>
    </cfRule>
    <cfRule type="expression" dxfId="7116" priority="9078" stopIfTrue="1">
      <formula>$B586="Tender Received"</formula>
    </cfRule>
  </conditionalFormatting>
  <conditionalFormatting sqref="C586">
    <cfRule type="expression" dxfId="7115" priority="9075" stopIfTrue="1">
      <formula>AND($B586="Tender Received",$D586&lt;=(TODAY()+3))</formula>
    </cfRule>
    <cfRule type="expression" dxfId="7114" priority="9076" stopIfTrue="1">
      <formula>$B586="Tender Received"</formula>
    </cfRule>
  </conditionalFormatting>
  <conditionalFormatting sqref="J586:J588">
    <cfRule type="expression" dxfId="7113" priority="9073" stopIfTrue="1">
      <formula>AND($B586="Tender Received",$D586&lt;=(TODAY()+3))</formula>
    </cfRule>
    <cfRule type="expression" dxfId="7112" priority="9074" stopIfTrue="1">
      <formula>$B586="Tender Received"</formula>
    </cfRule>
  </conditionalFormatting>
  <conditionalFormatting sqref="D587:D588">
    <cfRule type="expression" dxfId="7111" priority="9071" stopIfTrue="1">
      <formula>AND($B587="Tender Received",$D587&lt;=(TODAY()+3))</formula>
    </cfRule>
    <cfRule type="expression" dxfId="7110" priority="9072" stopIfTrue="1">
      <formula>$B587="Tender Received"</formula>
    </cfRule>
  </conditionalFormatting>
  <conditionalFormatting sqref="C587:C588">
    <cfRule type="expression" dxfId="7109" priority="9069" stopIfTrue="1">
      <formula>AND($B587="Tender Received",$D587&lt;=(TODAY()+3))</formula>
    </cfRule>
    <cfRule type="expression" dxfId="7108" priority="9070" stopIfTrue="1">
      <formula>$B587="Tender Received"</formula>
    </cfRule>
  </conditionalFormatting>
  <conditionalFormatting sqref="Q589:R589">
    <cfRule type="expression" dxfId="7107" priority="9067" stopIfTrue="1">
      <formula>AND($B589="Tender Received",$D589&lt;=(TODAY()+3))</formula>
    </cfRule>
    <cfRule type="expression" dxfId="7106" priority="9068" stopIfTrue="1">
      <formula>$B589="Tender Received"</formula>
    </cfRule>
  </conditionalFormatting>
  <conditionalFormatting sqref="K589:P589 E589:I589">
    <cfRule type="expression" dxfId="7105" priority="9065" stopIfTrue="1">
      <formula>AND($B589="Tender Received",$D589&lt;=(TODAY()+3))</formula>
    </cfRule>
    <cfRule type="expression" dxfId="7104" priority="9066" stopIfTrue="1">
      <formula>$B589="Tender Received"</formula>
    </cfRule>
  </conditionalFormatting>
  <conditionalFormatting sqref="J589">
    <cfRule type="expression" dxfId="7103" priority="9063" stopIfTrue="1">
      <formula>AND($B589="Tender Received",$D589&lt;=(TODAY()+3))</formula>
    </cfRule>
    <cfRule type="expression" dxfId="7102" priority="9064" stopIfTrue="1">
      <formula>$B589="Tender Received"</formula>
    </cfRule>
  </conditionalFormatting>
  <conditionalFormatting sqref="D589">
    <cfRule type="expression" dxfId="7101" priority="9061" stopIfTrue="1">
      <formula>AND($B589="Tender Received",$D589&lt;=(TODAY()+3))</formula>
    </cfRule>
    <cfRule type="expression" dxfId="7100" priority="9062" stopIfTrue="1">
      <formula>$B589="Tender Received"</formula>
    </cfRule>
  </conditionalFormatting>
  <conditionalFormatting sqref="C589">
    <cfRule type="expression" dxfId="7099" priority="9059" stopIfTrue="1">
      <formula>AND($B589="Tender Received",$D589&lt;=(TODAY()+3))</formula>
    </cfRule>
    <cfRule type="expression" dxfId="7098" priority="9060" stopIfTrue="1">
      <formula>$B589="Tender Received"</formula>
    </cfRule>
  </conditionalFormatting>
  <conditionalFormatting sqref="B590:B591">
    <cfRule type="expression" dxfId="7097" priority="9049" stopIfTrue="1">
      <formula>AND($B590="Tender Received",$D590&lt;=(TODAY()+3))</formula>
    </cfRule>
    <cfRule type="expression" dxfId="7096" priority="9050" stopIfTrue="1">
      <formula>$B590="Tender Received"</formula>
    </cfRule>
  </conditionalFormatting>
  <conditionalFormatting sqref="Q590:R590">
    <cfRule type="expression" dxfId="7095" priority="9047" stopIfTrue="1">
      <formula>AND($B590="Tender Received",$D590&lt;=(TODAY()+3))</formula>
    </cfRule>
    <cfRule type="expression" dxfId="7094" priority="9048" stopIfTrue="1">
      <formula>$B590="Tender Received"</formula>
    </cfRule>
  </conditionalFormatting>
  <conditionalFormatting sqref="K590:P590 E590:I590">
    <cfRule type="expression" dxfId="7093" priority="9045" stopIfTrue="1">
      <formula>AND($B590="Tender Received",$D590&lt;=(TODAY()+3))</formula>
    </cfRule>
    <cfRule type="expression" dxfId="7092" priority="9046" stopIfTrue="1">
      <formula>$B590="Tender Received"</formula>
    </cfRule>
  </conditionalFormatting>
  <conditionalFormatting sqref="J590">
    <cfRule type="expression" dxfId="7091" priority="9043" stopIfTrue="1">
      <formula>AND($B590="Tender Received",$D590&lt;=(TODAY()+3))</formula>
    </cfRule>
    <cfRule type="expression" dxfId="7090" priority="9044" stopIfTrue="1">
      <formula>$B590="Tender Received"</formula>
    </cfRule>
  </conditionalFormatting>
  <conditionalFormatting sqref="D590">
    <cfRule type="expression" dxfId="7089" priority="9041" stopIfTrue="1">
      <formula>AND($B590="Tender Received",$D590&lt;=(TODAY()+3))</formula>
    </cfRule>
    <cfRule type="expression" dxfId="7088" priority="9042" stopIfTrue="1">
      <formula>$B590="Tender Received"</formula>
    </cfRule>
  </conditionalFormatting>
  <conditionalFormatting sqref="C590">
    <cfRule type="expression" dxfId="7087" priority="9039" stopIfTrue="1">
      <formula>AND($B590="Tender Received",$D590&lt;=(TODAY()+3))</formula>
    </cfRule>
    <cfRule type="expression" dxfId="7086" priority="9040" stopIfTrue="1">
      <formula>$B590="Tender Received"</formula>
    </cfRule>
  </conditionalFormatting>
  <conditionalFormatting sqref="Q591:R591">
    <cfRule type="expression" dxfId="7085" priority="9037" stopIfTrue="1">
      <formula>AND($B591="Tender Received",$D591&lt;=(TODAY()+3))</formula>
    </cfRule>
    <cfRule type="expression" dxfId="7084" priority="9038" stopIfTrue="1">
      <formula>$B591="Tender Received"</formula>
    </cfRule>
  </conditionalFormatting>
  <conditionalFormatting sqref="K591:P591 E591:I591">
    <cfRule type="expression" dxfId="7083" priority="9035" stopIfTrue="1">
      <formula>AND($B591="Tender Received",$D591&lt;=(TODAY()+3))</formula>
    </cfRule>
    <cfRule type="expression" dxfId="7082" priority="9036" stopIfTrue="1">
      <formula>$B591="Tender Received"</formula>
    </cfRule>
  </conditionalFormatting>
  <conditionalFormatting sqref="J591">
    <cfRule type="expression" dxfId="7081" priority="9033" stopIfTrue="1">
      <formula>AND($B591="Tender Received",$D591&lt;=(TODAY()+3))</formula>
    </cfRule>
    <cfRule type="expression" dxfId="7080" priority="9034" stopIfTrue="1">
      <formula>$B591="Tender Received"</formula>
    </cfRule>
  </conditionalFormatting>
  <conditionalFormatting sqref="D591">
    <cfRule type="expression" dxfId="7079" priority="9031" stopIfTrue="1">
      <formula>AND($B591="Tender Received",$D591&lt;=(TODAY()+3))</formula>
    </cfRule>
    <cfRule type="expression" dxfId="7078" priority="9032" stopIfTrue="1">
      <formula>$B591="Tender Received"</formula>
    </cfRule>
  </conditionalFormatting>
  <conditionalFormatting sqref="C591">
    <cfRule type="expression" dxfId="7077" priority="9029" stopIfTrue="1">
      <formula>AND($B591="Tender Received",$D591&lt;=(TODAY()+3))</formula>
    </cfRule>
    <cfRule type="expression" dxfId="7076" priority="9030" stopIfTrue="1">
      <formula>$B591="Tender Received"</formula>
    </cfRule>
  </conditionalFormatting>
  <conditionalFormatting sqref="J593:K593 O592:R593 D592:K592 D593:H593 B592:B593">
    <cfRule type="expression" dxfId="7075" priority="9027" stopIfTrue="1">
      <formula>AND($B592="Tender Received",$D592&lt;=(TODAY()+3))</formula>
    </cfRule>
    <cfRule type="expression" dxfId="7074" priority="9028" stopIfTrue="1">
      <formula>$B592="Tender Received"</formula>
    </cfRule>
  </conditionalFormatting>
  <conditionalFormatting sqref="I593">
    <cfRule type="expression" dxfId="7073" priority="9025" stopIfTrue="1">
      <formula>AND($B593="Tender Received",$D593&lt;=(TODAY()+3))</formula>
    </cfRule>
    <cfRule type="expression" dxfId="7072" priority="9026" stopIfTrue="1">
      <formula>$B593="Tender Received"</formula>
    </cfRule>
  </conditionalFormatting>
  <conditionalFormatting sqref="M592:N593">
    <cfRule type="expression" dxfId="7071" priority="9023" stopIfTrue="1">
      <formula>AND($B592="Tender Received",$D592&lt;=(TODAY()+3))</formula>
    </cfRule>
    <cfRule type="expression" dxfId="7070" priority="9024" stopIfTrue="1">
      <formula>$B592="Tender Received"</formula>
    </cfRule>
  </conditionalFormatting>
  <conditionalFormatting sqref="C592:C593">
    <cfRule type="expression" dxfId="7069" priority="9021" stopIfTrue="1">
      <formula>AND($B592="Tender Received",$D592&lt;=(TODAY()+3))</formula>
    </cfRule>
    <cfRule type="expression" dxfId="7068" priority="9022" stopIfTrue="1">
      <formula>$B592="Tender Received"</formula>
    </cfRule>
  </conditionalFormatting>
  <conditionalFormatting sqref="L593">
    <cfRule type="expression" dxfId="7067" priority="9019" stopIfTrue="1">
      <formula>AND($B593="Tender Received",$D593&lt;=(TODAY()+3))</formula>
    </cfRule>
    <cfRule type="expression" dxfId="7066" priority="9020" stopIfTrue="1">
      <formula>$B593="Tender Received"</formula>
    </cfRule>
  </conditionalFormatting>
  <conditionalFormatting sqref="L592">
    <cfRule type="expression" dxfId="7065" priority="9017" stopIfTrue="1">
      <formula>AND($B592="Tender Received",$D592&lt;=(TODAY()+3))</formula>
    </cfRule>
    <cfRule type="expression" dxfId="7064" priority="9018" stopIfTrue="1">
      <formula>$B592="Tender Received"</formula>
    </cfRule>
  </conditionalFormatting>
  <conditionalFormatting sqref="B594:B596">
    <cfRule type="expression" dxfId="7063" priority="9015" stopIfTrue="1">
      <formula>AND($B594="Tender Received",$D594&lt;=(TODAY()+3))</formula>
    </cfRule>
    <cfRule type="expression" dxfId="7062" priority="9016" stopIfTrue="1">
      <formula>$B594="Tender Received"</formula>
    </cfRule>
  </conditionalFormatting>
  <conditionalFormatting sqref="Q594:R595">
    <cfRule type="expression" dxfId="7061" priority="9013" stopIfTrue="1">
      <formula>AND($B594="Tender Received",$D594&lt;=(TODAY()+3))</formula>
    </cfRule>
    <cfRule type="expression" dxfId="7060" priority="9014" stopIfTrue="1">
      <formula>$B594="Tender Received"</formula>
    </cfRule>
  </conditionalFormatting>
  <conditionalFormatting sqref="K594:P595 E594:I595">
    <cfRule type="expression" dxfId="7059" priority="9011" stopIfTrue="1">
      <formula>AND($B594="Tender Received",$D594&lt;=(TODAY()+3))</formula>
    </cfRule>
    <cfRule type="expression" dxfId="7058" priority="9012" stopIfTrue="1">
      <formula>$B594="Tender Received"</formula>
    </cfRule>
  </conditionalFormatting>
  <conditionalFormatting sqref="J594:J595">
    <cfRule type="expression" dxfId="7057" priority="9009" stopIfTrue="1">
      <formula>AND($B594="Tender Received",$D594&lt;=(TODAY()+3))</formula>
    </cfRule>
    <cfRule type="expression" dxfId="7056" priority="9010" stopIfTrue="1">
      <formula>$B594="Tender Received"</formula>
    </cfRule>
  </conditionalFormatting>
  <conditionalFormatting sqref="D594">
    <cfRule type="expression" dxfId="7055" priority="9007" stopIfTrue="1">
      <formula>AND($B594="Tender Received",$D594&lt;=(TODAY()+3))</formula>
    </cfRule>
    <cfRule type="expression" dxfId="7054" priority="9008" stopIfTrue="1">
      <formula>$B594="Tender Received"</formula>
    </cfRule>
  </conditionalFormatting>
  <conditionalFormatting sqref="C594">
    <cfRule type="expression" dxfId="7053" priority="9005" stopIfTrue="1">
      <formula>AND($B594="Tender Received",$D594&lt;=(TODAY()+3))</formula>
    </cfRule>
    <cfRule type="expression" dxfId="7052" priority="9006" stopIfTrue="1">
      <formula>$B594="Tender Received"</formula>
    </cfRule>
  </conditionalFormatting>
  <conditionalFormatting sqref="D595">
    <cfRule type="expression" dxfId="7051" priority="9003" stopIfTrue="1">
      <formula>AND($B595="Tender Received",$D595&lt;=(TODAY()+3))</formula>
    </cfRule>
    <cfRule type="expression" dxfId="7050" priority="9004" stopIfTrue="1">
      <formula>$B595="Tender Received"</formula>
    </cfRule>
  </conditionalFormatting>
  <conditionalFormatting sqref="C595">
    <cfRule type="expression" dxfId="7049" priority="9001" stopIfTrue="1">
      <formula>AND($B595="Tender Received",$D595&lt;=(TODAY()+3))</formula>
    </cfRule>
    <cfRule type="expression" dxfId="7048" priority="9002" stopIfTrue="1">
      <formula>$B595="Tender Received"</formula>
    </cfRule>
  </conditionalFormatting>
  <conditionalFormatting sqref="Q596:R596">
    <cfRule type="expression" dxfId="7047" priority="8999" stopIfTrue="1">
      <formula>AND($B596="Tender Received",$D596&lt;=(TODAY()+3))</formula>
    </cfRule>
    <cfRule type="expression" dxfId="7046" priority="9000" stopIfTrue="1">
      <formula>$B596="Tender Received"</formula>
    </cfRule>
  </conditionalFormatting>
  <conditionalFormatting sqref="K596:P596 E596:I596">
    <cfRule type="expression" dxfId="7045" priority="8997" stopIfTrue="1">
      <formula>AND($B596="Tender Received",$D596&lt;=(TODAY()+3))</formula>
    </cfRule>
    <cfRule type="expression" dxfId="7044" priority="8998" stopIfTrue="1">
      <formula>$B596="Tender Received"</formula>
    </cfRule>
  </conditionalFormatting>
  <conditionalFormatting sqref="J596">
    <cfRule type="expression" dxfId="7043" priority="8995" stopIfTrue="1">
      <formula>AND($B596="Tender Received",$D596&lt;=(TODAY()+3))</formula>
    </cfRule>
    <cfRule type="expression" dxfId="7042" priority="8996" stopIfTrue="1">
      <formula>$B596="Tender Received"</formula>
    </cfRule>
  </conditionalFormatting>
  <conditionalFormatting sqref="D596">
    <cfRule type="expression" dxfId="7041" priority="8993" stopIfTrue="1">
      <formula>AND($B596="Tender Received",$D596&lt;=(TODAY()+3))</formula>
    </cfRule>
    <cfRule type="expression" dxfId="7040" priority="8994" stopIfTrue="1">
      <formula>$B596="Tender Received"</formula>
    </cfRule>
  </conditionalFormatting>
  <conditionalFormatting sqref="C596">
    <cfRule type="expression" dxfId="7039" priority="8991" stopIfTrue="1">
      <formula>AND($B596="Tender Received",$D596&lt;=(TODAY()+3))</formula>
    </cfRule>
    <cfRule type="expression" dxfId="7038" priority="8992" stopIfTrue="1">
      <formula>$B596="Tender Received"</formula>
    </cfRule>
  </conditionalFormatting>
  <conditionalFormatting sqref="R597 C597:P597">
    <cfRule type="expression" dxfId="7037" priority="8983" stopIfTrue="1">
      <formula>AND($B597="Tender Received",$D597&lt;=(TODAY()+3))</formula>
    </cfRule>
    <cfRule type="expression" dxfId="7036" priority="8984" stopIfTrue="1">
      <formula>$B597="Tender Received"</formula>
    </cfRule>
  </conditionalFormatting>
  <conditionalFormatting sqref="B597">
    <cfRule type="expression" dxfId="7035" priority="8981" stopIfTrue="1">
      <formula>AND($B597="Tender Received",$D597&lt;=(TODAY()+3))</formula>
    </cfRule>
    <cfRule type="expression" dxfId="7034" priority="8982" stopIfTrue="1">
      <formula>$B597="Tender Received"</formula>
    </cfRule>
  </conditionalFormatting>
  <conditionalFormatting sqref="M598:R598 B598 D598:K598">
    <cfRule type="expression" dxfId="7033" priority="8973" stopIfTrue="1">
      <formula>AND($B598="Tender Received",$D598&lt;=(TODAY()+3))</formula>
    </cfRule>
    <cfRule type="expression" dxfId="7032" priority="8974" stopIfTrue="1">
      <formula>$B598="Tender Received"</formula>
    </cfRule>
  </conditionalFormatting>
  <conditionalFormatting sqref="C598">
    <cfRule type="expression" dxfId="7031" priority="8971" stopIfTrue="1">
      <formula>AND($B598="Tender Received",$D598&lt;=(TODAY()+3))</formula>
    </cfRule>
    <cfRule type="expression" dxfId="7030" priority="8972" stopIfTrue="1">
      <formula>$B598="Tender Received"</formula>
    </cfRule>
  </conditionalFormatting>
  <conditionalFormatting sqref="L598">
    <cfRule type="expression" dxfId="7029" priority="8969" stopIfTrue="1">
      <formula>AND($B598="Tender Received",$D598&lt;=(TODAY()+3))</formula>
    </cfRule>
    <cfRule type="expression" dxfId="7028" priority="8970" stopIfTrue="1">
      <formula>$B598="Tender Received"</formula>
    </cfRule>
  </conditionalFormatting>
  <conditionalFormatting sqref="C209:R209">
    <cfRule type="expression" dxfId="7027" priority="8909" stopIfTrue="1">
      <formula>AND($B209="Tender Received",$D209&lt;=(TODAY()+3))</formula>
    </cfRule>
    <cfRule type="expression" dxfId="7026" priority="8910" stopIfTrue="1">
      <formula>$B209="Tender Received"</formula>
    </cfRule>
  </conditionalFormatting>
  <conditionalFormatting sqref="C210:R210">
    <cfRule type="expression" dxfId="7025" priority="8907" stopIfTrue="1">
      <formula>AND($B210="Tender Received",$D210&lt;=(TODAY()+3))</formula>
    </cfRule>
    <cfRule type="expression" dxfId="7024" priority="8908" stopIfTrue="1">
      <formula>$B210="Tender Received"</formula>
    </cfRule>
  </conditionalFormatting>
  <conditionalFormatting sqref="C211:P211">
    <cfRule type="expression" dxfId="7023" priority="8905" stopIfTrue="1">
      <formula>AND($B211="Tender Received",$D211&lt;=(TODAY()+3))</formula>
    </cfRule>
    <cfRule type="expression" dxfId="7022" priority="8906" stopIfTrue="1">
      <formula>$B211="Tender Received"</formula>
    </cfRule>
  </conditionalFormatting>
  <conditionalFormatting sqref="C212:D212">
    <cfRule type="expression" dxfId="7021" priority="8903" stopIfTrue="1">
      <formula>AND($B212="Tender Received",$D212&lt;=(TODAY()+3))</formula>
    </cfRule>
    <cfRule type="expression" dxfId="7020" priority="8904" stopIfTrue="1">
      <formula>$B212="Tender Received"</formula>
    </cfRule>
  </conditionalFormatting>
  <conditionalFormatting sqref="E213:R213">
    <cfRule type="expression" dxfId="7019" priority="8901" stopIfTrue="1">
      <formula>AND($B213="Tender Received",$D213&lt;=(TODAY()+3))</formula>
    </cfRule>
    <cfRule type="expression" dxfId="7018" priority="8902" stopIfTrue="1">
      <formula>$B213="Tender Received"</formula>
    </cfRule>
  </conditionalFormatting>
  <conditionalFormatting sqref="C213:D213">
    <cfRule type="expression" dxfId="7017" priority="8899" stopIfTrue="1">
      <formula>AND($B213="Tender Received",$D213&lt;=(TODAY()+3))</formula>
    </cfRule>
    <cfRule type="expression" dxfId="7016" priority="8900" stopIfTrue="1">
      <formula>$B213="Tender Received"</formula>
    </cfRule>
  </conditionalFormatting>
  <conditionalFormatting sqref="Q214:R214">
    <cfRule type="expression" dxfId="7015" priority="8897" stopIfTrue="1">
      <formula>AND($B214="Tender Received",$D214&lt;=(TODAY()+3))</formula>
    </cfRule>
    <cfRule type="expression" dxfId="7014" priority="8898" stopIfTrue="1">
      <formula>$B214="Tender Received"</formula>
    </cfRule>
  </conditionalFormatting>
  <conditionalFormatting sqref="C214:P214">
    <cfRule type="expression" dxfId="7013" priority="8895" stopIfTrue="1">
      <formula>AND($B214="Tender Received",$D214&lt;=(TODAY()+3))</formula>
    </cfRule>
    <cfRule type="expression" dxfId="7012" priority="8896" stopIfTrue="1">
      <formula>$B214="Tender Received"</formula>
    </cfRule>
  </conditionalFormatting>
  <conditionalFormatting sqref="C215:P215">
    <cfRule type="expression" dxfId="7011" priority="8893" stopIfTrue="1">
      <formula>AND($B215="Tender Received",$D215&lt;=(TODAY()+3))</formula>
    </cfRule>
    <cfRule type="expression" dxfId="7010" priority="8894" stopIfTrue="1">
      <formula>$B215="Tender Received"</formula>
    </cfRule>
  </conditionalFormatting>
  <conditionalFormatting sqref="C216:P216">
    <cfRule type="expression" dxfId="7009" priority="8891" stopIfTrue="1">
      <formula>AND($B216="Tender Received",$D216&lt;=(TODAY()+3))</formula>
    </cfRule>
    <cfRule type="expression" dxfId="7008" priority="8892" stopIfTrue="1">
      <formula>$B216="Tender Received"</formula>
    </cfRule>
  </conditionalFormatting>
  <conditionalFormatting sqref="R217">
    <cfRule type="expression" dxfId="7007" priority="8889" stopIfTrue="1">
      <formula>AND($B217="Tender Received",$D217&lt;=(TODAY()+3))</formula>
    </cfRule>
    <cfRule type="expression" dxfId="7006" priority="8890" stopIfTrue="1">
      <formula>$B217="Tender Received"</formula>
    </cfRule>
  </conditionalFormatting>
  <conditionalFormatting sqref="C217:G217 I217:P217">
    <cfRule type="expression" dxfId="7005" priority="8887" stopIfTrue="1">
      <formula>AND($B217="Tender Received",$D217&lt;=(TODAY()+3))</formula>
    </cfRule>
    <cfRule type="expression" dxfId="7004" priority="8888" stopIfTrue="1">
      <formula>$B217="Tender Received"</formula>
    </cfRule>
  </conditionalFormatting>
  <conditionalFormatting sqref="C218:P218">
    <cfRule type="expression" dxfId="7003" priority="8885" stopIfTrue="1">
      <formula>AND($B218="Tender Received",$D218&lt;=(TODAY()+3))</formula>
    </cfRule>
    <cfRule type="expression" dxfId="7002" priority="8886" stopIfTrue="1">
      <formula>$B218="Tender Received"</formula>
    </cfRule>
  </conditionalFormatting>
  <conditionalFormatting sqref="C219:P219">
    <cfRule type="expression" dxfId="7001" priority="8883" stopIfTrue="1">
      <formula>AND($B219="Tender Received",$D219&lt;=(TODAY()+3))</formula>
    </cfRule>
    <cfRule type="expression" dxfId="7000" priority="8884" stopIfTrue="1">
      <formula>$B219="Tender Received"</formula>
    </cfRule>
  </conditionalFormatting>
  <conditionalFormatting sqref="C220:G220 J220:P220">
    <cfRule type="expression" dxfId="6999" priority="8881" stopIfTrue="1">
      <formula>AND($B220="Tender Received",$D220&lt;=(TODAY()+3))</formula>
    </cfRule>
    <cfRule type="expression" dxfId="6998" priority="8882" stopIfTrue="1">
      <formula>$B220="Tender Received"</formula>
    </cfRule>
  </conditionalFormatting>
  <conditionalFormatting sqref="C221:G221 J221:P221">
    <cfRule type="expression" dxfId="6997" priority="8879" stopIfTrue="1">
      <formula>AND($B221="Tender Received",$D221&lt;=(TODAY()+3))</formula>
    </cfRule>
    <cfRule type="expression" dxfId="6996" priority="8880" stopIfTrue="1">
      <formula>$B221="Tender Received"</formula>
    </cfRule>
  </conditionalFormatting>
  <conditionalFormatting sqref="Q222:R222">
    <cfRule type="expression" dxfId="6995" priority="8877" stopIfTrue="1">
      <formula>AND($B222="Tender Received",$D222&lt;=(TODAY()+3))</formula>
    </cfRule>
    <cfRule type="expression" dxfId="6994" priority="8878" stopIfTrue="1">
      <formula>$B222="Tender Received"</formula>
    </cfRule>
  </conditionalFormatting>
  <conditionalFormatting sqref="C222:P222">
    <cfRule type="expression" dxfId="6993" priority="8875" stopIfTrue="1">
      <formula>AND($B222="Tender Received",$D222&lt;=(TODAY()+3))</formula>
    </cfRule>
    <cfRule type="expression" dxfId="6992" priority="8876" stopIfTrue="1">
      <formula>$B222="Tender Received"</formula>
    </cfRule>
  </conditionalFormatting>
  <conditionalFormatting sqref="Q223:R223">
    <cfRule type="expression" dxfId="6991" priority="8873" stopIfTrue="1">
      <formula>AND($B223="Tender Received",$D223&lt;=(TODAY()+3))</formula>
    </cfRule>
    <cfRule type="expression" dxfId="6990" priority="8874" stopIfTrue="1">
      <formula>$B223="Tender Received"</formula>
    </cfRule>
  </conditionalFormatting>
  <conditionalFormatting sqref="C223:P223">
    <cfRule type="expression" dxfId="6989" priority="8871" stopIfTrue="1">
      <formula>AND($B223="Tender Received",$D223&lt;=(TODAY()+3))</formula>
    </cfRule>
    <cfRule type="expression" dxfId="6988" priority="8872" stopIfTrue="1">
      <formula>$B223="Tender Received"</formula>
    </cfRule>
  </conditionalFormatting>
  <conditionalFormatting sqref="Q224:R224">
    <cfRule type="expression" dxfId="6987" priority="8869" stopIfTrue="1">
      <formula>AND($B224="Tender Received",$D224&lt;=(TODAY()+3))</formula>
    </cfRule>
    <cfRule type="expression" dxfId="6986" priority="8870" stopIfTrue="1">
      <formula>$B224="Tender Received"</formula>
    </cfRule>
  </conditionalFormatting>
  <conditionalFormatting sqref="C224:P224">
    <cfRule type="expression" dxfId="6985" priority="8867" stopIfTrue="1">
      <formula>AND($B224="Tender Received",$D224&lt;=(TODAY()+3))</formula>
    </cfRule>
    <cfRule type="expression" dxfId="6984" priority="8868" stopIfTrue="1">
      <formula>$B224="Tender Received"</formula>
    </cfRule>
  </conditionalFormatting>
  <conditionalFormatting sqref="Q225:R225">
    <cfRule type="expression" dxfId="6983" priority="8865" stopIfTrue="1">
      <formula>AND($B225="Tender Received",$D225&lt;=(TODAY()+3))</formula>
    </cfRule>
    <cfRule type="expression" dxfId="6982" priority="8866" stopIfTrue="1">
      <formula>$B225="Tender Received"</formula>
    </cfRule>
  </conditionalFormatting>
  <conditionalFormatting sqref="C225:P225">
    <cfRule type="expression" dxfId="6981" priority="8863" stopIfTrue="1">
      <formula>AND($B225="Tender Received",$D225&lt;=(TODAY()+3))</formula>
    </cfRule>
    <cfRule type="expression" dxfId="6980" priority="8864" stopIfTrue="1">
      <formula>$B225="Tender Received"</formula>
    </cfRule>
  </conditionalFormatting>
  <conditionalFormatting sqref="Q226:R226">
    <cfRule type="expression" dxfId="6979" priority="8861" stopIfTrue="1">
      <formula>AND($B226="Tender Received",$D226&lt;=(TODAY()+3))</formula>
    </cfRule>
    <cfRule type="expression" dxfId="6978" priority="8862" stopIfTrue="1">
      <formula>$B226="Tender Received"</formula>
    </cfRule>
  </conditionalFormatting>
  <conditionalFormatting sqref="C226:P226">
    <cfRule type="expression" dxfId="6977" priority="8859" stopIfTrue="1">
      <formula>AND($B226="Tender Received",$D226&lt;=(TODAY()+3))</formula>
    </cfRule>
    <cfRule type="expression" dxfId="6976" priority="8860" stopIfTrue="1">
      <formula>$B226="Tender Received"</formula>
    </cfRule>
  </conditionalFormatting>
  <conditionalFormatting sqref="C227:P227">
    <cfRule type="expression" dxfId="6975" priority="8857" stopIfTrue="1">
      <formula>AND($B227="Tender Received",$D227&lt;=(TODAY()+3))</formula>
    </cfRule>
    <cfRule type="expression" dxfId="6974" priority="8858" stopIfTrue="1">
      <formula>$B227="Tender Received"</formula>
    </cfRule>
  </conditionalFormatting>
  <conditionalFormatting sqref="Q228:R228">
    <cfRule type="expression" dxfId="6973" priority="8855" stopIfTrue="1">
      <formula>AND($B228="Tender Received",$D228&lt;=(TODAY()+3))</formula>
    </cfRule>
    <cfRule type="expression" dxfId="6972" priority="8856" stopIfTrue="1">
      <formula>$B228="Tender Received"</formula>
    </cfRule>
  </conditionalFormatting>
  <conditionalFormatting sqref="C228:P228">
    <cfRule type="expression" dxfId="6971" priority="8853" stopIfTrue="1">
      <formula>AND($B228="Tender Received",$D228&lt;=(TODAY()+3))</formula>
    </cfRule>
    <cfRule type="expression" dxfId="6970" priority="8854" stopIfTrue="1">
      <formula>$B228="Tender Received"</formula>
    </cfRule>
  </conditionalFormatting>
  <conditionalFormatting sqref="C229:P230">
    <cfRule type="expression" dxfId="6969" priority="8851" stopIfTrue="1">
      <formula>AND($B229="Tender Received",$D229&lt;=(TODAY()+3))</formula>
    </cfRule>
    <cfRule type="expression" dxfId="6968" priority="8852" stopIfTrue="1">
      <formula>$B229="Tender Received"</formula>
    </cfRule>
  </conditionalFormatting>
  <conditionalFormatting sqref="C231:P231">
    <cfRule type="expression" dxfId="6967" priority="8849" stopIfTrue="1">
      <formula>AND($B231="Tender Received",$D231&lt;=(TODAY()+3))</formula>
    </cfRule>
    <cfRule type="expression" dxfId="6966" priority="8850" stopIfTrue="1">
      <formula>$B231="Tender Received"</formula>
    </cfRule>
  </conditionalFormatting>
  <conditionalFormatting sqref="Q232">
    <cfRule type="expression" dxfId="6965" priority="8847" stopIfTrue="1">
      <formula>AND($B232="Tender Received",$D232&lt;=(TODAY()+3))</formula>
    </cfRule>
    <cfRule type="expression" dxfId="6964" priority="8848" stopIfTrue="1">
      <formula>$B232="Tender Received"</formula>
    </cfRule>
  </conditionalFormatting>
  <conditionalFormatting sqref="C232:P232">
    <cfRule type="expression" dxfId="6963" priority="8845" stopIfTrue="1">
      <formula>AND($B232="Tender Received",$D232&lt;=(TODAY()+3))</formula>
    </cfRule>
    <cfRule type="expression" dxfId="6962" priority="8846" stopIfTrue="1">
      <formula>$B232="Tender Received"</formula>
    </cfRule>
  </conditionalFormatting>
  <conditionalFormatting sqref="C233:P233">
    <cfRule type="expression" dxfId="6961" priority="8843" stopIfTrue="1">
      <formula>AND($B233="Tender Received",$D233&lt;=(TODAY()+3))</formula>
    </cfRule>
    <cfRule type="expression" dxfId="6960" priority="8844" stopIfTrue="1">
      <formula>$B233="Tender Received"</formula>
    </cfRule>
  </conditionalFormatting>
  <conditionalFormatting sqref="C234:P234">
    <cfRule type="expression" dxfId="6959" priority="8841" stopIfTrue="1">
      <formula>AND($B234="Tender Received",$D234&lt;=(TODAY()+3))</formula>
    </cfRule>
    <cfRule type="expression" dxfId="6958" priority="8842" stopIfTrue="1">
      <formula>$B234="Tender Received"</formula>
    </cfRule>
  </conditionalFormatting>
  <conditionalFormatting sqref="C235:P235">
    <cfRule type="expression" dxfId="6957" priority="8839" stopIfTrue="1">
      <formula>AND($B235="Tender Received",$D235&lt;=(TODAY()+3))</formula>
    </cfRule>
    <cfRule type="expression" dxfId="6956" priority="8840" stopIfTrue="1">
      <formula>$B235="Tender Received"</formula>
    </cfRule>
  </conditionalFormatting>
  <conditionalFormatting sqref="Q236">
    <cfRule type="expression" dxfId="6955" priority="8837" stopIfTrue="1">
      <formula>AND($B236="Tender Received",$D236&lt;=(TODAY()+3))</formula>
    </cfRule>
    <cfRule type="expression" dxfId="6954" priority="8838" stopIfTrue="1">
      <formula>$B236="Tender Received"</formula>
    </cfRule>
  </conditionalFormatting>
  <conditionalFormatting sqref="F236:I236 K236:P236">
    <cfRule type="expression" dxfId="6953" priority="8835" stopIfTrue="1">
      <formula>AND($B236="Tender Received",$D236&lt;=(TODAY()+3))</formula>
    </cfRule>
    <cfRule type="expression" dxfId="6952" priority="8836" stopIfTrue="1">
      <formula>$B236="Tender Received"</formula>
    </cfRule>
  </conditionalFormatting>
  <conditionalFormatting sqref="E236">
    <cfRule type="expression" dxfId="6951" priority="8833" stopIfTrue="1">
      <formula>AND($B236="Tender Received",$D236&lt;=(TODAY()+3))</formula>
    </cfRule>
    <cfRule type="expression" dxfId="6950" priority="8834" stopIfTrue="1">
      <formula>$B236="Tender Received"</formula>
    </cfRule>
  </conditionalFormatting>
  <conditionalFormatting sqref="C236:D236">
    <cfRule type="expression" dxfId="6949" priority="8831" stopIfTrue="1">
      <formula>AND($B236="Tender Received",$D236&lt;=(TODAY()+3))</formula>
    </cfRule>
    <cfRule type="expression" dxfId="6948" priority="8832" stopIfTrue="1">
      <formula>$B236="Tender Received"</formula>
    </cfRule>
  </conditionalFormatting>
  <conditionalFormatting sqref="J236">
    <cfRule type="expression" dxfId="6947" priority="8829" stopIfTrue="1">
      <formula>AND($B236="Tender Received",$D236&lt;=(TODAY()+3))</formula>
    </cfRule>
    <cfRule type="expression" dxfId="6946" priority="8830" stopIfTrue="1">
      <formula>$B236="Tender Received"</formula>
    </cfRule>
  </conditionalFormatting>
  <conditionalFormatting sqref="R237">
    <cfRule type="expression" dxfId="6945" priority="8827" stopIfTrue="1">
      <formula>AND($B237="Tender Received",$D237&lt;=(TODAY()+3))</formula>
    </cfRule>
    <cfRule type="expression" dxfId="6944" priority="8828" stopIfTrue="1">
      <formula>$B237="Tender Received"</formula>
    </cfRule>
  </conditionalFormatting>
  <conditionalFormatting sqref="Q237">
    <cfRule type="expression" dxfId="6943" priority="8825" stopIfTrue="1">
      <formula>AND($B237="Tender Received",$D237&lt;=(TODAY()+3))</formula>
    </cfRule>
    <cfRule type="expression" dxfId="6942" priority="8826" stopIfTrue="1">
      <formula>$B237="Tender Received"</formula>
    </cfRule>
  </conditionalFormatting>
  <conditionalFormatting sqref="F237:I237 K237:P237">
    <cfRule type="expression" dxfId="6941" priority="8823" stopIfTrue="1">
      <formula>AND($B237="Tender Received",$D237&lt;=(TODAY()+3))</formula>
    </cfRule>
    <cfRule type="expression" dxfId="6940" priority="8824" stopIfTrue="1">
      <formula>$B237="Tender Received"</formula>
    </cfRule>
  </conditionalFormatting>
  <conditionalFormatting sqref="E237">
    <cfRule type="expression" dxfId="6939" priority="8821" stopIfTrue="1">
      <formula>AND($B237="Tender Received",$D237&lt;=(TODAY()+3))</formula>
    </cfRule>
    <cfRule type="expression" dxfId="6938" priority="8822" stopIfTrue="1">
      <formula>$B237="Tender Received"</formula>
    </cfRule>
  </conditionalFormatting>
  <conditionalFormatting sqref="C237:D237">
    <cfRule type="expression" dxfId="6937" priority="8819" stopIfTrue="1">
      <formula>AND($B237="Tender Received",$D237&lt;=(TODAY()+3))</formula>
    </cfRule>
    <cfRule type="expression" dxfId="6936" priority="8820" stopIfTrue="1">
      <formula>$B237="Tender Received"</formula>
    </cfRule>
  </conditionalFormatting>
  <conditionalFormatting sqref="J237">
    <cfRule type="expression" dxfId="6935" priority="8817" stopIfTrue="1">
      <formula>AND($B237="Tender Received",$D237&lt;=(TODAY()+3))</formula>
    </cfRule>
    <cfRule type="expression" dxfId="6934" priority="8818" stopIfTrue="1">
      <formula>$B237="Tender Received"</formula>
    </cfRule>
  </conditionalFormatting>
  <conditionalFormatting sqref="K238 M238:P238 F238:G238">
    <cfRule type="expression" dxfId="6933" priority="8815" stopIfTrue="1">
      <formula>AND($B238="Tender Received",$D238&lt;=(TODAY()+3))</formula>
    </cfRule>
    <cfRule type="expression" dxfId="6932" priority="8816" stopIfTrue="1">
      <formula>$B238="Tender Received"</formula>
    </cfRule>
  </conditionalFormatting>
  <conditionalFormatting sqref="E238">
    <cfRule type="expression" dxfId="6931" priority="8813" stopIfTrue="1">
      <formula>AND($B238="Tender Received",$D238&lt;=(TODAY()+3))</formula>
    </cfRule>
    <cfRule type="expression" dxfId="6930" priority="8814" stopIfTrue="1">
      <formula>$B238="Tender Received"</formula>
    </cfRule>
  </conditionalFormatting>
  <conditionalFormatting sqref="C238:D238">
    <cfRule type="expression" dxfId="6929" priority="8811" stopIfTrue="1">
      <formula>AND($B238="Tender Received",$D238&lt;=(TODAY()+3))</formula>
    </cfRule>
    <cfRule type="expression" dxfId="6928" priority="8812" stopIfTrue="1">
      <formula>$B238="Tender Received"</formula>
    </cfRule>
  </conditionalFormatting>
  <conditionalFormatting sqref="J238">
    <cfRule type="expression" dxfId="6927" priority="8809" stopIfTrue="1">
      <formula>AND($B238="Tender Received",$D238&lt;=(TODAY()+3))</formula>
    </cfRule>
    <cfRule type="expression" dxfId="6926" priority="8810" stopIfTrue="1">
      <formula>$B238="Tender Received"</formula>
    </cfRule>
  </conditionalFormatting>
  <conditionalFormatting sqref="L238">
    <cfRule type="expression" dxfId="6925" priority="8807" stopIfTrue="1">
      <formula>AND($B238="Tender Received",$D238&lt;=(TODAY()+3))</formula>
    </cfRule>
    <cfRule type="expression" dxfId="6924" priority="8808" stopIfTrue="1">
      <formula>$B238="Tender Received"</formula>
    </cfRule>
  </conditionalFormatting>
  <conditionalFormatting sqref="Q239:R239">
    <cfRule type="expression" dxfId="6923" priority="8805" stopIfTrue="1">
      <formula>AND($B239="Tender Received",$D239&lt;=(TODAY()+3))</formula>
    </cfRule>
    <cfRule type="expression" dxfId="6922" priority="8806" stopIfTrue="1">
      <formula>$B239="Tender Received"</formula>
    </cfRule>
  </conditionalFormatting>
  <conditionalFormatting sqref="F239:I239 K239 M239:P239">
    <cfRule type="expression" dxfId="6921" priority="8803" stopIfTrue="1">
      <formula>AND($B239="Tender Received",$D239&lt;=(TODAY()+3))</formula>
    </cfRule>
    <cfRule type="expression" dxfId="6920" priority="8804" stopIfTrue="1">
      <formula>$B239="Tender Received"</formula>
    </cfRule>
  </conditionalFormatting>
  <conditionalFormatting sqref="E239">
    <cfRule type="expression" dxfId="6919" priority="8801" stopIfTrue="1">
      <formula>AND($B239="Tender Received",$D239&lt;=(TODAY()+3))</formula>
    </cfRule>
    <cfRule type="expression" dxfId="6918" priority="8802" stopIfTrue="1">
      <formula>$B239="Tender Received"</formula>
    </cfRule>
  </conditionalFormatting>
  <conditionalFormatting sqref="C239:D239">
    <cfRule type="expression" dxfId="6917" priority="8799" stopIfTrue="1">
      <formula>AND($B239="Tender Received",$D239&lt;=(TODAY()+3))</formula>
    </cfRule>
    <cfRule type="expression" dxfId="6916" priority="8800" stopIfTrue="1">
      <formula>$B239="Tender Received"</formula>
    </cfRule>
  </conditionalFormatting>
  <conditionalFormatting sqref="J239">
    <cfRule type="expression" dxfId="6915" priority="8797" stopIfTrue="1">
      <formula>AND($B239="Tender Received",$D239&lt;=(TODAY()+3))</formula>
    </cfRule>
    <cfRule type="expression" dxfId="6914" priority="8798" stopIfTrue="1">
      <formula>$B239="Tender Received"</formula>
    </cfRule>
  </conditionalFormatting>
  <conditionalFormatting sqref="L239">
    <cfRule type="expression" dxfId="6913" priority="8795" stopIfTrue="1">
      <formula>AND($B239="Tender Received",$D239&lt;=(TODAY()+3))</formula>
    </cfRule>
    <cfRule type="expression" dxfId="6912" priority="8796" stopIfTrue="1">
      <formula>$B239="Tender Received"</formula>
    </cfRule>
  </conditionalFormatting>
  <conditionalFormatting sqref="Q240:R240">
    <cfRule type="expression" dxfId="6911" priority="8793" stopIfTrue="1">
      <formula>AND($B240="Tender Received",$D240&lt;=(TODAY()+3))</formula>
    </cfRule>
    <cfRule type="expression" dxfId="6910" priority="8794" stopIfTrue="1">
      <formula>$B240="Tender Received"</formula>
    </cfRule>
  </conditionalFormatting>
  <conditionalFormatting sqref="F240:I240 K240 M240:P240">
    <cfRule type="expression" dxfId="6909" priority="8791" stopIfTrue="1">
      <formula>AND($B240="Tender Received",$D240&lt;=(TODAY()+3))</formula>
    </cfRule>
    <cfRule type="expression" dxfId="6908" priority="8792" stopIfTrue="1">
      <formula>$B240="Tender Received"</formula>
    </cfRule>
  </conditionalFormatting>
  <conditionalFormatting sqref="E240">
    <cfRule type="expression" dxfId="6907" priority="8789" stopIfTrue="1">
      <formula>AND($B240="Tender Received",$D240&lt;=(TODAY()+3))</formula>
    </cfRule>
    <cfRule type="expression" dxfId="6906" priority="8790" stopIfTrue="1">
      <formula>$B240="Tender Received"</formula>
    </cfRule>
  </conditionalFormatting>
  <conditionalFormatting sqref="C240:D240">
    <cfRule type="expression" dxfId="6905" priority="8787" stopIfTrue="1">
      <formula>AND($B240="Tender Received",$D240&lt;=(TODAY()+3))</formula>
    </cfRule>
    <cfRule type="expression" dxfId="6904" priority="8788" stopIfTrue="1">
      <formula>$B240="Tender Received"</formula>
    </cfRule>
  </conditionalFormatting>
  <conditionalFormatting sqref="J240">
    <cfRule type="expression" dxfId="6903" priority="8785" stopIfTrue="1">
      <formula>AND($B240="Tender Received",$D240&lt;=(TODAY()+3))</formula>
    </cfRule>
    <cfRule type="expression" dxfId="6902" priority="8786" stopIfTrue="1">
      <formula>$B240="Tender Received"</formula>
    </cfRule>
  </conditionalFormatting>
  <conditionalFormatting sqref="L240">
    <cfRule type="expression" dxfId="6901" priority="8783" stopIfTrue="1">
      <formula>AND($B240="Tender Received",$D240&lt;=(TODAY()+3))</formula>
    </cfRule>
    <cfRule type="expression" dxfId="6900" priority="8784" stopIfTrue="1">
      <formula>$B240="Tender Received"</formula>
    </cfRule>
  </conditionalFormatting>
  <conditionalFormatting sqref="F241:I241 K241 M241:P241">
    <cfRule type="expression" dxfId="6899" priority="8781" stopIfTrue="1">
      <formula>AND($B241="Tender Received",$D241&lt;=(TODAY()+3))</formula>
    </cfRule>
    <cfRule type="expression" dxfId="6898" priority="8782" stopIfTrue="1">
      <formula>$B241="Tender Received"</formula>
    </cfRule>
  </conditionalFormatting>
  <conditionalFormatting sqref="E241">
    <cfRule type="expression" dxfId="6897" priority="8779" stopIfTrue="1">
      <formula>AND($B241="Tender Received",$D241&lt;=(TODAY()+3))</formula>
    </cfRule>
    <cfRule type="expression" dxfId="6896" priority="8780" stopIfTrue="1">
      <formula>$B241="Tender Received"</formula>
    </cfRule>
  </conditionalFormatting>
  <conditionalFormatting sqref="C241:D241">
    <cfRule type="expression" dxfId="6895" priority="8777" stopIfTrue="1">
      <formula>AND($B241="Tender Received",$D241&lt;=(TODAY()+3))</formula>
    </cfRule>
    <cfRule type="expression" dxfId="6894" priority="8778" stopIfTrue="1">
      <formula>$B241="Tender Received"</formula>
    </cfRule>
  </conditionalFormatting>
  <conditionalFormatting sqref="J241">
    <cfRule type="expression" dxfId="6893" priority="8775" stopIfTrue="1">
      <formula>AND($B241="Tender Received",$D241&lt;=(TODAY()+3))</formula>
    </cfRule>
    <cfRule type="expression" dxfId="6892" priority="8776" stopIfTrue="1">
      <formula>$B241="Tender Received"</formula>
    </cfRule>
  </conditionalFormatting>
  <conditionalFormatting sqref="L241">
    <cfRule type="expression" dxfId="6891" priority="8773" stopIfTrue="1">
      <formula>AND($B241="Tender Received",$D241&lt;=(TODAY()+3))</formula>
    </cfRule>
    <cfRule type="expression" dxfId="6890" priority="8774" stopIfTrue="1">
      <formula>$B241="Tender Received"</formula>
    </cfRule>
  </conditionalFormatting>
  <conditionalFormatting sqref="Q242">
    <cfRule type="expression" dxfId="6889" priority="8771" stopIfTrue="1">
      <formula>AND($B242="Tender Received",$D242&lt;=(TODAY()+3))</formula>
    </cfRule>
    <cfRule type="expression" dxfId="6888" priority="8772" stopIfTrue="1">
      <formula>$B242="Tender Received"</formula>
    </cfRule>
  </conditionalFormatting>
  <conditionalFormatting sqref="F242:I242 K242 M242:P242">
    <cfRule type="expression" dxfId="6887" priority="8769" stopIfTrue="1">
      <formula>AND($B242="Tender Received",$D242&lt;=(TODAY()+3))</formula>
    </cfRule>
    <cfRule type="expression" dxfId="6886" priority="8770" stopIfTrue="1">
      <formula>$B242="Tender Received"</formula>
    </cfRule>
  </conditionalFormatting>
  <conditionalFormatting sqref="E242">
    <cfRule type="expression" dxfId="6885" priority="8767" stopIfTrue="1">
      <formula>AND($B242="Tender Received",$D242&lt;=(TODAY()+3))</formula>
    </cfRule>
    <cfRule type="expression" dxfId="6884" priority="8768" stopIfTrue="1">
      <formula>$B242="Tender Received"</formula>
    </cfRule>
  </conditionalFormatting>
  <conditionalFormatting sqref="C242:D242">
    <cfRule type="expression" dxfId="6883" priority="8765" stopIfTrue="1">
      <formula>AND($B242="Tender Received",$D242&lt;=(TODAY()+3))</formula>
    </cfRule>
    <cfRule type="expression" dxfId="6882" priority="8766" stopIfTrue="1">
      <formula>$B242="Tender Received"</formula>
    </cfRule>
  </conditionalFormatting>
  <conditionalFormatting sqref="L242">
    <cfRule type="expression" dxfId="6881" priority="8763" stopIfTrue="1">
      <formula>AND($B242="Tender Received",$D242&lt;=(TODAY()+3))</formula>
    </cfRule>
    <cfRule type="expression" dxfId="6880" priority="8764" stopIfTrue="1">
      <formula>$B242="Tender Received"</formula>
    </cfRule>
  </conditionalFormatting>
  <conditionalFormatting sqref="J242">
    <cfRule type="expression" dxfId="6879" priority="8761" stopIfTrue="1">
      <formula>AND($B242="Tender Received",$D242&lt;=(TODAY()+3))</formula>
    </cfRule>
    <cfRule type="expression" dxfId="6878" priority="8762" stopIfTrue="1">
      <formula>$B242="Tender Received"</formula>
    </cfRule>
  </conditionalFormatting>
  <conditionalFormatting sqref="R243">
    <cfRule type="expression" dxfId="6877" priority="8759" stopIfTrue="1">
      <formula>AND($B243="Tender Received",$D243&lt;=(TODAY()+3))</formula>
    </cfRule>
    <cfRule type="expression" dxfId="6876" priority="8760" stopIfTrue="1">
      <formula>$B243="Tender Received"</formula>
    </cfRule>
  </conditionalFormatting>
  <conditionalFormatting sqref="Q243">
    <cfRule type="expression" dxfId="6875" priority="8757" stopIfTrue="1">
      <formula>AND($B243="Tender Received",$D243&lt;=(TODAY()+3))</formula>
    </cfRule>
    <cfRule type="expression" dxfId="6874" priority="8758" stopIfTrue="1">
      <formula>$B243="Tender Received"</formula>
    </cfRule>
  </conditionalFormatting>
  <conditionalFormatting sqref="F243:I243 K243 M243:P243">
    <cfRule type="expression" dxfId="6873" priority="8755" stopIfTrue="1">
      <formula>AND($B243="Tender Received",$D243&lt;=(TODAY()+3))</formula>
    </cfRule>
    <cfRule type="expression" dxfId="6872" priority="8756" stopIfTrue="1">
      <formula>$B243="Tender Received"</formula>
    </cfRule>
  </conditionalFormatting>
  <conditionalFormatting sqref="E243">
    <cfRule type="expression" dxfId="6871" priority="8753" stopIfTrue="1">
      <formula>AND($B243="Tender Received",$D243&lt;=(TODAY()+3))</formula>
    </cfRule>
    <cfRule type="expression" dxfId="6870" priority="8754" stopIfTrue="1">
      <formula>$B243="Tender Received"</formula>
    </cfRule>
  </conditionalFormatting>
  <conditionalFormatting sqref="C243:D243">
    <cfRule type="expression" dxfId="6869" priority="8751" stopIfTrue="1">
      <formula>AND($B243="Tender Received",$D243&lt;=(TODAY()+3))</formula>
    </cfRule>
    <cfRule type="expression" dxfId="6868" priority="8752" stopIfTrue="1">
      <formula>$B243="Tender Received"</formula>
    </cfRule>
  </conditionalFormatting>
  <conditionalFormatting sqref="L243">
    <cfRule type="expression" dxfId="6867" priority="8749" stopIfTrue="1">
      <formula>AND($B243="Tender Received",$D243&lt;=(TODAY()+3))</formula>
    </cfRule>
    <cfRule type="expression" dxfId="6866" priority="8750" stopIfTrue="1">
      <formula>$B243="Tender Received"</formula>
    </cfRule>
  </conditionalFormatting>
  <conditionalFormatting sqref="J243">
    <cfRule type="expression" dxfId="6865" priority="8747" stopIfTrue="1">
      <formula>AND($B243="Tender Received",$D243&lt;=(TODAY()+3))</formula>
    </cfRule>
    <cfRule type="expression" dxfId="6864" priority="8748" stopIfTrue="1">
      <formula>$B243="Tender Received"</formula>
    </cfRule>
  </conditionalFormatting>
  <conditionalFormatting sqref="R244">
    <cfRule type="expression" dxfId="6863" priority="8745" stopIfTrue="1">
      <formula>AND($B244="Tender Received",$D244&lt;=(TODAY()+3))</formula>
    </cfRule>
    <cfRule type="expression" dxfId="6862" priority="8746" stopIfTrue="1">
      <formula>$B244="Tender Received"</formula>
    </cfRule>
  </conditionalFormatting>
  <conditionalFormatting sqref="Q244">
    <cfRule type="expression" dxfId="6861" priority="8743" stopIfTrue="1">
      <formula>AND($B244="Tender Received",$D244&lt;=(TODAY()+3))</formula>
    </cfRule>
    <cfRule type="expression" dxfId="6860" priority="8744" stopIfTrue="1">
      <formula>$B244="Tender Received"</formula>
    </cfRule>
  </conditionalFormatting>
  <conditionalFormatting sqref="F244:I244 K244 M244:P244">
    <cfRule type="expression" dxfId="6859" priority="8741" stopIfTrue="1">
      <formula>AND($B244="Tender Received",$D244&lt;=(TODAY()+3))</formula>
    </cfRule>
    <cfRule type="expression" dxfId="6858" priority="8742" stopIfTrue="1">
      <formula>$B244="Tender Received"</formula>
    </cfRule>
  </conditionalFormatting>
  <conditionalFormatting sqref="E244">
    <cfRule type="expression" dxfId="6857" priority="8739" stopIfTrue="1">
      <formula>AND($B244="Tender Received",$D244&lt;=(TODAY()+3))</formula>
    </cfRule>
    <cfRule type="expression" dxfId="6856" priority="8740" stopIfTrue="1">
      <formula>$B244="Tender Received"</formula>
    </cfRule>
  </conditionalFormatting>
  <conditionalFormatting sqref="C244:D244">
    <cfRule type="expression" dxfId="6855" priority="8737" stopIfTrue="1">
      <formula>AND($B244="Tender Received",$D244&lt;=(TODAY()+3))</formula>
    </cfRule>
    <cfRule type="expression" dxfId="6854" priority="8738" stopIfTrue="1">
      <formula>$B244="Tender Received"</formula>
    </cfRule>
  </conditionalFormatting>
  <conditionalFormatting sqref="L244">
    <cfRule type="expression" dxfId="6853" priority="8735" stopIfTrue="1">
      <formula>AND($B244="Tender Received",$D244&lt;=(TODAY()+3))</formula>
    </cfRule>
    <cfRule type="expression" dxfId="6852" priority="8736" stopIfTrue="1">
      <formula>$B244="Tender Received"</formula>
    </cfRule>
  </conditionalFormatting>
  <conditionalFormatting sqref="J244">
    <cfRule type="expression" dxfId="6851" priority="8733" stopIfTrue="1">
      <formula>AND($B244="Tender Received",$D244&lt;=(TODAY()+3))</formula>
    </cfRule>
    <cfRule type="expression" dxfId="6850" priority="8734" stopIfTrue="1">
      <formula>$B244="Tender Received"</formula>
    </cfRule>
  </conditionalFormatting>
  <conditionalFormatting sqref="R245">
    <cfRule type="expression" dxfId="6849" priority="8731" stopIfTrue="1">
      <formula>AND($B245="Tender Received",$D245&lt;=(TODAY()+3))</formula>
    </cfRule>
    <cfRule type="expression" dxfId="6848" priority="8732" stopIfTrue="1">
      <formula>$B245="Tender Received"</formula>
    </cfRule>
  </conditionalFormatting>
  <conditionalFormatting sqref="Q245">
    <cfRule type="expression" dxfId="6847" priority="8729" stopIfTrue="1">
      <formula>AND($B245="Tender Received",$D245&lt;=(TODAY()+3))</formula>
    </cfRule>
    <cfRule type="expression" dxfId="6846" priority="8730" stopIfTrue="1">
      <formula>$B245="Tender Received"</formula>
    </cfRule>
  </conditionalFormatting>
  <conditionalFormatting sqref="F245:I245 K245 M245:P245">
    <cfRule type="expression" dxfId="6845" priority="8727" stopIfTrue="1">
      <formula>AND($B245="Tender Received",$D245&lt;=(TODAY()+3))</formula>
    </cfRule>
    <cfRule type="expression" dxfId="6844" priority="8728" stopIfTrue="1">
      <formula>$B245="Tender Received"</formula>
    </cfRule>
  </conditionalFormatting>
  <conditionalFormatting sqref="E245">
    <cfRule type="expression" dxfId="6843" priority="8725" stopIfTrue="1">
      <formula>AND($B245="Tender Received",$D245&lt;=(TODAY()+3))</formula>
    </cfRule>
    <cfRule type="expression" dxfId="6842" priority="8726" stopIfTrue="1">
      <formula>$B245="Tender Received"</formula>
    </cfRule>
  </conditionalFormatting>
  <conditionalFormatting sqref="C245:D245">
    <cfRule type="expression" dxfId="6841" priority="8723" stopIfTrue="1">
      <formula>AND($B245="Tender Received",$D245&lt;=(TODAY()+3))</formula>
    </cfRule>
    <cfRule type="expression" dxfId="6840" priority="8724" stopIfTrue="1">
      <formula>$B245="Tender Received"</formula>
    </cfRule>
  </conditionalFormatting>
  <conditionalFormatting sqref="L245">
    <cfRule type="expression" dxfId="6839" priority="8721" stopIfTrue="1">
      <formula>AND($B245="Tender Received",$D245&lt;=(TODAY()+3))</formula>
    </cfRule>
    <cfRule type="expression" dxfId="6838" priority="8722" stopIfTrue="1">
      <formula>$B245="Tender Received"</formula>
    </cfRule>
  </conditionalFormatting>
  <conditionalFormatting sqref="J245">
    <cfRule type="expression" dxfId="6837" priority="8719" stopIfTrue="1">
      <formula>AND($B245="Tender Received",$D245&lt;=(TODAY()+3))</formula>
    </cfRule>
    <cfRule type="expression" dxfId="6836" priority="8720" stopIfTrue="1">
      <formula>$B245="Tender Received"</formula>
    </cfRule>
  </conditionalFormatting>
  <conditionalFormatting sqref="R246">
    <cfRule type="expression" dxfId="6835" priority="8717" stopIfTrue="1">
      <formula>AND($B246="Tender Received",$D246&lt;=(TODAY()+3))</formula>
    </cfRule>
    <cfRule type="expression" dxfId="6834" priority="8718" stopIfTrue="1">
      <formula>$B246="Tender Received"</formula>
    </cfRule>
  </conditionalFormatting>
  <conditionalFormatting sqref="Q246">
    <cfRule type="expression" dxfId="6833" priority="8715" stopIfTrue="1">
      <formula>AND($B246="Tender Received",$D246&lt;=(TODAY()+3))</formula>
    </cfRule>
    <cfRule type="expression" dxfId="6832" priority="8716" stopIfTrue="1">
      <formula>$B246="Tender Received"</formula>
    </cfRule>
  </conditionalFormatting>
  <conditionalFormatting sqref="F246:I246 M246:P246">
    <cfRule type="expression" dxfId="6831" priority="8713" stopIfTrue="1">
      <formula>AND($B246="Tender Received",$D246&lt;=(TODAY()+3))</formula>
    </cfRule>
    <cfRule type="expression" dxfId="6830" priority="8714" stopIfTrue="1">
      <formula>$B246="Tender Received"</formula>
    </cfRule>
  </conditionalFormatting>
  <conditionalFormatting sqref="E246">
    <cfRule type="expression" dxfId="6829" priority="8711" stopIfTrue="1">
      <formula>AND($B246="Tender Received",$D246&lt;=(TODAY()+3))</formula>
    </cfRule>
    <cfRule type="expression" dxfId="6828" priority="8712" stopIfTrue="1">
      <formula>$B246="Tender Received"</formula>
    </cfRule>
  </conditionalFormatting>
  <conditionalFormatting sqref="C246:D246">
    <cfRule type="expression" dxfId="6827" priority="8709" stopIfTrue="1">
      <formula>AND($B246="Tender Received",$D246&lt;=(TODAY()+3))</formula>
    </cfRule>
    <cfRule type="expression" dxfId="6826" priority="8710" stopIfTrue="1">
      <formula>$B246="Tender Received"</formula>
    </cfRule>
  </conditionalFormatting>
  <conditionalFormatting sqref="L246">
    <cfRule type="expression" dxfId="6825" priority="8707" stopIfTrue="1">
      <formula>AND($B246="Tender Received",$D246&lt;=(TODAY()+3))</formula>
    </cfRule>
    <cfRule type="expression" dxfId="6824" priority="8708" stopIfTrue="1">
      <formula>$B246="Tender Received"</formula>
    </cfRule>
  </conditionalFormatting>
  <conditionalFormatting sqref="J246">
    <cfRule type="expression" dxfId="6823" priority="8705" stopIfTrue="1">
      <formula>AND($B246="Tender Received",$D246&lt;=(TODAY()+3))</formula>
    </cfRule>
    <cfRule type="expression" dxfId="6822" priority="8706" stopIfTrue="1">
      <formula>$B246="Tender Received"</formula>
    </cfRule>
  </conditionalFormatting>
  <conditionalFormatting sqref="K246">
    <cfRule type="expression" dxfId="6821" priority="8703" stopIfTrue="1">
      <formula>AND($B246="Tender Received",$D246&lt;=(TODAY()+3))</formula>
    </cfRule>
    <cfRule type="expression" dxfId="6820" priority="8704" stopIfTrue="1">
      <formula>$B246="Tender Received"</formula>
    </cfRule>
  </conditionalFormatting>
  <conditionalFormatting sqref="R247">
    <cfRule type="expression" dxfId="6819" priority="8701" stopIfTrue="1">
      <formula>AND($B247="Tender Received",$D247&lt;=(TODAY()+3))</formula>
    </cfRule>
    <cfRule type="expression" dxfId="6818" priority="8702" stopIfTrue="1">
      <formula>$B247="Tender Received"</formula>
    </cfRule>
  </conditionalFormatting>
  <conditionalFormatting sqref="Q247">
    <cfRule type="expression" dxfId="6817" priority="8699" stopIfTrue="1">
      <formula>AND($B247="Tender Received",$D247&lt;=(TODAY()+3))</formula>
    </cfRule>
    <cfRule type="expression" dxfId="6816" priority="8700" stopIfTrue="1">
      <formula>$B247="Tender Received"</formula>
    </cfRule>
  </conditionalFormatting>
  <conditionalFormatting sqref="F247:I247 K247 M247:P247">
    <cfRule type="expression" dxfId="6815" priority="8697" stopIfTrue="1">
      <formula>AND($B247="Tender Received",$D247&lt;=(TODAY()+3))</formula>
    </cfRule>
    <cfRule type="expression" dxfId="6814" priority="8698" stopIfTrue="1">
      <formula>$B247="Tender Received"</formula>
    </cfRule>
  </conditionalFormatting>
  <conditionalFormatting sqref="E247">
    <cfRule type="expression" dxfId="6813" priority="8695" stopIfTrue="1">
      <formula>AND($B247="Tender Received",$D247&lt;=(TODAY()+3))</formula>
    </cfRule>
    <cfRule type="expression" dxfId="6812" priority="8696" stopIfTrue="1">
      <formula>$B247="Tender Received"</formula>
    </cfRule>
  </conditionalFormatting>
  <conditionalFormatting sqref="C247:D247">
    <cfRule type="expression" dxfId="6811" priority="8693" stopIfTrue="1">
      <formula>AND($B247="Tender Received",$D247&lt;=(TODAY()+3))</formula>
    </cfRule>
    <cfRule type="expression" dxfId="6810" priority="8694" stopIfTrue="1">
      <formula>$B247="Tender Received"</formula>
    </cfRule>
  </conditionalFormatting>
  <conditionalFormatting sqref="L247">
    <cfRule type="expression" dxfId="6809" priority="8691" stopIfTrue="1">
      <formula>AND($B247="Tender Received",$D247&lt;=(TODAY()+3))</formula>
    </cfRule>
    <cfRule type="expression" dxfId="6808" priority="8692" stopIfTrue="1">
      <formula>$B247="Tender Received"</formula>
    </cfRule>
  </conditionalFormatting>
  <conditionalFormatting sqref="J247">
    <cfRule type="expression" dxfId="6807" priority="8689" stopIfTrue="1">
      <formula>AND($B247="Tender Received",$D247&lt;=(TODAY()+3))</formula>
    </cfRule>
    <cfRule type="expression" dxfId="6806" priority="8690" stopIfTrue="1">
      <formula>$B247="Tender Received"</formula>
    </cfRule>
  </conditionalFormatting>
  <conditionalFormatting sqref="K253 F253:I253">
    <cfRule type="expression" dxfId="6805" priority="8687" stopIfTrue="1">
      <formula>AND($B253="Tender Received",$D253&lt;=(TODAY()+3))</formula>
    </cfRule>
    <cfRule type="expression" dxfId="6804" priority="8688" stopIfTrue="1">
      <formula>$B253="Tender Received"</formula>
    </cfRule>
  </conditionalFormatting>
  <conditionalFormatting sqref="E253">
    <cfRule type="expression" dxfId="6803" priority="8685" stopIfTrue="1">
      <formula>AND($B253="Tender Received",$D253&lt;=(TODAY()+3))</formula>
    </cfRule>
    <cfRule type="expression" dxfId="6802" priority="8686" stopIfTrue="1">
      <formula>$B253="Tender Received"</formula>
    </cfRule>
  </conditionalFormatting>
  <conditionalFormatting sqref="C253:D253">
    <cfRule type="expression" dxfId="6801" priority="8683" stopIfTrue="1">
      <formula>AND($B253="Tender Received",$D253&lt;=(TODAY()+3))</formula>
    </cfRule>
    <cfRule type="expression" dxfId="6800" priority="8684" stopIfTrue="1">
      <formula>$B253="Tender Received"</formula>
    </cfRule>
  </conditionalFormatting>
  <conditionalFormatting sqref="J253">
    <cfRule type="expression" dxfId="6799" priority="8681" stopIfTrue="1">
      <formula>AND($B253="Tender Received",$D253&lt;=(TODAY()+3))</formula>
    </cfRule>
    <cfRule type="expression" dxfId="6798" priority="8682" stopIfTrue="1">
      <formula>$B253="Tender Received"</formula>
    </cfRule>
  </conditionalFormatting>
  <conditionalFormatting sqref="L254:R254">
    <cfRule type="expression" dxfId="6797" priority="8679" stopIfTrue="1">
      <formula>AND($B254="Tender Received",$D254&lt;=(TODAY()+3))</formula>
    </cfRule>
    <cfRule type="expression" dxfId="6796" priority="8680" stopIfTrue="1">
      <formula>$B254="Tender Received"</formula>
    </cfRule>
  </conditionalFormatting>
  <conditionalFormatting sqref="F254">
    <cfRule type="expression" dxfId="6795" priority="8677" stopIfTrue="1">
      <formula>AND($B254="Tender Received",$D254&lt;=(TODAY()+3))</formula>
    </cfRule>
    <cfRule type="expression" dxfId="6794" priority="8678" stopIfTrue="1">
      <formula>$B254="Tender Received"</formula>
    </cfRule>
  </conditionalFormatting>
  <conditionalFormatting sqref="D254">
    <cfRule type="expression" dxfId="6793" priority="8675" stopIfTrue="1">
      <formula>AND($B254="Tender Received",$D254&lt;=(TODAY()+3))</formula>
    </cfRule>
    <cfRule type="expression" dxfId="6792" priority="8676" stopIfTrue="1">
      <formula>$B254="Tender Received"</formula>
    </cfRule>
  </conditionalFormatting>
  <conditionalFormatting sqref="K254 F254:I254">
    <cfRule type="expression" dxfId="6791" priority="8673" stopIfTrue="1">
      <formula>AND($B254="Tender Received",$D254&lt;=(TODAY()+3))</formula>
    </cfRule>
    <cfRule type="expression" dxfId="6790" priority="8674" stopIfTrue="1">
      <formula>$B254="Tender Received"</formula>
    </cfRule>
  </conditionalFormatting>
  <conditionalFormatting sqref="E254">
    <cfRule type="expression" dxfId="6789" priority="8671" stopIfTrue="1">
      <formula>AND($B254="Tender Received",$D254&lt;=(TODAY()+3))</formula>
    </cfRule>
    <cfRule type="expression" dxfId="6788" priority="8672" stopIfTrue="1">
      <formula>$B254="Tender Received"</formula>
    </cfRule>
  </conditionalFormatting>
  <conditionalFormatting sqref="C254:D254">
    <cfRule type="expression" dxfId="6787" priority="8669" stopIfTrue="1">
      <formula>AND($B254="Tender Received",$D254&lt;=(TODAY()+3))</formula>
    </cfRule>
    <cfRule type="expression" dxfId="6786" priority="8670" stopIfTrue="1">
      <formula>$B254="Tender Received"</formula>
    </cfRule>
  </conditionalFormatting>
  <conditionalFormatting sqref="J254">
    <cfRule type="expression" dxfId="6785" priority="8667" stopIfTrue="1">
      <formula>AND($B254="Tender Received",$D254&lt;=(TODAY()+3))</formula>
    </cfRule>
    <cfRule type="expression" dxfId="6784" priority="8668" stopIfTrue="1">
      <formula>$B254="Tender Received"</formula>
    </cfRule>
  </conditionalFormatting>
  <conditionalFormatting sqref="L255:R255">
    <cfRule type="expression" dxfId="6783" priority="8665" stopIfTrue="1">
      <formula>AND($B255="Tender Received",$D255&lt;=(TODAY()+3))</formula>
    </cfRule>
    <cfRule type="expression" dxfId="6782" priority="8666" stopIfTrue="1">
      <formula>$B255="Tender Received"</formula>
    </cfRule>
  </conditionalFormatting>
  <conditionalFormatting sqref="F255">
    <cfRule type="expression" dxfId="6781" priority="8663" stopIfTrue="1">
      <formula>AND($B255="Tender Received",$D255&lt;=(TODAY()+3))</formula>
    </cfRule>
    <cfRule type="expression" dxfId="6780" priority="8664" stopIfTrue="1">
      <formula>$B255="Tender Received"</formula>
    </cfRule>
  </conditionalFormatting>
  <conditionalFormatting sqref="D255">
    <cfRule type="expression" dxfId="6779" priority="8661" stopIfTrue="1">
      <formula>AND($B255="Tender Received",$D255&lt;=(TODAY()+3))</formula>
    </cfRule>
    <cfRule type="expression" dxfId="6778" priority="8662" stopIfTrue="1">
      <formula>$B255="Tender Received"</formula>
    </cfRule>
  </conditionalFormatting>
  <conditionalFormatting sqref="K255 F255:I255">
    <cfRule type="expression" dxfId="6777" priority="8659" stopIfTrue="1">
      <formula>AND($B255="Tender Received",$D255&lt;=(TODAY()+3))</formula>
    </cfRule>
    <cfRule type="expression" dxfId="6776" priority="8660" stopIfTrue="1">
      <formula>$B255="Tender Received"</formula>
    </cfRule>
  </conditionalFormatting>
  <conditionalFormatting sqref="E255">
    <cfRule type="expression" dxfId="6775" priority="8657" stopIfTrue="1">
      <formula>AND($B255="Tender Received",$D255&lt;=(TODAY()+3))</formula>
    </cfRule>
    <cfRule type="expression" dxfId="6774" priority="8658" stopIfTrue="1">
      <formula>$B255="Tender Received"</formula>
    </cfRule>
  </conditionalFormatting>
  <conditionalFormatting sqref="C255:D255">
    <cfRule type="expression" dxfId="6773" priority="8655" stopIfTrue="1">
      <formula>AND($B255="Tender Received",$D255&lt;=(TODAY()+3))</formula>
    </cfRule>
    <cfRule type="expression" dxfId="6772" priority="8656" stopIfTrue="1">
      <formula>$B255="Tender Received"</formula>
    </cfRule>
  </conditionalFormatting>
  <conditionalFormatting sqref="J255">
    <cfRule type="expression" dxfId="6771" priority="8653" stopIfTrue="1">
      <formula>AND($B255="Tender Received",$D255&lt;=(TODAY()+3))</formula>
    </cfRule>
    <cfRule type="expression" dxfId="6770" priority="8654" stopIfTrue="1">
      <formula>$B255="Tender Received"</formula>
    </cfRule>
  </conditionalFormatting>
  <conditionalFormatting sqref="L256:R256">
    <cfRule type="expression" dxfId="6769" priority="8651" stopIfTrue="1">
      <formula>AND($B256="Tender Received",$D256&lt;=(TODAY()+3))</formula>
    </cfRule>
    <cfRule type="expression" dxfId="6768" priority="8652" stopIfTrue="1">
      <formula>$B256="Tender Received"</formula>
    </cfRule>
  </conditionalFormatting>
  <conditionalFormatting sqref="F256">
    <cfRule type="expression" dxfId="6767" priority="8649" stopIfTrue="1">
      <formula>AND($B256="Tender Received",$D256&lt;=(TODAY()+3))</formula>
    </cfRule>
    <cfRule type="expression" dxfId="6766" priority="8650" stopIfTrue="1">
      <formula>$B256="Tender Received"</formula>
    </cfRule>
  </conditionalFormatting>
  <conditionalFormatting sqref="D256">
    <cfRule type="expression" dxfId="6765" priority="8647" stopIfTrue="1">
      <formula>AND($B256="Tender Received",$D256&lt;=(TODAY()+3))</formula>
    </cfRule>
    <cfRule type="expression" dxfId="6764" priority="8648" stopIfTrue="1">
      <formula>$B256="Tender Received"</formula>
    </cfRule>
  </conditionalFormatting>
  <conditionalFormatting sqref="K256 F256:I256">
    <cfRule type="expression" dxfId="6763" priority="8645" stopIfTrue="1">
      <formula>AND($B256="Tender Received",$D256&lt;=(TODAY()+3))</formula>
    </cfRule>
    <cfRule type="expression" dxfId="6762" priority="8646" stopIfTrue="1">
      <formula>$B256="Tender Received"</formula>
    </cfRule>
  </conditionalFormatting>
  <conditionalFormatting sqref="E256">
    <cfRule type="expression" dxfId="6761" priority="8643" stopIfTrue="1">
      <formula>AND($B256="Tender Received",$D256&lt;=(TODAY()+3))</formula>
    </cfRule>
    <cfRule type="expression" dxfId="6760" priority="8644" stopIfTrue="1">
      <formula>$B256="Tender Received"</formula>
    </cfRule>
  </conditionalFormatting>
  <conditionalFormatting sqref="C256:D256">
    <cfRule type="expression" dxfId="6759" priority="8641" stopIfTrue="1">
      <formula>AND($B256="Tender Received",$D256&lt;=(TODAY()+3))</formula>
    </cfRule>
    <cfRule type="expression" dxfId="6758" priority="8642" stopIfTrue="1">
      <formula>$B256="Tender Received"</formula>
    </cfRule>
  </conditionalFormatting>
  <conditionalFormatting sqref="J256">
    <cfRule type="expression" dxfId="6757" priority="8639" stopIfTrue="1">
      <formula>AND($B256="Tender Received",$D256&lt;=(TODAY()+3))</formula>
    </cfRule>
    <cfRule type="expression" dxfId="6756" priority="8640" stopIfTrue="1">
      <formula>$B256="Tender Received"</formula>
    </cfRule>
  </conditionalFormatting>
  <conditionalFormatting sqref="L257:R257">
    <cfRule type="expression" dxfId="6755" priority="8637" stopIfTrue="1">
      <formula>AND($B257="Tender Received",$D257&lt;=(TODAY()+3))</formula>
    </cfRule>
    <cfRule type="expression" dxfId="6754" priority="8638" stopIfTrue="1">
      <formula>$B257="Tender Received"</formula>
    </cfRule>
  </conditionalFormatting>
  <conditionalFormatting sqref="F257">
    <cfRule type="expression" dxfId="6753" priority="8635" stopIfTrue="1">
      <formula>AND($B257="Tender Received",$D257&lt;=(TODAY()+3))</formula>
    </cfRule>
    <cfRule type="expression" dxfId="6752" priority="8636" stopIfTrue="1">
      <formula>$B257="Tender Received"</formula>
    </cfRule>
  </conditionalFormatting>
  <conditionalFormatting sqref="D257">
    <cfRule type="expression" dxfId="6751" priority="8633" stopIfTrue="1">
      <formula>AND($B257="Tender Received",$D257&lt;=(TODAY()+3))</formula>
    </cfRule>
    <cfRule type="expression" dxfId="6750" priority="8634" stopIfTrue="1">
      <formula>$B257="Tender Received"</formula>
    </cfRule>
  </conditionalFormatting>
  <conditionalFormatting sqref="K257 F257:I257">
    <cfRule type="expression" dxfId="6749" priority="8631" stopIfTrue="1">
      <formula>AND($B257="Tender Received",$D257&lt;=(TODAY()+3))</formula>
    </cfRule>
    <cfRule type="expression" dxfId="6748" priority="8632" stopIfTrue="1">
      <formula>$B257="Tender Received"</formula>
    </cfRule>
  </conditionalFormatting>
  <conditionalFormatting sqref="E257">
    <cfRule type="expression" dxfId="6747" priority="8629" stopIfTrue="1">
      <formula>AND($B257="Tender Received",$D257&lt;=(TODAY()+3))</formula>
    </cfRule>
    <cfRule type="expression" dxfId="6746" priority="8630" stopIfTrue="1">
      <formula>$B257="Tender Received"</formula>
    </cfRule>
  </conditionalFormatting>
  <conditionalFormatting sqref="C257:D257">
    <cfRule type="expression" dxfId="6745" priority="8627" stopIfTrue="1">
      <formula>AND($B257="Tender Received",$D257&lt;=(TODAY()+3))</formula>
    </cfRule>
    <cfRule type="expression" dxfId="6744" priority="8628" stopIfTrue="1">
      <formula>$B257="Tender Received"</formula>
    </cfRule>
  </conditionalFormatting>
  <conditionalFormatting sqref="J257">
    <cfRule type="expression" dxfId="6743" priority="8625" stopIfTrue="1">
      <formula>AND($B257="Tender Received",$D257&lt;=(TODAY()+3))</formula>
    </cfRule>
    <cfRule type="expression" dxfId="6742" priority="8626" stopIfTrue="1">
      <formula>$B257="Tender Received"</formula>
    </cfRule>
  </conditionalFormatting>
  <conditionalFormatting sqref="G257">
    <cfRule type="expression" dxfId="6741" priority="8623" stopIfTrue="1">
      <formula>AND($B257="Tender Received",$D257&lt;=(TODAY()+3))</formula>
    </cfRule>
    <cfRule type="expression" dxfId="6740" priority="8624" stopIfTrue="1">
      <formula>$B257="Tender Received"</formula>
    </cfRule>
  </conditionalFormatting>
  <conditionalFormatting sqref="L258:R258">
    <cfRule type="expression" dxfId="6739" priority="8621" stopIfTrue="1">
      <formula>AND($B258="Tender Received",$D258&lt;=(TODAY()+3))</formula>
    </cfRule>
    <cfRule type="expression" dxfId="6738" priority="8622" stopIfTrue="1">
      <formula>$B258="Tender Received"</formula>
    </cfRule>
  </conditionalFormatting>
  <conditionalFormatting sqref="F258">
    <cfRule type="expression" dxfId="6737" priority="8619" stopIfTrue="1">
      <formula>AND($B258="Tender Received",$D258&lt;=(TODAY()+3))</formula>
    </cfRule>
    <cfRule type="expression" dxfId="6736" priority="8620" stopIfTrue="1">
      <formula>$B258="Tender Received"</formula>
    </cfRule>
  </conditionalFormatting>
  <conditionalFormatting sqref="D258">
    <cfRule type="expression" dxfId="6735" priority="8617" stopIfTrue="1">
      <formula>AND($B258="Tender Received",$D258&lt;=(TODAY()+3))</formula>
    </cfRule>
    <cfRule type="expression" dxfId="6734" priority="8618" stopIfTrue="1">
      <formula>$B258="Tender Received"</formula>
    </cfRule>
  </conditionalFormatting>
  <conditionalFormatting sqref="K258 F258:G258 I258">
    <cfRule type="expression" dxfId="6733" priority="8615" stopIfTrue="1">
      <formula>AND($B258="Tender Received",$D258&lt;=(TODAY()+3))</formula>
    </cfRule>
    <cfRule type="expression" dxfId="6732" priority="8616" stopIfTrue="1">
      <formula>$B258="Tender Received"</formula>
    </cfRule>
  </conditionalFormatting>
  <conditionalFormatting sqref="E258">
    <cfRule type="expression" dxfId="6731" priority="8613" stopIfTrue="1">
      <formula>AND($B258="Tender Received",$D258&lt;=(TODAY()+3))</formula>
    </cfRule>
    <cfRule type="expression" dxfId="6730" priority="8614" stopIfTrue="1">
      <formula>$B258="Tender Received"</formula>
    </cfRule>
  </conditionalFormatting>
  <conditionalFormatting sqref="C258:D258">
    <cfRule type="expression" dxfId="6729" priority="8611" stopIfTrue="1">
      <formula>AND($B258="Tender Received",$D258&lt;=(TODAY()+3))</formula>
    </cfRule>
    <cfRule type="expression" dxfId="6728" priority="8612" stopIfTrue="1">
      <formula>$B258="Tender Received"</formula>
    </cfRule>
  </conditionalFormatting>
  <conditionalFormatting sqref="J258">
    <cfRule type="expression" dxfId="6727" priority="8609" stopIfTrue="1">
      <formula>AND($B258="Tender Received",$D258&lt;=(TODAY()+3))</formula>
    </cfRule>
    <cfRule type="expression" dxfId="6726" priority="8610" stopIfTrue="1">
      <formula>$B258="Tender Received"</formula>
    </cfRule>
  </conditionalFormatting>
  <conditionalFormatting sqref="G258">
    <cfRule type="expression" dxfId="6725" priority="8607" stopIfTrue="1">
      <formula>AND($B258="Tender Received",$D258&lt;=(TODAY()+3))</formula>
    </cfRule>
    <cfRule type="expression" dxfId="6724" priority="8608" stopIfTrue="1">
      <formula>$B258="Tender Received"</formula>
    </cfRule>
  </conditionalFormatting>
  <conditionalFormatting sqref="L259:R259">
    <cfRule type="expression" dxfId="6723" priority="8605" stopIfTrue="1">
      <formula>AND($B259="Tender Received",$D259&lt;=(TODAY()+3))</formula>
    </cfRule>
    <cfRule type="expression" dxfId="6722" priority="8606" stopIfTrue="1">
      <formula>$B259="Tender Received"</formula>
    </cfRule>
  </conditionalFormatting>
  <conditionalFormatting sqref="F259">
    <cfRule type="expression" dxfId="6721" priority="8603" stopIfTrue="1">
      <formula>AND($B259="Tender Received",$D259&lt;=(TODAY()+3))</formula>
    </cfRule>
    <cfRule type="expression" dxfId="6720" priority="8604" stopIfTrue="1">
      <formula>$B259="Tender Received"</formula>
    </cfRule>
  </conditionalFormatting>
  <conditionalFormatting sqref="D259">
    <cfRule type="expression" dxfId="6719" priority="8601" stopIfTrue="1">
      <formula>AND($B259="Tender Received",$D259&lt;=(TODAY()+3))</formula>
    </cfRule>
    <cfRule type="expression" dxfId="6718" priority="8602" stopIfTrue="1">
      <formula>$B259="Tender Received"</formula>
    </cfRule>
  </conditionalFormatting>
  <conditionalFormatting sqref="K259 F259:I259">
    <cfRule type="expression" dxfId="6717" priority="8599" stopIfTrue="1">
      <formula>AND($B259="Tender Received",$D259&lt;=(TODAY()+3))</formula>
    </cfRule>
    <cfRule type="expression" dxfId="6716" priority="8600" stopIfTrue="1">
      <formula>$B259="Tender Received"</formula>
    </cfRule>
  </conditionalFormatting>
  <conditionalFormatting sqref="E259">
    <cfRule type="expression" dxfId="6715" priority="8597" stopIfTrue="1">
      <formula>AND($B259="Tender Received",$D259&lt;=(TODAY()+3))</formula>
    </cfRule>
    <cfRule type="expression" dxfId="6714" priority="8598" stopIfTrue="1">
      <formula>$B259="Tender Received"</formula>
    </cfRule>
  </conditionalFormatting>
  <conditionalFormatting sqref="C259:D259">
    <cfRule type="expression" dxfId="6713" priority="8595" stopIfTrue="1">
      <formula>AND($B259="Tender Received",$D259&lt;=(TODAY()+3))</formula>
    </cfRule>
    <cfRule type="expression" dxfId="6712" priority="8596" stopIfTrue="1">
      <formula>$B259="Tender Received"</formula>
    </cfRule>
  </conditionalFormatting>
  <conditionalFormatting sqref="J259">
    <cfRule type="expression" dxfId="6711" priority="8593" stopIfTrue="1">
      <formula>AND($B259="Tender Received",$D259&lt;=(TODAY()+3))</formula>
    </cfRule>
    <cfRule type="expression" dxfId="6710" priority="8594" stopIfTrue="1">
      <formula>$B259="Tender Received"</formula>
    </cfRule>
  </conditionalFormatting>
  <conditionalFormatting sqref="G259">
    <cfRule type="expression" dxfId="6709" priority="8591" stopIfTrue="1">
      <formula>AND($B259="Tender Received",$D259&lt;=(TODAY()+3))</formula>
    </cfRule>
    <cfRule type="expression" dxfId="6708" priority="8592" stopIfTrue="1">
      <formula>$B259="Tender Received"</formula>
    </cfRule>
  </conditionalFormatting>
  <conditionalFormatting sqref="L260:R260">
    <cfRule type="expression" dxfId="6707" priority="8589" stopIfTrue="1">
      <formula>AND($B260="Tender Received",$D260&lt;=(TODAY()+3))</formula>
    </cfRule>
    <cfRule type="expression" dxfId="6706" priority="8590" stopIfTrue="1">
      <formula>$B260="Tender Received"</formula>
    </cfRule>
  </conditionalFormatting>
  <conditionalFormatting sqref="F260">
    <cfRule type="expression" dxfId="6705" priority="8587" stopIfTrue="1">
      <formula>AND($B260="Tender Received",$D260&lt;=(TODAY()+3))</formula>
    </cfRule>
    <cfRule type="expression" dxfId="6704" priority="8588" stopIfTrue="1">
      <formula>$B260="Tender Received"</formula>
    </cfRule>
  </conditionalFormatting>
  <conditionalFormatting sqref="D260">
    <cfRule type="expression" dxfId="6703" priority="8585" stopIfTrue="1">
      <formula>AND($B260="Tender Received",$D260&lt;=(TODAY()+3))</formula>
    </cfRule>
    <cfRule type="expression" dxfId="6702" priority="8586" stopIfTrue="1">
      <formula>$B260="Tender Received"</formula>
    </cfRule>
  </conditionalFormatting>
  <conditionalFormatting sqref="K260 F260:I260">
    <cfRule type="expression" dxfId="6701" priority="8583" stopIfTrue="1">
      <formula>AND($B260="Tender Received",$D260&lt;=(TODAY()+3))</formula>
    </cfRule>
    <cfRule type="expression" dxfId="6700" priority="8584" stopIfTrue="1">
      <formula>$B260="Tender Received"</formula>
    </cfRule>
  </conditionalFormatting>
  <conditionalFormatting sqref="E260">
    <cfRule type="expression" dxfId="6699" priority="8581" stopIfTrue="1">
      <formula>AND($B260="Tender Received",$D260&lt;=(TODAY()+3))</formula>
    </cfRule>
    <cfRule type="expression" dxfId="6698" priority="8582" stopIfTrue="1">
      <formula>$B260="Tender Received"</formula>
    </cfRule>
  </conditionalFormatting>
  <conditionalFormatting sqref="C260:D260">
    <cfRule type="expression" dxfId="6697" priority="8579" stopIfTrue="1">
      <formula>AND($B260="Tender Received",$D260&lt;=(TODAY()+3))</formula>
    </cfRule>
    <cfRule type="expression" dxfId="6696" priority="8580" stopIfTrue="1">
      <formula>$B260="Tender Received"</formula>
    </cfRule>
  </conditionalFormatting>
  <conditionalFormatting sqref="J260">
    <cfRule type="expression" dxfId="6695" priority="8577" stopIfTrue="1">
      <formula>AND($B260="Tender Received",$D260&lt;=(TODAY()+3))</formula>
    </cfRule>
    <cfRule type="expression" dxfId="6694" priority="8578" stopIfTrue="1">
      <formula>$B260="Tender Received"</formula>
    </cfRule>
  </conditionalFormatting>
  <conditionalFormatting sqref="G260">
    <cfRule type="expression" dxfId="6693" priority="8575" stopIfTrue="1">
      <formula>AND($B260="Tender Received",$D260&lt;=(TODAY()+3))</formula>
    </cfRule>
    <cfRule type="expression" dxfId="6692" priority="8576" stopIfTrue="1">
      <formula>$B260="Tender Received"</formula>
    </cfRule>
  </conditionalFormatting>
  <conditionalFormatting sqref="L261:R261">
    <cfRule type="expression" dxfId="6691" priority="8573" stopIfTrue="1">
      <formula>AND($B261="Tender Received",$D261&lt;=(TODAY()+3))</formula>
    </cfRule>
    <cfRule type="expression" dxfId="6690" priority="8574" stopIfTrue="1">
      <formula>$B261="Tender Received"</formula>
    </cfRule>
  </conditionalFormatting>
  <conditionalFormatting sqref="F261">
    <cfRule type="expression" dxfId="6689" priority="8571" stopIfTrue="1">
      <formula>AND($B261="Tender Received",$D261&lt;=(TODAY()+3))</formula>
    </cfRule>
    <cfRule type="expression" dxfId="6688" priority="8572" stopIfTrue="1">
      <formula>$B261="Tender Received"</formula>
    </cfRule>
  </conditionalFormatting>
  <conditionalFormatting sqref="D261">
    <cfRule type="expression" dxfId="6687" priority="8569" stopIfTrue="1">
      <formula>AND($B261="Tender Received",$D261&lt;=(TODAY()+3))</formula>
    </cfRule>
    <cfRule type="expression" dxfId="6686" priority="8570" stopIfTrue="1">
      <formula>$B261="Tender Received"</formula>
    </cfRule>
  </conditionalFormatting>
  <conditionalFormatting sqref="K261 F261:I261">
    <cfRule type="expression" dxfId="6685" priority="8567" stopIfTrue="1">
      <formula>AND($B261="Tender Received",$D261&lt;=(TODAY()+3))</formula>
    </cfRule>
    <cfRule type="expression" dxfId="6684" priority="8568" stopIfTrue="1">
      <formula>$B261="Tender Received"</formula>
    </cfRule>
  </conditionalFormatting>
  <conditionalFormatting sqref="E261">
    <cfRule type="expression" dxfId="6683" priority="8565" stopIfTrue="1">
      <formula>AND($B261="Tender Received",$D261&lt;=(TODAY()+3))</formula>
    </cfRule>
    <cfRule type="expression" dxfId="6682" priority="8566" stopIfTrue="1">
      <formula>$B261="Tender Received"</formula>
    </cfRule>
  </conditionalFormatting>
  <conditionalFormatting sqref="C261:D261">
    <cfRule type="expression" dxfId="6681" priority="8563" stopIfTrue="1">
      <formula>AND($B261="Tender Received",$D261&lt;=(TODAY()+3))</formula>
    </cfRule>
    <cfRule type="expression" dxfId="6680" priority="8564" stopIfTrue="1">
      <formula>$B261="Tender Received"</formula>
    </cfRule>
  </conditionalFormatting>
  <conditionalFormatting sqref="J261">
    <cfRule type="expression" dxfId="6679" priority="8561" stopIfTrue="1">
      <formula>AND($B261="Tender Received",$D261&lt;=(TODAY()+3))</formula>
    </cfRule>
    <cfRule type="expression" dxfId="6678" priority="8562" stopIfTrue="1">
      <formula>$B261="Tender Received"</formula>
    </cfRule>
  </conditionalFormatting>
  <conditionalFormatting sqref="G261">
    <cfRule type="expression" dxfId="6677" priority="8559" stopIfTrue="1">
      <formula>AND($B261="Tender Received",$D261&lt;=(TODAY()+3))</formula>
    </cfRule>
    <cfRule type="expression" dxfId="6676" priority="8560" stopIfTrue="1">
      <formula>$B261="Tender Received"</formula>
    </cfRule>
  </conditionalFormatting>
  <conditionalFormatting sqref="L262:R262">
    <cfRule type="expression" dxfId="6675" priority="8557" stopIfTrue="1">
      <formula>AND($B262="Tender Received",$D262&lt;=(TODAY()+3))</formula>
    </cfRule>
    <cfRule type="expression" dxfId="6674" priority="8558" stopIfTrue="1">
      <formula>$B262="Tender Received"</formula>
    </cfRule>
  </conditionalFormatting>
  <conditionalFormatting sqref="F262">
    <cfRule type="expression" dxfId="6673" priority="8555" stopIfTrue="1">
      <formula>AND($B262="Tender Received",$D262&lt;=(TODAY()+3))</formula>
    </cfRule>
    <cfRule type="expression" dxfId="6672" priority="8556" stopIfTrue="1">
      <formula>$B262="Tender Received"</formula>
    </cfRule>
  </conditionalFormatting>
  <conditionalFormatting sqref="D262">
    <cfRule type="expression" dxfId="6671" priority="8553" stopIfTrue="1">
      <formula>AND($B262="Tender Received",$D262&lt;=(TODAY()+3))</formula>
    </cfRule>
    <cfRule type="expression" dxfId="6670" priority="8554" stopIfTrue="1">
      <formula>$B262="Tender Received"</formula>
    </cfRule>
  </conditionalFormatting>
  <conditionalFormatting sqref="K262 F262:I262">
    <cfRule type="expression" dxfId="6669" priority="8551" stopIfTrue="1">
      <formula>AND($B262="Tender Received",$D262&lt;=(TODAY()+3))</formula>
    </cfRule>
    <cfRule type="expression" dxfId="6668" priority="8552" stopIfTrue="1">
      <formula>$B262="Tender Received"</formula>
    </cfRule>
  </conditionalFormatting>
  <conditionalFormatting sqref="E262">
    <cfRule type="expression" dxfId="6667" priority="8549" stopIfTrue="1">
      <formula>AND($B262="Tender Received",$D262&lt;=(TODAY()+3))</formula>
    </cfRule>
    <cfRule type="expression" dxfId="6666" priority="8550" stopIfTrue="1">
      <formula>$B262="Tender Received"</formula>
    </cfRule>
  </conditionalFormatting>
  <conditionalFormatting sqref="C262:D262">
    <cfRule type="expression" dxfId="6665" priority="8547" stopIfTrue="1">
      <formula>AND($B262="Tender Received",$D262&lt;=(TODAY()+3))</formula>
    </cfRule>
    <cfRule type="expression" dxfId="6664" priority="8548" stopIfTrue="1">
      <formula>$B262="Tender Received"</formula>
    </cfRule>
  </conditionalFormatting>
  <conditionalFormatting sqref="J262">
    <cfRule type="expression" dxfId="6663" priority="8545" stopIfTrue="1">
      <formula>AND($B262="Tender Received",$D262&lt;=(TODAY()+3))</formula>
    </cfRule>
    <cfRule type="expression" dxfId="6662" priority="8546" stopIfTrue="1">
      <formula>$B262="Tender Received"</formula>
    </cfRule>
  </conditionalFormatting>
  <conditionalFormatting sqref="G262">
    <cfRule type="expression" dxfId="6661" priority="8543" stopIfTrue="1">
      <formula>AND($B262="Tender Received",$D262&lt;=(TODAY()+3))</formula>
    </cfRule>
    <cfRule type="expression" dxfId="6660" priority="8544" stopIfTrue="1">
      <formula>$B262="Tender Received"</formula>
    </cfRule>
  </conditionalFormatting>
  <conditionalFormatting sqref="L263:R263">
    <cfRule type="expression" dxfId="6659" priority="8541" stopIfTrue="1">
      <formula>AND($B263="Tender Received",$D263&lt;=(TODAY()+3))</formula>
    </cfRule>
    <cfRule type="expression" dxfId="6658" priority="8542" stopIfTrue="1">
      <formula>$B263="Tender Received"</formula>
    </cfRule>
  </conditionalFormatting>
  <conditionalFormatting sqref="F263">
    <cfRule type="expression" dxfId="6657" priority="8539" stopIfTrue="1">
      <formula>AND($B263="Tender Received",$D263&lt;=(TODAY()+3))</formula>
    </cfRule>
    <cfRule type="expression" dxfId="6656" priority="8540" stopIfTrue="1">
      <formula>$B263="Tender Received"</formula>
    </cfRule>
  </conditionalFormatting>
  <conditionalFormatting sqref="D263">
    <cfRule type="expression" dxfId="6655" priority="8537" stopIfTrue="1">
      <formula>AND($B263="Tender Received",$D263&lt;=(TODAY()+3))</formula>
    </cfRule>
    <cfRule type="expression" dxfId="6654" priority="8538" stopIfTrue="1">
      <formula>$B263="Tender Received"</formula>
    </cfRule>
  </conditionalFormatting>
  <conditionalFormatting sqref="K263 F263:I263">
    <cfRule type="expression" dxfId="6653" priority="8535" stopIfTrue="1">
      <formula>AND($B263="Tender Received",$D263&lt;=(TODAY()+3))</formula>
    </cfRule>
    <cfRule type="expression" dxfId="6652" priority="8536" stopIfTrue="1">
      <formula>$B263="Tender Received"</formula>
    </cfRule>
  </conditionalFormatting>
  <conditionalFormatting sqref="E263">
    <cfRule type="expression" dxfId="6651" priority="8533" stopIfTrue="1">
      <formula>AND($B263="Tender Received",$D263&lt;=(TODAY()+3))</formula>
    </cfRule>
    <cfRule type="expression" dxfId="6650" priority="8534" stopIfTrue="1">
      <formula>$B263="Tender Received"</formula>
    </cfRule>
  </conditionalFormatting>
  <conditionalFormatting sqref="C263:D263">
    <cfRule type="expression" dxfId="6649" priority="8531" stopIfTrue="1">
      <formula>AND($B263="Tender Received",$D263&lt;=(TODAY()+3))</formula>
    </cfRule>
    <cfRule type="expression" dxfId="6648" priority="8532" stopIfTrue="1">
      <formula>$B263="Tender Received"</formula>
    </cfRule>
  </conditionalFormatting>
  <conditionalFormatting sqref="J263">
    <cfRule type="expression" dxfId="6647" priority="8529" stopIfTrue="1">
      <formula>AND($B263="Tender Received",$D263&lt;=(TODAY()+3))</formula>
    </cfRule>
    <cfRule type="expression" dxfId="6646" priority="8530" stopIfTrue="1">
      <formula>$B263="Tender Received"</formula>
    </cfRule>
  </conditionalFormatting>
  <conditionalFormatting sqref="G263">
    <cfRule type="expression" dxfId="6645" priority="8527" stopIfTrue="1">
      <formula>AND($B263="Tender Received",$D263&lt;=(TODAY()+3))</formula>
    </cfRule>
    <cfRule type="expression" dxfId="6644" priority="8528" stopIfTrue="1">
      <formula>$B263="Tender Received"</formula>
    </cfRule>
  </conditionalFormatting>
  <conditionalFormatting sqref="L264:R264">
    <cfRule type="expression" dxfId="6643" priority="8525" stopIfTrue="1">
      <formula>AND($B264="Tender Received",$D264&lt;=(TODAY()+3))</formula>
    </cfRule>
    <cfRule type="expression" dxfId="6642" priority="8526" stopIfTrue="1">
      <formula>$B264="Tender Received"</formula>
    </cfRule>
  </conditionalFormatting>
  <conditionalFormatting sqref="F264">
    <cfRule type="expression" dxfId="6641" priority="8523" stopIfTrue="1">
      <formula>AND($B264="Tender Received",$D264&lt;=(TODAY()+3))</formula>
    </cfRule>
    <cfRule type="expression" dxfId="6640" priority="8524" stopIfTrue="1">
      <formula>$B264="Tender Received"</formula>
    </cfRule>
  </conditionalFormatting>
  <conditionalFormatting sqref="D264">
    <cfRule type="expression" dxfId="6639" priority="8521" stopIfTrue="1">
      <formula>AND($B264="Tender Received",$D264&lt;=(TODAY()+3))</formula>
    </cfRule>
    <cfRule type="expression" dxfId="6638" priority="8522" stopIfTrue="1">
      <formula>$B264="Tender Received"</formula>
    </cfRule>
  </conditionalFormatting>
  <conditionalFormatting sqref="K264 F264:I264">
    <cfRule type="expression" dxfId="6637" priority="8519" stopIfTrue="1">
      <formula>AND($B264="Tender Received",$D264&lt;=(TODAY()+3))</formula>
    </cfRule>
    <cfRule type="expression" dxfId="6636" priority="8520" stopIfTrue="1">
      <formula>$B264="Tender Received"</formula>
    </cfRule>
  </conditionalFormatting>
  <conditionalFormatting sqref="E264">
    <cfRule type="expression" dxfId="6635" priority="8517" stopIfTrue="1">
      <formula>AND($B264="Tender Received",$D264&lt;=(TODAY()+3))</formula>
    </cfRule>
    <cfRule type="expression" dxfId="6634" priority="8518" stopIfTrue="1">
      <formula>$B264="Tender Received"</formula>
    </cfRule>
  </conditionalFormatting>
  <conditionalFormatting sqref="C264:D264">
    <cfRule type="expression" dxfId="6633" priority="8515" stopIfTrue="1">
      <formula>AND($B264="Tender Received",$D264&lt;=(TODAY()+3))</formula>
    </cfRule>
    <cfRule type="expression" dxfId="6632" priority="8516" stopIfTrue="1">
      <formula>$B264="Tender Received"</formula>
    </cfRule>
  </conditionalFormatting>
  <conditionalFormatting sqref="J264">
    <cfRule type="expression" dxfId="6631" priority="8513" stopIfTrue="1">
      <formula>AND($B264="Tender Received",$D264&lt;=(TODAY()+3))</formula>
    </cfRule>
    <cfRule type="expression" dxfId="6630" priority="8514" stopIfTrue="1">
      <formula>$B264="Tender Received"</formula>
    </cfRule>
  </conditionalFormatting>
  <conditionalFormatting sqref="G264">
    <cfRule type="expression" dxfId="6629" priority="8511" stopIfTrue="1">
      <formula>AND($B264="Tender Received",$D264&lt;=(TODAY()+3))</formula>
    </cfRule>
    <cfRule type="expression" dxfId="6628" priority="8512" stopIfTrue="1">
      <formula>$B264="Tender Received"</formula>
    </cfRule>
  </conditionalFormatting>
  <conditionalFormatting sqref="L265:R266">
    <cfRule type="expression" dxfId="6627" priority="8509" stopIfTrue="1">
      <formula>AND($B265="Tender Received",$D265&lt;=(TODAY()+3))</formula>
    </cfRule>
    <cfRule type="expression" dxfId="6626" priority="8510" stopIfTrue="1">
      <formula>$B265="Tender Received"</formula>
    </cfRule>
  </conditionalFormatting>
  <conditionalFormatting sqref="F265:F266">
    <cfRule type="expression" dxfId="6625" priority="8507" stopIfTrue="1">
      <formula>AND($B265="Tender Received",$D265&lt;=(TODAY()+3))</formula>
    </cfRule>
    <cfRule type="expression" dxfId="6624" priority="8508" stopIfTrue="1">
      <formula>$B265="Tender Received"</formula>
    </cfRule>
  </conditionalFormatting>
  <conditionalFormatting sqref="D265:D266">
    <cfRule type="expression" dxfId="6623" priority="8505" stopIfTrue="1">
      <formula>AND($B265="Tender Received",$D265&lt;=(TODAY()+3))</formula>
    </cfRule>
    <cfRule type="expression" dxfId="6622" priority="8506" stopIfTrue="1">
      <formula>$B265="Tender Received"</formula>
    </cfRule>
  </conditionalFormatting>
  <conditionalFormatting sqref="K265:K266 F265:I266">
    <cfRule type="expression" dxfId="6621" priority="8503" stopIfTrue="1">
      <formula>AND($B265="Tender Received",$D265&lt;=(TODAY()+3))</formula>
    </cfRule>
    <cfRule type="expression" dxfId="6620" priority="8504" stopIfTrue="1">
      <formula>$B265="Tender Received"</formula>
    </cfRule>
  </conditionalFormatting>
  <conditionalFormatting sqref="E265:E266">
    <cfRule type="expression" dxfId="6619" priority="8501" stopIfTrue="1">
      <formula>AND($B265="Tender Received",$D265&lt;=(TODAY()+3))</formula>
    </cfRule>
    <cfRule type="expression" dxfId="6618" priority="8502" stopIfTrue="1">
      <formula>$B265="Tender Received"</formula>
    </cfRule>
  </conditionalFormatting>
  <conditionalFormatting sqref="C265:D266">
    <cfRule type="expression" dxfId="6617" priority="8499" stopIfTrue="1">
      <formula>AND($B265="Tender Received",$D265&lt;=(TODAY()+3))</formula>
    </cfRule>
    <cfRule type="expression" dxfId="6616" priority="8500" stopIfTrue="1">
      <formula>$B265="Tender Received"</formula>
    </cfRule>
  </conditionalFormatting>
  <conditionalFormatting sqref="J265:J266">
    <cfRule type="expression" dxfId="6615" priority="8497" stopIfTrue="1">
      <formula>AND($B265="Tender Received",$D265&lt;=(TODAY()+3))</formula>
    </cfRule>
    <cfRule type="expression" dxfId="6614" priority="8498" stopIfTrue="1">
      <formula>$B265="Tender Received"</formula>
    </cfRule>
  </conditionalFormatting>
  <conditionalFormatting sqref="G265:G266">
    <cfRule type="expression" dxfId="6613" priority="8495" stopIfTrue="1">
      <formula>AND($B265="Tender Received",$D265&lt;=(TODAY()+3))</formula>
    </cfRule>
    <cfRule type="expression" dxfId="6612" priority="8496" stopIfTrue="1">
      <formula>$B265="Tender Received"</formula>
    </cfRule>
  </conditionalFormatting>
  <conditionalFormatting sqref="L267:R267">
    <cfRule type="expression" dxfId="6611" priority="8493" stopIfTrue="1">
      <formula>AND($B267="Tender Received",$D267&lt;=(TODAY()+3))</formula>
    </cfRule>
    <cfRule type="expression" dxfId="6610" priority="8494" stopIfTrue="1">
      <formula>$B267="Tender Received"</formula>
    </cfRule>
  </conditionalFormatting>
  <conditionalFormatting sqref="F267">
    <cfRule type="expression" dxfId="6609" priority="8491" stopIfTrue="1">
      <formula>AND($B267="Tender Received",$D267&lt;=(TODAY()+3))</formula>
    </cfRule>
    <cfRule type="expression" dxfId="6608" priority="8492" stopIfTrue="1">
      <formula>$B267="Tender Received"</formula>
    </cfRule>
  </conditionalFormatting>
  <conditionalFormatting sqref="D267">
    <cfRule type="expression" dxfId="6607" priority="8489" stopIfTrue="1">
      <formula>AND($B267="Tender Received",$D267&lt;=(TODAY()+3))</formula>
    </cfRule>
    <cfRule type="expression" dxfId="6606" priority="8490" stopIfTrue="1">
      <formula>$B267="Tender Received"</formula>
    </cfRule>
  </conditionalFormatting>
  <conditionalFormatting sqref="K267 F267:I267">
    <cfRule type="expression" dxfId="6605" priority="8487" stopIfTrue="1">
      <formula>AND($B267="Tender Received",$D267&lt;=(TODAY()+3))</formula>
    </cfRule>
    <cfRule type="expression" dxfId="6604" priority="8488" stopIfTrue="1">
      <formula>$B267="Tender Received"</formula>
    </cfRule>
  </conditionalFormatting>
  <conditionalFormatting sqref="E267">
    <cfRule type="expression" dxfId="6603" priority="8485" stopIfTrue="1">
      <formula>AND($B267="Tender Received",$D267&lt;=(TODAY()+3))</formula>
    </cfRule>
    <cfRule type="expression" dxfId="6602" priority="8486" stopIfTrue="1">
      <formula>$B267="Tender Received"</formula>
    </cfRule>
  </conditionalFormatting>
  <conditionalFormatting sqref="C267:D267">
    <cfRule type="expression" dxfId="6601" priority="8483" stopIfTrue="1">
      <formula>AND($B267="Tender Received",$D267&lt;=(TODAY()+3))</formula>
    </cfRule>
    <cfRule type="expression" dxfId="6600" priority="8484" stopIfTrue="1">
      <formula>$B267="Tender Received"</formula>
    </cfRule>
  </conditionalFormatting>
  <conditionalFormatting sqref="J267">
    <cfRule type="expression" dxfId="6599" priority="8481" stopIfTrue="1">
      <formula>AND($B267="Tender Received",$D267&lt;=(TODAY()+3))</formula>
    </cfRule>
    <cfRule type="expression" dxfId="6598" priority="8482" stopIfTrue="1">
      <formula>$B267="Tender Received"</formula>
    </cfRule>
  </conditionalFormatting>
  <conditionalFormatting sqref="G267">
    <cfRule type="expression" dxfId="6597" priority="8479" stopIfTrue="1">
      <formula>AND($B267="Tender Received",$D267&lt;=(TODAY()+3))</formula>
    </cfRule>
    <cfRule type="expression" dxfId="6596" priority="8480" stopIfTrue="1">
      <formula>$B267="Tender Received"</formula>
    </cfRule>
  </conditionalFormatting>
  <conditionalFormatting sqref="L269:R269 L268:P268 R268">
    <cfRule type="expression" dxfId="6595" priority="8477" stopIfTrue="1">
      <formula>AND($B268="Tender Received",$D268&lt;=(TODAY()+3))</formula>
    </cfRule>
    <cfRule type="expression" dxfId="6594" priority="8478" stopIfTrue="1">
      <formula>$B268="Tender Received"</formula>
    </cfRule>
  </conditionalFormatting>
  <conditionalFormatting sqref="F268:F269">
    <cfRule type="expression" dxfId="6593" priority="8475" stopIfTrue="1">
      <formula>AND($B268="Tender Received",$D268&lt;=(TODAY()+3))</formula>
    </cfRule>
    <cfRule type="expression" dxfId="6592" priority="8476" stopIfTrue="1">
      <formula>$B268="Tender Received"</formula>
    </cfRule>
  </conditionalFormatting>
  <conditionalFormatting sqref="D268:D269">
    <cfRule type="expression" dxfId="6591" priority="8473" stopIfTrue="1">
      <formula>AND($B268="Tender Received",$D268&lt;=(TODAY()+3))</formula>
    </cfRule>
    <cfRule type="expression" dxfId="6590" priority="8474" stopIfTrue="1">
      <formula>$B268="Tender Received"</formula>
    </cfRule>
  </conditionalFormatting>
  <conditionalFormatting sqref="K268:K269 F269:I269 F268:G268 I268">
    <cfRule type="expression" dxfId="6589" priority="8471" stopIfTrue="1">
      <formula>AND($B268="Tender Received",$D268&lt;=(TODAY()+3))</formula>
    </cfRule>
    <cfRule type="expression" dxfId="6588" priority="8472" stopIfTrue="1">
      <formula>$B268="Tender Received"</formula>
    </cfRule>
  </conditionalFormatting>
  <conditionalFormatting sqref="E268:E269">
    <cfRule type="expression" dxfId="6587" priority="8469" stopIfTrue="1">
      <formula>AND($B268="Tender Received",$D268&lt;=(TODAY()+3))</formula>
    </cfRule>
    <cfRule type="expression" dxfId="6586" priority="8470" stopIfTrue="1">
      <formula>$B268="Tender Received"</formula>
    </cfRule>
  </conditionalFormatting>
  <conditionalFormatting sqref="C268:D269">
    <cfRule type="expression" dxfId="6585" priority="8467" stopIfTrue="1">
      <formula>AND($B268="Tender Received",$D268&lt;=(TODAY()+3))</formula>
    </cfRule>
    <cfRule type="expression" dxfId="6584" priority="8468" stopIfTrue="1">
      <formula>$B268="Tender Received"</formula>
    </cfRule>
  </conditionalFormatting>
  <conditionalFormatting sqref="J268:J269">
    <cfRule type="expression" dxfId="6583" priority="8465" stopIfTrue="1">
      <formula>AND($B268="Tender Received",$D268&lt;=(TODAY()+3))</formula>
    </cfRule>
    <cfRule type="expression" dxfId="6582" priority="8466" stopIfTrue="1">
      <formula>$B268="Tender Received"</formula>
    </cfRule>
  </conditionalFormatting>
  <conditionalFormatting sqref="G268:G269">
    <cfRule type="expression" dxfId="6581" priority="8463" stopIfTrue="1">
      <formula>AND($B268="Tender Received",$D268&lt;=(TODAY()+3))</formula>
    </cfRule>
    <cfRule type="expression" dxfId="6580" priority="8464" stopIfTrue="1">
      <formula>$B268="Tender Received"</formula>
    </cfRule>
  </conditionalFormatting>
  <conditionalFormatting sqref="L270:R270">
    <cfRule type="expression" dxfId="6579" priority="8461" stopIfTrue="1">
      <formula>AND($B270="Tender Received",$D270&lt;=(TODAY()+3))</formula>
    </cfRule>
    <cfRule type="expression" dxfId="6578" priority="8462" stopIfTrue="1">
      <formula>$B270="Tender Received"</formula>
    </cfRule>
  </conditionalFormatting>
  <conditionalFormatting sqref="F270">
    <cfRule type="expression" dxfId="6577" priority="8459" stopIfTrue="1">
      <formula>AND($B270="Tender Received",$D270&lt;=(TODAY()+3))</formula>
    </cfRule>
    <cfRule type="expression" dxfId="6576" priority="8460" stopIfTrue="1">
      <formula>$B270="Tender Received"</formula>
    </cfRule>
  </conditionalFormatting>
  <conditionalFormatting sqref="D270">
    <cfRule type="expression" dxfId="6575" priority="8457" stopIfTrue="1">
      <formula>AND($B270="Tender Received",$D270&lt;=(TODAY()+3))</formula>
    </cfRule>
    <cfRule type="expression" dxfId="6574" priority="8458" stopIfTrue="1">
      <formula>$B270="Tender Received"</formula>
    </cfRule>
  </conditionalFormatting>
  <conditionalFormatting sqref="K270 F270:I270">
    <cfRule type="expression" dxfId="6573" priority="8455" stopIfTrue="1">
      <formula>AND($B270="Tender Received",$D270&lt;=(TODAY()+3))</formula>
    </cfRule>
    <cfRule type="expression" dxfId="6572" priority="8456" stopIfTrue="1">
      <formula>$B270="Tender Received"</formula>
    </cfRule>
  </conditionalFormatting>
  <conditionalFormatting sqref="E270">
    <cfRule type="expression" dxfId="6571" priority="8453" stopIfTrue="1">
      <formula>AND($B270="Tender Received",$D270&lt;=(TODAY()+3))</formula>
    </cfRule>
    <cfRule type="expression" dxfId="6570" priority="8454" stopIfTrue="1">
      <formula>$B270="Tender Received"</formula>
    </cfRule>
  </conditionalFormatting>
  <conditionalFormatting sqref="C270:D270">
    <cfRule type="expression" dxfId="6569" priority="8451" stopIfTrue="1">
      <formula>AND($B270="Tender Received",$D270&lt;=(TODAY()+3))</formula>
    </cfRule>
    <cfRule type="expression" dxfId="6568" priority="8452" stopIfTrue="1">
      <formula>$B270="Tender Received"</formula>
    </cfRule>
  </conditionalFormatting>
  <conditionalFormatting sqref="J270">
    <cfRule type="expression" dxfId="6567" priority="8449" stopIfTrue="1">
      <formula>AND($B270="Tender Received",$D270&lt;=(TODAY()+3))</formula>
    </cfRule>
    <cfRule type="expression" dxfId="6566" priority="8450" stopIfTrue="1">
      <formula>$B270="Tender Received"</formula>
    </cfRule>
  </conditionalFormatting>
  <conditionalFormatting sqref="G270">
    <cfRule type="expression" dxfId="6565" priority="8447" stopIfTrue="1">
      <formula>AND($B270="Tender Received",$D270&lt;=(TODAY()+3))</formula>
    </cfRule>
    <cfRule type="expression" dxfId="6564" priority="8448" stopIfTrue="1">
      <formula>$B270="Tender Received"</formula>
    </cfRule>
  </conditionalFormatting>
  <conditionalFormatting sqref="L271:R272">
    <cfRule type="expression" dxfId="6563" priority="8445" stopIfTrue="1">
      <formula>AND($B271="Tender Received",$D271&lt;=(TODAY()+3))</formula>
    </cfRule>
    <cfRule type="expression" dxfId="6562" priority="8446" stopIfTrue="1">
      <formula>$B271="Tender Received"</formula>
    </cfRule>
  </conditionalFormatting>
  <conditionalFormatting sqref="F271:F272">
    <cfRule type="expression" dxfId="6561" priority="8443" stopIfTrue="1">
      <formula>AND($B271="Tender Received",$D271&lt;=(TODAY()+3))</formula>
    </cfRule>
    <cfRule type="expression" dxfId="6560" priority="8444" stopIfTrue="1">
      <formula>$B271="Tender Received"</formula>
    </cfRule>
  </conditionalFormatting>
  <conditionalFormatting sqref="D271:D272">
    <cfRule type="expression" dxfId="6559" priority="8441" stopIfTrue="1">
      <formula>AND($B271="Tender Received",$D271&lt;=(TODAY()+3))</formula>
    </cfRule>
    <cfRule type="expression" dxfId="6558" priority="8442" stopIfTrue="1">
      <formula>$B271="Tender Received"</formula>
    </cfRule>
  </conditionalFormatting>
  <conditionalFormatting sqref="K271:K272 F271:I272">
    <cfRule type="expression" dxfId="6557" priority="8439" stopIfTrue="1">
      <formula>AND($B271="Tender Received",$D271&lt;=(TODAY()+3))</formula>
    </cfRule>
    <cfRule type="expression" dxfId="6556" priority="8440" stopIfTrue="1">
      <formula>$B271="Tender Received"</formula>
    </cfRule>
  </conditionalFormatting>
  <conditionalFormatting sqref="E271:E272">
    <cfRule type="expression" dxfId="6555" priority="8437" stopIfTrue="1">
      <formula>AND($B271="Tender Received",$D271&lt;=(TODAY()+3))</formula>
    </cfRule>
    <cfRule type="expression" dxfId="6554" priority="8438" stopIfTrue="1">
      <formula>$B271="Tender Received"</formula>
    </cfRule>
  </conditionalFormatting>
  <conditionalFormatting sqref="C271:D272">
    <cfRule type="expression" dxfId="6553" priority="8435" stopIfTrue="1">
      <formula>AND($B271="Tender Received",$D271&lt;=(TODAY()+3))</formula>
    </cfRule>
    <cfRule type="expression" dxfId="6552" priority="8436" stopIfTrue="1">
      <formula>$B271="Tender Received"</formula>
    </cfRule>
  </conditionalFormatting>
  <conditionalFormatting sqref="J271:J272">
    <cfRule type="expression" dxfId="6551" priority="8433" stopIfTrue="1">
      <formula>AND($B271="Tender Received",$D271&lt;=(TODAY()+3))</formula>
    </cfRule>
    <cfRule type="expression" dxfId="6550" priority="8434" stopIfTrue="1">
      <formula>$B271="Tender Received"</formula>
    </cfRule>
  </conditionalFormatting>
  <conditionalFormatting sqref="G271:G272">
    <cfRule type="expression" dxfId="6549" priority="8431" stopIfTrue="1">
      <formula>AND($B271="Tender Received",$D271&lt;=(TODAY()+3))</formula>
    </cfRule>
    <cfRule type="expression" dxfId="6548" priority="8432" stopIfTrue="1">
      <formula>$B271="Tender Received"</formula>
    </cfRule>
  </conditionalFormatting>
  <conditionalFormatting sqref="L273:R273">
    <cfRule type="expression" dxfId="6547" priority="8429" stopIfTrue="1">
      <formula>AND($B273="Tender Received",$D273&lt;=(TODAY()+3))</formula>
    </cfRule>
    <cfRule type="expression" dxfId="6546" priority="8430" stopIfTrue="1">
      <formula>$B273="Tender Received"</formula>
    </cfRule>
  </conditionalFormatting>
  <conditionalFormatting sqref="F273">
    <cfRule type="expression" dxfId="6545" priority="8427" stopIfTrue="1">
      <formula>AND($B273="Tender Received",$D273&lt;=(TODAY()+3))</formula>
    </cfRule>
    <cfRule type="expression" dxfId="6544" priority="8428" stopIfTrue="1">
      <formula>$B273="Tender Received"</formula>
    </cfRule>
  </conditionalFormatting>
  <conditionalFormatting sqref="D273">
    <cfRule type="expression" dxfId="6543" priority="8425" stopIfTrue="1">
      <formula>AND($B273="Tender Received",$D273&lt;=(TODAY()+3))</formula>
    </cfRule>
    <cfRule type="expression" dxfId="6542" priority="8426" stopIfTrue="1">
      <formula>$B273="Tender Received"</formula>
    </cfRule>
  </conditionalFormatting>
  <conditionalFormatting sqref="K273 F273:I273">
    <cfRule type="expression" dxfId="6541" priority="8423" stopIfTrue="1">
      <formula>AND($B273="Tender Received",$D273&lt;=(TODAY()+3))</formula>
    </cfRule>
    <cfRule type="expression" dxfId="6540" priority="8424" stopIfTrue="1">
      <formula>$B273="Tender Received"</formula>
    </cfRule>
  </conditionalFormatting>
  <conditionalFormatting sqref="E273">
    <cfRule type="expression" dxfId="6539" priority="8421" stopIfTrue="1">
      <formula>AND($B273="Tender Received",$D273&lt;=(TODAY()+3))</formula>
    </cfRule>
    <cfRule type="expression" dxfId="6538" priority="8422" stopIfTrue="1">
      <formula>$B273="Tender Received"</formula>
    </cfRule>
  </conditionalFormatting>
  <conditionalFormatting sqref="C273:D273">
    <cfRule type="expression" dxfId="6537" priority="8419" stopIfTrue="1">
      <formula>AND($B273="Tender Received",$D273&lt;=(TODAY()+3))</formula>
    </cfRule>
    <cfRule type="expression" dxfId="6536" priority="8420" stopIfTrue="1">
      <formula>$B273="Tender Received"</formula>
    </cfRule>
  </conditionalFormatting>
  <conditionalFormatting sqref="J273">
    <cfRule type="expression" dxfId="6535" priority="8417" stopIfTrue="1">
      <formula>AND($B273="Tender Received",$D273&lt;=(TODAY()+3))</formula>
    </cfRule>
    <cfRule type="expression" dxfId="6534" priority="8418" stopIfTrue="1">
      <formula>$B273="Tender Received"</formula>
    </cfRule>
  </conditionalFormatting>
  <conditionalFormatting sqref="G273">
    <cfRule type="expression" dxfId="6533" priority="8415" stopIfTrue="1">
      <formula>AND($B273="Tender Received",$D273&lt;=(TODAY()+3))</formula>
    </cfRule>
    <cfRule type="expression" dxfId="6532" priority="8416" stopIfTrue="1">
      <formula>$B273="Tender Received"</formula>
    </cfRule>
  </conditionalFormatting>
  <conditionalFormatting sqref="L274:R274">
    <cfRule type="expression" dxfId="6531" priority="8413" stopIfTrue="1">
      <formula>AND($B274="Tender Received",$D274&lt;=(TODAY()+3))</formula>
    </cfRule>
    <cfRule type="expression" dxfId="6530" priority="8414" stopIfTrue="1">
      <formula>$B274="Tender Received"</formula>
    </cfRule>
  </conditionalFormatting>
  <conditionalFormatting sqref="F274">
    <cfRule type="expression" dxfId="6529" priority="8411" stopIfTrue="1">
      <formula>AND($B274="Tender Received",$D274&lt;=(TODAY()+3))</formula>
    </cfRule>
    <cfRule type="expression" dxfId="6528" priority="8412" stopIfTrue="1">
      <formula>$B274="Tender Received"</formula>
    </cfRule>
  </conditionalFormatting>
  <conditionalFormatting sqref="D274">
    <cfRule type="expression" dxfId="6527" priority="8409" stopIfTrue="1">
      <formula>AND($B274="Tender Received",$D274&lt;=(TODAY()+3))</formula>
    </cfRule>
    <cfRule type="expression" dxfId="6526" priority="8410" stopIfTrue="1">
      <formula>$B274="Tender Received"</formula>
    </cfRule>
  </conditionalFormatting>
  <conditionalFormatting sqref="K274 F274:I274">
    <cfRule type="expression" dxfId="6525" priority="8407" stopIfTrue="1">
      <formula>AND($B274="Tender Received",$D274&lt;=(TODAY()+3))</formula>
    </cfRule>
    <cfRule type="expression" dxfId="6524" priority="8408" stopIfTrue="1">
      <formula>$B274="Tender Received"</formula>
    </cfRule>
  </conditionalFormatting>
  <conditionalFormatting sqref="E274">
    <cfRule type="expression" dxfId="6523" priority="8405" stopIfTrue="1">
      <formula>AND($B274="Tender Received",$D274&lt;=(TODAY()+3))</formula>
    </cfRule>
    <cfRule type="expression" dxfId="6522" priority="8406" stopIfTrue="1">
      <formula>$B274="Tender Received"</formula>
    </cfRule>
  </conditionalFormatting>
  <conditionalFormatting sqref="C274:D274">
    <cfRule type="expression" dxfId="6521" priority="8403" stopIfTrue="1">
      <formula>AND($B274="Tender Received",$D274&lt;=(TODAY()+3))</formula>
    </cfRule>
    <cfRule type="expression" dxfId="6520" priority="8404" stopIfTrue="1">
      <formula>$B274="Tender Received"</formula>
    </cfRule>
  </conditionalFormatting>
  <conditionalFormatting sqref="J274">
    <cfRule type="expression" dxfId="6519" priority="8401" stopIfTrue="1">
      <formula>AND($B274="Tender Received",$D274&lt;=(TODAY()+3))</formula>
    </cfRule>
    <cfRule type="expression" dxfId="6518" priority="8402" stopIfTrue="1">
      <formula>$B274="Tender Received"</formula>
    </cfRule>
  </conditionalFormatting>
  <conditionalFormatting sqref="G274">
    <cfRule type="expression" dxfId="6517" priority="8399" stopIfTrue="1">
      <formula>AND($B274="Tender Received",$D274&lt;=(TODAY()+3))</formula>
    </cfRule>
    <cfRule type="expression" dxfId="6516" priority="8400" stopIfTrue="1">
      <formula>$B274="Tender Received"</formula>
    </cfRule>
  </conditionalFormatting>
  <conditionalFormatting sqref="L279:R279">
    <cfRule type="expression" dxfId="6515" priority="8397" stopIfTrue="1">
      <formula>AND($B279="Tender Received",$D279&lt;=(TODAY()+3))</formula>
    </cfRule>
    <cfRule type="expression" dxfId="6514" priority="8398" stopIfTrue="1">
      <formula>$B279="Tender Received"</formula>
    </cfRule>
  </conditionalFormatting>
  <conditionalFormatting sqref="F279">
    <cfRule type="expression" dxfId="6513" priority="8395" stopIfTrue="1">
      <formula>AND($B279="Tender Received",$D279&lt;=(TODAY()+3))</formula>
    </cfRule>
    <cfRule type="expression" dxfId="6512" priority="8396" stopIfTrue="1">
      <formula>$B279="Tender Received"</formula>
    </cfRule>
  </conditionalFormatting>
  <conditionalFormatting sqref="D279">
    <cfRule type="expression" dxfId="6511" priority="8393" stopIfTrue="1">
      <formula>AND($B279="Tender Received",$D279&lt;=(TODAY()+3))</formula>
    </cfRule>
    <cfRule type="expression" dxfId="6510" priority="8394" stopIfTrue="1">
      <formula>$B279="Tender Received"</formula>
    </cfRule>
  </conditionalFormatting>
  <conditionalFormatting sqref="F279:I279 K279">
    <cfRule type="expression" dxfId="6509" priority="8391" stopIfTrue="1">
      <formula>AND($B279="Tender Received",$D279&lt;=(TODAY()+3))</formula>
    </cfRule>
    <cfRule type="expression" dxfId="6508" priority="8392" stopIfTrue="1">
      <formula>$B279="Tender Received"</formula>
    </cfRule>
  </conditionalFormatting>
  <conditionalFormatting sqref="E279">
    <cfRule type="expression" dxfId="6507" priority="8389" stopIfTrue="1">
      <formula>AND($B279="Tender Received",$D279&lt;=(TODAY()+3))</formula>
    </cfRule>
    <cfRule type="expression" dxfId="6506" priority="8390" stopIfTrue="1">
      <formula>$B279="Tender Received"</formula>
    </cfRule>
  </conditionalFormatting>
  <conditionalFormatting sqref="C279:D279">
    <cfRule type="expression" dxfId="6505" priority="8387" stopIfTrue="1">
      <formula>AND($B279="Tender Received",$D279&lt;=(TODAY()+3))</formula>
    </cfRule>
    <cfRule type="expression" dxfId="6504" priority="8388" stopIfTrue="1">
      <formula>$B279="Tender Received"</formula>
    </cfRule>
  </conditionalFormatting>
  <conditionalFormatting sqref="J279">
    <cfRule type="expression" dxfId="6503" priority="8385" stopIfTrue="1">
      <formula>AND($B279="Tender Received",$D279&lt;=(TODAY()+3))</formula>
    </cfRule>
    <cfRule type="expression" dxfId="6502" priority="8386" stopIfTrue="1">
      <formula>$B279="Tender Received"</formula>
    </cfRule>
  </conditionalFormatting>
  <conditionalFormatting sqref="G279">
    <cfRule type="expression" dxfId="6501" priority="8383" stopIfTrue="1">
      <formula>AND($B279="Tender Received",$D279&lt;=(TODAY()+3))</formula>
    </cfRule>
    <cfRule type="expression" dxfId="6500" priority="8384" stopIfTrue="1">
      <formula>$B279="Tender Received"</formula>
    </cfRule>
  </conditionalFormatting>
  <conditionalFormatting sqref="L280:Q280">
    <cfRule type="expression" dxfId="6499" priority="8381" stopIfTrue="1">
      <formula>AND($B280="Tender Received",$D280&lt;=(TODAY()+3))</formula>
    </cfRule>
    <cfRule type="expression" dxfId="6498" priority="8382" stopIfTrue="1">
      <formula>$B280="Tender Received"</formula>
    </cfRule>
  </conditionalFormatting>
  <conditionalFormatting sqref="F280">
    <cfRule type="expression" dxfId="6497" priority="8379" stopIfTrue="1">
      <formula>AND($B280="Tender Received",$D280&lt;=(TODAY()+3))</formula>
    </cfRule>
    <cfRule type="expression" dxfId="6496" priority="8380" stopIfTrue="1">
      <formula>$B280="Tender Received"</formula>
    </cfRule>
  </conditionalFormatting>
  <conditionalFormatting sqref="D280">
    <cfRule type="expression" dxfId="6495" priority="8377" stopIfTrue="1">
      <formula>AND($B280="Tender Received",$D280&lt;=(TODAY()+3))</formula>
    </cfRule>
    <cfRule type="expression" dxfId="6494" priority="8378" stopIfTrue="1">
      <formula>$B280="Tender Received"</formula>
    </cfRule>
  </conditionalFormatting>
  <conditionalFormatting sqref="F280:I280 K280">
    <cfRule type="expression" dxfId="6493" priority="8375" stopIfTrue="1">
      <formula>AND($B280="Tender Received",$D280&lt;=(TODAY()+3))</formula>
    </cfRule>
    <cfRule type="expression" dxfId="6492" priority="8376" stopIfTrue="1">
      <formula>$B280="Tender Received"</formula>
    </cfRule>
  </conditionalFormatting>
  <conditionalFormatting sqref="E280">
    <cfRule type="expression" dxfId="6491" priority="8373" stopIfTrue="1">
      <formula>AND($B280="Tender Received",$D280&lt;=(TODAY()+3))</formula>
    </cfRule>
    <cfRule type="expression" dxfId="6490" priority="8374" stopIfTrue="1">
      <formula>$B280="Tender Received"</formula>
    </cfRule>
  </conditionalFormatting>
  <conditionalFormatting sqref="C280:D280">
    <cfRule type="expression" dxfId="6489" priority="8371" stopIfTrue="1">
      <formula>AND($B280="Tender Received",$D280&lt;=(TODAY()+3))</formula>
    </cfRule>
    <cfRule type="expression" dxfId="6488" priority="8372" stopIfTrue="1">
      <formula>$B280="Tender Received"</formula>
    </cfRule>
  </conditionalFormatting>
  <conditionalFormatting sqref="J280">
    <cfRule type="expression" dxfId="6487" priority="8369" stopIfTrue="1">
      <formula>AND($B280="Tender Received",$D280&lt;=(TODAY()+3))</formula>
    </cfRule>
    <cfRule type="expression" dxfId="6486" priority="8370" stopIfTrue="1">
      <formula>$B280="Tender Received"</formula>
    </cfRule>
  </conditionalFormatting>
  <conditionalFormatting sqref="G280">
    <cfRule type="expression" dxfId="6485" priority="8367" stopIfTrue="1">
      <formula>AND($B280="Tender Received",$D280&lt;=(TODAY()+3))</formula>
    </cfRule>
    <cfRule type="expression" dxfId="6484" priority="8368" stopIfTrue="1">
      <formula>$B280="Tender Received"</formula>
    </cfRule>
  </conditionalFormatting>
  <conditionalFormatting sqref="L286:Q286">
    <cfRule type="expression" dxfId="6483" priority="8365" stopIfTrue="1">
      <formula>AND($B286="Tender Received",$D286&lt;=(TODAY()+3))</formula>
    </cfRule>
    <cfRule type="expression" dxfId="6482" priority="8366" stopIfTrue="1">
      <formula>$B286="Tender Received"</formula>
    </cfRule>
  </conditionalFormatting>
  <conditionalFormatting sqref="F286">
    <cfRule type="expression" dxfId="6481" priority="8363" stopIfTrue="1">
      <formula>AND($B286="Tender Received",$D286&lt;=(TODAY()+3))</formula>
    </cfRule>
    <cfRule type="expression" dxfId="6480" priority="8364" stopIfTrue="1">
      <formula>$B286="Tender Received"</formula>
    </cfRule>
  </conditionalFormatting>
  <conditionalFormatting sqref="D286">
    <cfRule type="expression" dxfId="6479" priority="8361" stopIfTrue="1">
      <formula>AND($B286="Tender Received",$D286&lt;=(TODAY()+3))</formula>
    </cfRule>
    <cfRule type="expression" dxfId="6478" priority="8362" stopIfTrue="1">
      <formula>$B286="Tender Received"</formula>
    </cfRule>
  </conditionalFormatting>
  <conditionalFormatting sqref="F286:I286 K286">
    <cfRule type="expression" dxfId="6477" priority="8359" stopIfTrue="1">
      <formula>AND($B286="Tender Received",$D286&lt;=(TODAY()+3))</formula>
    </cfRule>
    <cfRule type="expression" dxfId="6476" priority="8360" stopIfTrue="1">
      <formula>$B286="Tender Received"</formula>
    </cfRule>
  </conditionalFormatting>
  <conditionalFormatting sqref="E286">
    <cfRule type="expression" dxfId="6475" priority="8357" stopIfTrue="1">
      <formula>AND($B286="Tender Received",$D286&lt;=(TODAY()+3))</formula>
    </cfRule>
    <cfRule type="expression" dxfId="6474" priority="8358" stopIfTrue="1">
      <formula>$B286="Tender Received"</formula>
    </cfRule>
  </conditionalFormatting>
  <conditionalFormatting sqref="C286:D286">
    <cfRule type="expression" dxfId="6473" priority="8355" stopIfTrue="1">
      <formula>AND($B286="Tender Received",$D286&lt;=(TODAY()+3))</formula>
    </cfRule>
    <cfRule type="expression" dxfId="6472" priority="8356" stopIfTrue="1">
      <formula>$B286="Tender Received"</formula>
    </cfRule>
  </conditionalFormatting>
  <conditionalFormatting sqref="J286">
    <cfRule type="expression" dxfId="6471" priority="8353" stopIfTrue="1">
      <formula>AND($B286="Tender Received",$D286&lt;=(TODAY()+3))</formula>
    </cfRule>
    <cfRule type="expression" dxfId="6470" priority="8354" stopIfTrue="1">
      <formula>$B286="Tender Received"</formula>
    </cfRule>
  </conditionalFormatting>
  <conditionalFormatting sqref="G286">
    <cfRule type="expression" dxfId="6469" priority="8351" stopIfTrue="1">
      <formula>AND($B286="Tender Received",$D286&lt;=(TODAY()+3))</formula>
    </cfRule>
    <cfRule type="expression" dxfId="6468" priority="8352" stopIfTrue="1">
      <formula>$B286="Tender Received"</formula>
    </cfRule>
  </conditionalFormatting>
  <conditionalFormatting sqref="R287">
    <cfRule type="expression" dxfId="6467" priority="8349" stopIfTrue="1">
      <formula>AND($B287="Tender Received",$D287&lt;=(TODAY()+3))</formula>
    </cfRule>
    <cfRule type="expression" dxfId="6466" priority="8350" stopIfTrue="1">
      <formula>$B287="Tender Received"</formula>
    </cfRule>
  </conditionalFormatting>
  <conditionalFormatting sqref="L287:Q287">
    <cfRule type="expression" dxfId="6465" priority="8347" stopIfTrue="1">
      <formula>AND($B287="Tender Received",$D287&lt;=(TODAY()+3))</formula>
    </cfRule>
    <cfRule type="expression" dxfId="6464" priority="8348" stopIfTrue="1">
      <formula>$B287="Tender Received"</formula>
    </cfRule>
  </conditionalFormatting>
  <conditionalFormatting sqref="F287">
    <cfRule type="expression" dxfId="6463" priority="8345" stopIfTrue="1">
      <formula>AND($B287="Tender Received",$D287&lt;=(TODAY()+3))</formula>
    </cfRule>
    <cfRule type="expression" dxfId="6462" priority="8346" stopIfTrue="1">
      <formula>$B287="Tender Received"</formula>
    </cfRule>
  </conditionalFormatting>
  <conditionalFormatting sqref="D287">
    <cfRule type="expression" dxfId="6461" priority="8343" stopIfTrue="1">
      <formula>AND($B287="Tender Received",$D287&lt;=(TODAY()+3))</formula>
    </cfRule>
    <cfRule type="expression" dxfId="6460" priority="8344" stopIfTrue="1">
      <formula>$B287="Tender Received"</formula>
    </cfRule>
  </conditionalFormatting>
  <conditionalFormatting sqref="F287:I287 K287">
    <cfRule type="expression" dxfId="6459" priority="8341" stopIfTrue="1">
      <formula>AND($B287="Tender Received",$D287&lt;=(TODAY()+3))</formula>
    </cfRule>
    <cfRule type="expression" dxfId="6458" priority="8342" stopIfTrue="1">
      <formula>$B287="Tender Received"</formula>
    </cfRule>
  </conditionalFormatting>
  <conditionalFormatting sqref="E287">
    <cfRule type="expression" dxfId="6457" priority="8339" stopIfTrue="1">
      <formula>AND($B287="Tender Received",$D287&lt;=(TODAY()+3))</formula>
    </cfRule>
    <cfRule type="expression" dxfId="6456" priority="8340" stopIfTrue="1">
      <formula>$B287="Tender Received"</formula>
    </cfRule>
  </conditionalFormatting>
  <conditionalFormatting sqref="C287:D287">
    <cfRule type="expression" dxfId="6455" priority="8337" stopIfTrue="1">
      <formula>AND($B287="Tender Received",$D287&lt;=(TODAY()+3))</formula>
    </cfRule>
    <cfRule type="expression" dxfId="6454" priority="8338" stopIfTrue="1">
      <formula>$B287="Tender Received"</formula>
    </cfRule>
  </conditionalFormatting>
  <conditionalFormatting sqref="J287">
    <cfRule type="expression" dxfId="6453" priority="8335" stopIfTrue="1">
      <formula>AND($B287="Tender Received",$D287&lt;=(TODAY()+3))</formula>
    </cfRule>
    <cfRule type="expression" dxfId="6452" priority="8336" stopIfTrue="1">
      <formula>$B287="Tender Received"</formula>
    </cfRule>
  </conditionalFormatting>
  <conditionalFormatting sqref="G287">
    <cfRule type="expression" dxfId="6451" priority="8333" stopIfTrue="1">
      <formula>AND($B287="Tender Received",$D287&lt;=(TODAY()+3))</formula>
    </cfRule>
    <cfRule type="expression" dxfId="6450" priority="8334" stopIfTrue="1">
      <formula>$B287="Tender Received"</formula>
    </cfRule>
  </conditionalFormatting>
  <conditionalFormatting sqref="R288">
    <cfRule type="expression" dxfId="6449" priority="8331" stopIfTrue="1">
      <formula>AND($B288="Tender Received",$D288&lt;=(TODAY()+3))</formula>
    </cfRule>
    <cfRule type="expression" dxfId="6448" priority="8332" stopIfTrue="1">
      <formula>$B288="Tender Received"</formula>
    </cfRule>
  </conditionalFormatting>
  <conditionalFormatting sqref="L288:Q288">
    <cfRule type="expression" dxfId="6447" priority="8329" stopIfTrue="1">
      <formula>AND($B288="Tender Received",$D288&lt;=(TODAY()+3))</formula>
    </cfRule>
    <cfRule type="expression" dxfId="6446" priority="8330" stopIfTrue="1">
      <formula>$B288="Tender Received"</formula>
    </cfRule>
  </conditionalFormatting>
  <conditionalFormatting sqref="F288">
    <cfRule type="expression" dxfId="6445" priority="8327" stopIfTrue="1">
      <formula>AND($B288="Tender Received",$D288&lt;=(TODAY()+3))</formula>
    </cfRule>
    <cfRule type="expression" dxfId="6444" priority="8328" stopIfTrue="1">
      <formula>$B288="Tender Received"</formula>
    </cfRule>
  </conditionalFormatting>
  <conditionalFormatting sqref="D288">
    <cfRule type="expression" dxfId="6443" priority="8325" stopIfTrue="1">
      <formula>AND($B288="Tender Received",$D288&lt;=(TODAY()+3))</formula>
    </cfRule>
    <cfRule type="expression" dxfId="6442" priority="8326" stopIfTrue="1">
      <formula>$B288="Tender Received"</formula>
    </cfRule>
  </conditionalFormatting>
  <conditionalFormatting sqref="F288:I288 K288">
    <cfRule type="expression" dxfId="6441" priority="8323" stopIfTrue="1">
      <formula>AND($B288="Tender Received",$D288&lt;=(TODAY()+3))</formula>
    </cfRule>
    <cfRule type="expression" dxfId="6440" priority="8324" stopIfTrue="1">
      <formula>$B288="Tender Received"</formula>
    </cfRule>
  </conditionalFormatting>
  <conditionalFormatting sqref="E288">
    <cfRule type="expression" dxfId="6439" priority="8321" stopIfTrue="1">
      <formula>AND($B288="Tender Received",$D288&lt;=(TODAY()+3))</formula>
    </cfRule>
    <cfRule type="expression" dxfId="6438" priority="8322" stopIfTrue="1">
      <formula>$B288="Tender Received"</formula>
    </cfRule>
  </conditionalFormatting>
  <conditionalFormatting sqref="C288:D288">
    <cfRule type="expression" dxfId="6437" priority="8319" stopIfTrue="1">
      <formula>AND($B288="Tender Received",$D288&lt;=(TODAY()+3))</formula>
    </cfRule>
    <cfRule type="expression" dxfId="6436" priority="8320" stopIfTrue="1">
      <formula>$B288="Tender Received"</formula>
    </cfRule>
  </conditionalFormatting>
  <conditionalFormatting sqref="J288">
    <cfRule type="expression" dxfId="6435" priority="8317" stopIfTrue="1">
      <formula>AND($B288="Tender Received",$D288&lt;=(TODAY()+3))</formula>
    </cfRule>
    <cfRule type="expression" dxfId="6434" priority="8318" stopIfTrue="1">
      <formula>$B288="Tender Received"</formula>
    </cfRule>
  </conditionalFormatting>
  <conditionalFormatting sqref="G288">
    <cfRule type="expression" dxfId="6433" priority="8315" stopIfTrue="1">
      <formula>AND($B288="Tender Received",$D288&lt;=(TODAY()+3))</formula>
    </cfRule>
    <cfRule type="expression" dxfId="6432" priority="8316" stopIfTrue="1">
      <formula>$B288="Tender Received"</formula>
    </cfRule>
  </conditionalFormatting>
  <conditionalFormatting sqref="R289">
    <cfRule type="expression" dxfId="6431" priority="8313" stopIfTrue="1">
      <formula>AND($B289="Tender Received",$D289&lt;=(TODAY()+3))</formula>
    </cfRule>
    <cfRule type="expression" dxfId="6430" priority="8314" stopIfTrue="1">
      <formula>$B289="Tender Received"</formula>
    </cfRule>
  </conditionalFormatting>
  <conditionalFormatting sqref="L289:Q289">
    <cfRule type="expression" dxfId="6429" priority="8311" stopIfTrue="1">
      <formula>AND($B289="Tender Received",$D289&lt;=(TODAY()+3))</formula>
    </cfRule>
    <cfRule type="expression" dxfId="6428" priority="8312" stopIfTrue="1">
      <formula>$B289="Tender Received"</formula>
    </cfRule>
  </conditionalFormatting>
  <conditionalFormatting sqref="F289">
    <cfRule type="expression" dxfId="6427" priority="8309" stopIfTrue="1">
      <formula>AND($B289="Tender Received",$D289&lt;=(TODAY()+3))</formula>
    </cfRule>
    <cfRule type="expression" dxfId="6426" priority="8310" stopIfTrue="1">
      <formula>$B289="Tender Received"</formula>
    </cfRule>
  </conditionalFormatting>
  <conditionalFormatting sqref="D289">
    <cfRule type="expression" dxfId="6425" priority="8307" stopIfTrue="1">
      <formula>AND($B289="Tender Received",$D289&lt;=(TODAY()+3))</formula>
    </cfRule>
    <cfRule type="expression" dxfId="6424" priority="8308" stopIfTrue="1">
      <formula>$B289="Tender Received"</formula>
    </cfRule>
  </conditionalFormatting>
  <conditionalFormatting sqref="F289:I289 K289">
    <cfRule type="expression" dxfId="6423" priority="8305" stopIfTrue="1">
      <formula>AND($B289="Tender Received",$D289&lt;=(TODAY()+3))</formula>
    </cfRule>
    <cfRule type="expression" dxfId="6422" priority="8306" stopIfTrue="1">
      <formula>$B289="Tender Received"</formula>
    </cfRule>
  </conditionalFormatting>
  <conditionalFormatting sqref="E289">
    <cfRule type="expression" dxfId="6421" priority="8303" stopIfTrue="1">
      <formula>AND($B289="Tender Received",$D289&lt;=(TODAY()+3))</formula>
    </cfRule>
    <cfRule type="expression" dxfId="6420" priority="8304" stopIfTrue="1">
      <formula>$B289="Tender Received"</formula>
    </cfRule>
  </conditionalFormatting>
  <conditionalFormatting sqref="C289:D289">
    <cfRule type="expression" dxfId="6419" priority="8301" stopIfTrue="1">
      <formula>AND($B289="Tender Received",$D289&lt;=(TODAY()+3))</formula>
    </cfRule>
    <cfRule type="expression" dxfId="6418" priority="8302" stopIfTrue="1">
      <formula>$B289="Tender Received"</formula>
    </cfRule>
  </conditionalFormatting>
  <conditionalFormatting sqref="J289">
    <cfRule type="expression" dxfId="6417" priority="8299" stopIfTrue="1">
      <formula>AND($B289="Tender Received",$D289&lt;=(TODAY()+3))</formula>
    </cfRule>
    <cfRule type="expression" dxfId="6416" priority="8300" stopIfTrue="1">
      <formula>$B289="Tender Received"</formula>
    </cfRule>
  </conditionalFormatting>
  <conditionalFormatting sqref="G289">
    <cfRule type="expression" dxfId="6415" priority="8297" stopIfTrue="1">
      <formula>AND($B289="Tender Received",$D289&lt;=(TODAY()+3))</formula>
    </cfRule>
    <cfRule type="expression" dxfId="6414" priority="8298" stopIfTrue="1">
      <formula>$B289="Tender Received"</formula>
    </cfRule>
  </conditionalFormatting>
  <conditionalFormatting sqref="R290">
    <cfRule type="expression" dxfId="6413" priority="8295" stopIfTrue="1">
      <formula>AND($B290="Tender Received",$D290&lt;=(TODAY()+3))</formula>
    </cfRule>
    <cfRule type="expression" dxfId="6412" priority="8296" stopIfTrue="1">
      <formula>$B290="Tender Received"</formula>
    </cfRule>
  </conditionalFormatting>
  <conditionalFormatting sqref="L290:Q290">
    <cfRule type="expression" dxfId="6411" priority="8293" stopIfTrue="1">
      <formula>AND($B290="Tender Received",$D290&lt;=(TODAY()+3))</formula>
    </cfRule>
    <cfRule type="expression" dxfId="6410" priority="8294" stopIfTrue="1">
      <formula>$B290="Tender Received"</formula>
    </cfRule>
  </conditionalFormatting>
  <conditionalFormatting sqref="F290">
    <cfRule type="expression" dxfId="6409" priority="8291" stopIfTrue="1">
      <formula>AND($B290="Tender Received",$D290&lt;=(TODAY()+3))</formula>
    </cfRule>
    <cfRule type="expression" dxfId="6408" priority="8292" stopIfTrue="1">
      <formula>$B290="Tender Received"</formula>
    </cfRule>
  </conditionalFormatting>
  <conditionalFormatting sqref="D290">
    <cfRule type="expression" dxfId="6407" priority="8289" stopIfTrue="1">
      <formula>AND($B290="Tender Received",$D290&lt;=(TODAY()+3))</formula>
    </cfRule>
    <cfRule type="expression" dxfId="6406" priority="8290" stopIfTrue="1">
      <formula>$B290="Tender Received"</formula>
    </cfRule>
  </conditionalFormatting>
  <conditionalFormatting sqref="F290:I290 K290">
    <cfRule type="expression" dxfId="6405" priority="8287" stopIfTrue="1">
      <formula>AND($B290="Tender Received",$D290&lt;=(TODAY()+3))</formula>
    </cfRule>
    <cfRule type="expression" dxfId="6404" priority="8288" stopIfTrue="1">
      <formula>$B290="Tender Received"</formula>
    </cfRule>
  </conditionalFormatting>
  <conditionalFormatting sqref="E290">
    <cfRule type="expression" dxfId="6403" priority="8285" stopIfTrue="1">
      <formula>AND($B290="Tender Received",$D290&lt;=(TODAY()+3))</formula>
    </cfRule>
    <cfRule type="expression" dxfId="6402" priority="8286" stopIfTrue="1">
      <formula>$B290="Tender Received"</formula>
    </cfRule>
  </conditionalFormatting>
  <conditionalFormatting sqref="C290:D290">
    <cfRule type="expression" dxfId="6401" priority="8283" stopIfTrue="1">
      <formula>AND($B290="Tender Received",$D290&lt;=(TODAY()+3))</formula>
    </cfRule>
    <cfRule type="expression" dxfId="6400" priority="8284" stopIfTrue="1">
      <formula>$B290="Tender Received"</formula>
    </cfRule>
  </conditionalFormatting>
  <conditionalFormatting sqref="J290">
    <cfRule type="expression" dxfId="6399" priority="8281" stopIfTrue="1">
      <formula>AND($B290="Tender Received",$D290&lt;=(TODAY()+3))</formula>
    </cfRule>
    <cfRule type="expression" dxfId="6398" priority="8282" stopIfTrue="1">
      <formula>$B290="Tender Received"</formula>
    </cfRule>
  </conditionalFormatting>
  <conditionalFormatting sqref="G290">
    <cfRule type="expression" dxfId="6397" priority="8279" stopIfTrue="1">
      <formula>AND($B290="Tender Received",$D290&lt;=(TODAY()+3))</formula>
    </cfRule>
    <cfRule type="expression" dxfId="6396" priority="8280" stopIfTrue="1">
      <formula>$B290="Tender Received"</formula>
    </cfRule>
  </conditionalFormatting>
  <conditionalFormatting sqref="R291">
    <cfRule type="expression" dxfId="6395" priority="8277" stopIfTrue="1">
      <formula>AND($B291="Tender Received",$D291&lt;=(TODAY()+3))</formula>
    </cfRule>
    <cfRule type="expression" dxfId="6394" priority="8278" stopIfTrue="1">
      <formula>$B291="Tender Received"</formula>
    </cfRule>
  </conditionalFormatting>
  <conditionalFormatting sqref="L291:Q291">
    <cfRule type="expression" dxfId="6393" priority="8275" stopIfTrue="1">
      <formula>AND($B291="Tender Received",$D291&lt;=(TODAY()+3))</formula>
    </cfRule>
    <cfRule type="expression" dxfId="6392" priority="8276" stopIfTrue="1">
      <formula>$B291="Tender Received"</formula>
    </cfRule>
  </conditionalFormatting>
  <conditionalFormatting sqref="F291">
    <cfRule type="expression" dxfId="6391" priority="8273" stopIfTrue="1">
      <formula>AND($B291="Tender Received",$D291&lt;=(TODAY()+3))</formula>
    </cfRule>
    <cfRule type="expression" dxfId="6390" priority="8274" stopIfTrue="1">
      <formula>$B291="Tender Received"</formula>
    </cfRule>
  </conditionalFormatting>
  <conditionalFormatting sqref="D291">
    <cfRule type="expression" dxfId="6389" priority="8271" stopIfTrue="1">
      <formula>AND($B291="Tender Received",$D291&lt;=(TODAY()+3))</formula>
    </cfRule>
    <cfRule type="expression" dxfId="6388" priority="8272" stopIfTrue="1">
      <formula>$B291="Tender Received"</formula>
    </cfRule>
  </conditionalFormatting>
  <conditionalFormatting sqref="F291:I291 K291">
    <cfRule type="expression" dxfId="6387" priority="8269" stopIfTrue="1">
      <formula>AND($B291="Tender Received",$D291&lt;=(TODAY()+3))</formula>
    </cfRule>
    <cfRule type="expression" dxfId="6386" priority="8270" stopIfTrue="1">
      <formula>$B291="Tender Received"</formula>
    </cfRule>
  </conditionalFormatting>
  <conditionalFormatting sqref="E291">
    <cfRule type="expression" dxfId="6385" priority="8267" stopIfTrue="1">
      <formula>AND($B291="Tender Received",$D291&lt;=(TODAY()+3))</formula>
    </cfRule>
    <cfRule type="expression" dxfId="6384" priority="8268" stopIfTrue="1">
      <formula>$B291="Tender Received"</formula>
    </cfRule>
  </conditionalFormatting>
  <conditionalFormatting sqref="C291:D291">
    <cfRule type="expression" dxfId="6383" priority="8265" stopIfTrue="1">
      <formula>AND($B291="Tender Received",$D291&lt;=(TODAY()+3))</formula>
    </cfRule>
    <cfRule type="expression" dxfId="6382" priority="8266" stopIfTrue="1">
      <formula>$B291="Tender Received"</formula>
    </cfRule>
  </conditionalFormatting>
  <conditionalFormatting sqref="J291">
    <cfRule type="expression" dxfId="6381" priority="8263" stopIfTrue="1">
      <formula>AND($B291="Tender Received",$D291&lt;=(TODAY()+3))</formula>
    </cfRule>
    <cfRule type="expression" dxfId="6380" priority="8264" stopIfTrue="1">
      <formula>$B291="Tender Received"</formula>
    </cfRule>
  </conditionalFormatting>
  <conditionalFormatting sqref="G291">
    <cfRule type="expression" dxfId="6379" priority="8261" stopIfTrue="1">
      <formula>AND($B291="Tender Received",$D291&lt;=(TODAY()+3))</formula>
    </cfRule>
    <cfRule type="expression" dxfId="6378" priority="8262" stopIfTrue="1">
      <formula>$B291="Tender Received"</formula>
    </cfRule>
  </conditionalFormatting>
  <conditionalFormatting sqref="R292">
    <cfRule type="expression" dxfId="6377" priority="8259" stopIfTrue="1">
      <formula>AND($B292="Tender Received",$D292&lt;=(TODAY()+3))</formula>
    </cfRule>
    <cfRule type="expression" dxfId="6376" priority="8260" stopIfTrue="1">
      <formula>$B292="Tender Received"</formula>
    </cfRule>
  </conditionalFormatting>
  <conditionalFormatting sqref="L292:Q292">
    <cfRule type="expression" dxfId="6375" priority="8257" stopIfTrue="1">
      <formula>AND($B292="Tender Received",$D292&lt;=(TODAY()+3))</formula>
    </cfRule>
    <cfRule type="expression" dxfId="6374" priority="8258" stopIfTrue="1">
      <formula>$B292="Tender Received"</formula>
    </cfRule>
  </conditionalFormatting>
  <conditionalFormatting sqref="F292">
    <cfRule type="expression" dxfId="6373" priority="8255" stopIfTrue="1">
      <formula>AND($B292="Tender Received",$D292&lt;=(TODAY()+3))</formula>
    </cfRule>
    <cfRule type="expression" dxfId="6372" priority="8256" stopIfTrue="1">
      <formula>$B292="Tender Received"</formula>
    </cfRule>
  </conditionalFormatting>
  <conditionalFormatting sqref="D292">
    <cfRule type="expression" dxfId="6371" priority="8253" stopIfTrue="1">
      <formula>AND($B292="Tender Received",$D292&lt;=(TODAY()+3))</formula>
    </cfRule>
    <cfRule type="expression" dxfId="6370" priority="8254" stopIfTrue="1">
      <formula>$B292="Tender Received"</formula>
    </cfRule>
  </conditionalFormatting>
  <conditionalFormatting sqref="F292 H292:I292">
    <cfRule type="expression" dxfId="6369" priority="8251" stopIfTrue="1">
      <formula>AND($B292="Tender Received",$D292&lt;=(TODAY()+3))</formula>
    </cfRule>
    <cfRule type="expression" dxfId="6368" priority="8252" stopIfTrue="1">
      <formula>$B292="Tender Received"</formula>
    </cfRule>
  </conditionalFormatting>
  <conditionalFormatting sqref="E292">
    <cfRule type="expression" dxfId="6367" priority="8249" stopIfTrue="1">
      <formula>AND($B292="Tender Received",$D292&lt;=(TODAY()+3))</formula>
    </cfRule>
    <cfRule type="expression" dxfId="6366" priority="8250" stopIfTrue="1">
      <formula>$B292="Tender Received"</formula>
    </cfRule>
  </conditionalFormatting>
  <conditionalFormatting sqref="C292:D292">
    <cfRule type="expression" dxfId="6365" priority="8247" stopIfTrue="1">
      <formula>AND($B292="Tender Received",$D292&lt;=(TODAY()+3))</formula>
    </cfRule>
    <cfRule type="expression" dxfId="6364" priority="8248" stopIfTrue="1">
      <formula>$B292="Tender Received"</formula>
    </cfRule>
  </conditionalFormatting>
  <conditionalFormatting sqref="G292">
    <cfRule type="expression" dxfId="6363" priority="8245" stopIfTrue="1">
      <formula>AND($B292="Tender Received",$D292&lt;=(TODAY()+3))</formula>
    </cfRule>
    <cfRule type="expression" dxfId="6362" priority="8246" stopIfTrue="1">
      <formula>$B292="Tender Received"</formula>
    </cfRule>
  </conditionalFormatting>
  <conditionalFormatting sqref="G292">
    <cfRule type="expression" dxfId="6361" priority="8243" stopIfTrue="1">
      <formula>AND($B292="Tender Received",$D292&lt;=(TODAY()+3))</formula>
    </cfRule>
    <cfRule type="expression" dxfId="6360" priority="8244" stopIfTrue="1">
      <formula>$B292="Tender Received"</formula>
    </cfRule>
  </conditionalFormatting>
  <conditionalFormatting sqref="J292">
    <cfRule type="expression" dxfId="6359" priority="8241" stopIfTrue="1">
      <formula>AND($B292="Tender Received",$D292&lt;=(TODAY()+3))</formula>
    </cfRule>
    <cfRule type="expression" dxfId="6358" priority="8242" stopIfTrue="1">
      <formula>$B292="Tender Received"</formula>
    </cfRule>
  </conditionalFormatting>
  <conditionalFormatting sqref="K292">
    <cfRule type="expression" dxfId="6357" priority="8239" stopIfTrue="1">
      <formula>AND($B292="Tender Received",$D292&lt;=(TODAY()+3))</formula>
    </cfRule>
    <cfRule type="expression" dxfId="6356" priority="8240" stopIfTrue="1">
      <formula>$B292="Tender Received"</formula>
    </cfRule>
  </conditionalFormatting>
  <conditionalFormatting sqref="R293">
    <cfRule type="expression" dxfId="6355" priority="8237" stopIfTrue="1">
      <formula>AND($B293="Tender Received",$D293&lt;=(TODAY()+3))</formula>
    </cfRule>
    <cfRule type="expression" dxfId="6354" priority="8238" stopIfTrue="1">
      <formula>$B293="Tender Received"</formula>
    </cfRule>
  </conditionalFormatting>
  <conditionalFormatting sqref="L293:Q293">
    <cfRule type="expression" dxfId="6353" priority="8235" stopIfTrue="1">
      <formula>AND($B293="Tender Received",$D293&lt;=(TODAY()+3))</formula>
    </cfRule>
    <cfRule type="expression" dxfId="6352" priority="8236" stopIfTrue="1">
      <formula>$B293="Tender Received"</formula>
    </cfRule>
  </conditionalFormatting>
  <conditionalFormatting sqref="F293">
    <cfRule type="expression" dxfId="6351" priority="8233" stopIfTrue="1">
      <formula>AND($B293="Tender Received",$D293&lt;=(TODAY()+3))</formula>
    </cfRule>
    <cfRule type="expression" dxfId="6350" priority="8234" stopIfTrue="1">
      <formula>$B293="Tender Received"</formula>
    </cfRule>
  </conditionalFormatting>
  <conditionalFormatting sqref="D293">
    <cfRule type="expression" dxfId="6349" priority="8231" stopIfTrue="1">
      <formula>AND($B293="Tender Received",$D293&lt;=(TODAY()+3))</formula>
    </cfRule>
    <cfRule type="expression" dxfId="6348" priority="8232" stopIfTrue="1">
      <formula>$B293="Tender Received"</formula>
    </cfRule>
  </conditionalFormatting>
  <conditionalFormatting sqref="F293 H293:I293">
    <cfRule type="expression" dxfId="6347" priority="8229" stopIfTrue="1">
      <formula>AND($B293="Tender Received",$D293&lt;=(TODAY()+3))</formula>
    </cfRule>
    <cfRule type="expression" dxfId="6346" priority="8230" stopIfTrue="1">
      <formula>$B293="Tender Received"</formula>
    </cfRule>
  </conditionalFormatting>
  <conditionalFormatting sqref="E293">
    <cfRule type="expression" dxfId="6345" priority="8227" stopIfTrue="1">
      <formula>AND($B293="Tender Received",$D293&lt;=(TODAY()+3))</formula>
    </cfRule>
    <cfRule type="expression" dxfId="6344" priority="8228" stopIfTrue="1">
      <formula>$B293="Tender Received"</formula>
    </cfRule>
  </conditionalFormatting>
  <conditionalFormatting sqref="C293:D293">
    <cfRule type="expression" dxfId="6343" priority="8225" stopIfTrue="1">
      <formula>AND($B293="Tender Received",$D293&lt;=(TODAY()+3))</formula>
    </cfRule>
    <cfRule type="expression" dxfId="6342" priority="8226" stopIfTrue="1">
      <formula>$B293="Tender Received"</formula>
    </cfRule>
  </conditionalFormatting>
  <conditionalFormatting sqref="G293">
    <cfRule type="expression" dxfId="6341" priority="8223" stopIfTrue="1">
      <formula>AND($B293="Tender Received",$D293&lt;=(TODAY()+3))</formula>
    </cfRule>
    <cfRule type="expression" dxfId="6340" priority="8224" stopIfTrue="1">
      <formula>$B293="Tender Received"</formula>
    </cfRule>
  </conditionalFormatting>
  <conditionalFormatting sqref="G293">
    <cfRule type="expression" dxfId="6339" priority="8221" stopIfTrue="1">
      <formula>AND($B293="Tender Received",$D293&lt;=(TODAY()+3))</formula>
    </cfRule>
    <cfRule type="expression" dxfId="6338" priority="8222" stopIfTrue="1">
      <formula>$B293="Tender Received"</formula>
    </cfRule>
  </conditionalFormatting>
  <conditionalFormatting sqref="J293">
    <cfRule type="expression" dxfId="6337" priority="8219" stopIfTrue="1">
      <formula>AND($B293="Tender Received",$D293&lt;=(TODAY()+3))</formula>
    </cfRule>
    <cfRule type="expression" dxfId="6336" priority="8220" stopIfTrue="1">
      <formula>$B293="Tender Received"</formula>
    </cfRule>
  </conditionalFormatting>
  <conditionalFormatting sqref="K293">
    <cfRule type="expression" dxfId="6335" priority="8217" stopIfTrue="1">
      <formula>AND($B293="Tender Received",$D293&lt;=(TODAY()+3))</formula>
    </cfRule>
    <cfRule type="expression" dxfId="6334" priority="8218" stopIfTrue="1">
      <formula>$B293="Tender Received"</formula>
    </cfRule>
  </conditionalFormatting>
  <conditionalFormatting sqref="R294">
    <cfRule type="expression" dxfId="6333" priority="8215" stopIfTrue="1">
      <formula>AND($B294="Tender Received",$D294&lt;=(TODAY()+3))</formula>
    </cfRule>
    <cfRule type="expression" dxfId="6332" priority="8216" stopIfTrue="1">
      <formula>$B294="Tender Received"</formula>
    </cfRule>
  </conditionalFormatting>
  <conditionalFormatting sqref="L294:Q294">
    <cfRule type="expression" dxfId="6331" priority="8213" stopIfTrue="1">
      <formula>AND($B294="Tender Received",$D294&lt;=(TODAY()+3))</formula>
    </cfRule>
    <cfRule type="expression" dxfId="6330" priority="8214" stopIfTrue="1">
      <formula>$B294="Tender Received"</formula>
    </cfRule>
  </conditionalFormatting>
  <conditionalFormatting sqref="H294:I294">
    <cfRule type="expression" dxfId="6329" priority="8211" stopIfTrue="1">
      <formula>AND($B294="Tender Received",$D294&lt;=(TODAY()+3))</formula>
    </cfRule>
    <cfRule type="expression" dxfId="6328" priority="8212" stopIfTrue="1">
      <formula>$B294="Tender Received"</formula>
    </cfRule>
  </conditionalFormatting>
  <conditionalFormatting sqref="J294">
    <cfRule type="expression" dxfId="6327" priority="8209" stopIfTrue="1">
      <formula>AND($B294="Tender Received",$D294&lt;=(TODAY()+3))</formula>
    </cfRule>
    <cfRule type="expression" dxfId="6326" priority="8210" stopIfTrue="1">
      <formula>$B294="Tender Received"</formula>
    </cfRule>
  </conditionalFormatting>
  <conditionalFormatting sqref="K294">
    <cfRule type="expression" dxfId="6325" priority="8207" stopIfTrue="1">
      <formula>AND($B294="Tender Received",$D294&lt;=(TODAY()+3))</formula>
    </cfRule>
    <cfRule type="expression" dxfId="6324" priority="8208" stopIfTrue="1">
      <formula>$B294="Tender Received"</formula>
    </cfRule>
  </conditionalFormatting>
  <conditionalFormatting sqref="F294">
    <cfRule type="expression" dxfId="6323" priority="8205" stopIfTrue="1">
      <formula>AND($B294="Tender Received",$D294&lt;=(TODAY()+3))</formula>
    </cfRule>
    <cfRule type="expression" dxfId="6322" priority="8206" stopIfTrue="1">
      <formula>$B294="Tender Received"</formula>
    </cfRule>
  </conditionalFormatting>
  <conditionalFormatting sqref="D294">
    <cfRule type="expression" dxfId="6321" priority="8203" stopIfTrue="1">
      <formula>AND($B294="Tender Received",$D294&lt;=(TODAY()+3))</formula>
    </cfRule>
    <cfRule type="expression" dxfId="6320" priority="8204" stopIfTrue="1">
      <formula>$B294="Tender Received"</formula>
    </cfRule>
  </conditionalFormatting>
  <conditionalFormatting sqref="F294">
    <cfRule type="expression" dxfId="6319" priority="8201" stopIfTrue="1">
      <formula>AND($B294="Tender Received",$D294&lt;=(TODAY()+3))</formula>
    </cfRule>
    <cfRule type="expression" dxfId="6318" priority="8202" stopIfTrue="1">
      <formula>$B294="Tender Received"</formula>
    </cfRule>
  </conditionalFormatting>
  <conditionalFormatting sqref="E294">
    <cfRule type="expression" dxfId="6317" priority="8199" stopIfTrue="1">
      <formula>AND($B294="Tender Received",$D294&lt;=(TODAY()+3))</formula>
    </cfRule>
    <cfRule type="expression" dxfId="6316" priority="8200" stopIfTrue="1">
      <formula>$B294="Tender Received"</formula>
    </cfRule>
  </conditionalFormatting>
  <conditionalFormatting sqref="C294:D294">
    <cfRule type="expression" dxfId="6315" priority="8197" stopIfTrue="1">
      <formula>AND($B294="Tender Received",$D294&lt;=(TODAY()+3))</formula>
    </cfRule>
    <cfRule type="expression" dxfId="6314" priority="8198" stopIfTrue="1">
      <formula>$B294="Tender Received"</formula>
    </cfRule>
  </conditionalFormatting>
  <conditionalFormatting sqref="G294">
    <cfRule type="expression" dxfId="6313" priority="8195" stopIfTrue="1">
      <formula>AND($B294="Tender Received",$D294&lt;=(TODAY()+3))</formula>
    </cfRule>
    <cfRule type="expression" dxfId="6312" priority="8196" stopIfTrue="1">
      <formula>$B294="Tender Received"</formula>
    </cfRule>
  </conditionalFormatting>
  <conditionalFormatting sqref="G294">
    <cfRule type="expression" dxfId="6311" priority="8193" stopIfTrue="1">
      <formula>AND($B294="Tender Received",$D294&lt;=(TODAY()+3))</formula>
    </cfRule>
    <cfRule type="expression" dxfId="6310" priority="8194" stopIfTrue="1">
      <formula>$B294="Tender Received"</formula>
    </cfRule>
  </conditionalFormatting>
  <conditionalFormatting sqref="R295">
    <cfRule type="expression" dxfId="6309" priority="8191" stopIfTrue="1">
      <formula>AND($B295="Tender Received",$D295&lt;=(TODAY()+3))</formula>
    </cfRule>
    <cfRule type="expression" dxfId="6308" priority="8192" stopIfTrue="1">
      <formula>$B295="Tender Received"</formula>
    </cfRule>
  </conditionalFormatting>
  <conditionalFormatting sqref="L295:Q295">
    <cfRule type="expression" dxfId="6307" priority="8189" stopIfTrue="1">
      <formula>AND($B295="Tender Received",$D295&lt;=(TODAY()+3))</formula>
    </cfRule>
    <cfRule type="expression" dxfId="6306" priority="8190" stopIfTrue="1">
      <formula>$B295="Tender Received"</formula>
    </cfRule>
  </conditionalFormatting>
  <conditionalFormatting sqref="H295:I295">
    <cfRule type="expression" dxfId="6305" priority="8187" stopIfTrue="1">
      <formula>AND($B295="Tender Received",$D295&lt;=(TODAY()+3))</formula>
    </cfRule>
    <cfRule type="expression" dxfId="6304" priority="8188" stopIfTrue="1">
      <formula>$B295="Tender Received"</formula>
    </cfRule>
  </conditionalFormatting>
  <conditionalFormatting sqref="J295">
    <cfRule type="expression" dxfId="6303" priority="8185" stopIfTrue="1">
      <formula>AND($B295="Tender Received",$D295&lt;=(TODAY()+3))</formula>
    </cfRule>
    <cfRule type="expression" dxfId="6302" priority="8186" stopIfTrue="1">
      <formula>$B295="Tender Received"</formula>
    </cfRule>
  </conditionalFormatting>
  <conditionalFormatting sqref="K295">
    <cfRule type="expression" dxfId="6301" priority="8183" stopIfTrue="1">
      <formula>AND($B295="Tender Received",$D295&lt;=(TODAY()+3))</formula>
    </cfRule>
    <cfRule type="expression" dxfId="6300" priority="8184" stopIfTrue="1">
      <formula>$B295="Tender Received"</formula>
    </cfRule>
  </conditionalFormatting>
  <conditionalFormatting sqref="F295">
    <cfRule type="expression" dxfId="6299" priority="8181" stopIfTrue="1">
      <formula>AND($B295="Tender Received",$D295&lt;=(TODAY()+3))</formula>
    </cfRule>
    <cfRule type="expression" dxfId="6298" priority="8182" stopIfTrue="1">
      <formula>$B295="Tender Received"</formula>
    </cfRule>
  </conditionalFormatting>
  <conditionalFormatting sqref="D295">
    <cfRule type="expression" dxfId="6297" priority="8179" stopIfTrue="1">
      <formula>AND($B295="Tender Received",$D295&lt;=(TODAY()+3))</formula>
    </cfRule>
    <cfRule type="expression" dxfId="6296" priority="8180" stopIfTrue="1">
      <formula>$B295="Tender Received"</formula>
    </cfRule>
  </conditionalFormatting>
  <conditionalFormatting sqref="F295">
    <cfRule type="expression" dxfId="6295" priority="8177" stopIfTrue="1">
      <formula>AND($B295="Tender Received",$D295&lt;=(TODAY()+3))</formula>
    </cfRule>
    <cfRule type="expression" dxfId="6294" priority="8178" stopIfTrue="1">
      <formula>$B295="Tender Received"</formula>
    </cfRule>
  </conditionalFormatting>
  <conditionalFormatting sqref="E295">
    <cfRule type="expression" dxfId="6293" priority="8175" stopIfTrue="1">
      <formula>AND($B295="Tender Received",$D295&lt;=(TODAY()+3))</formula>
    </cfRule>
    <cfRule type="expression" dxfId="6292" priority="8176" stopIfTrue="1">
      <formula>$B295="Tender Received"</formula>
    </cfRule>
  </conditionalFormatting>
  <conditionalFormatting sqref="C295:D295">
    <cfRule type="expression" dxfId="6291" priority="8173" stopIfTrue="1">
      <formula>AND($B295="Tender Received",$D295&lt;=(TODAY()+3))</formula>
    </cfRule>
    <cfRule type="expression" dxfId="6290" priority="8174" stopIfTrue="1">
      <formula>$B295="Tender Received"</formula>
    </cfRule>
  </conditionalFormatting>
  <conditionalFormatting sqref="G295">
    <cfRule type="expression" dxfId="6289" priority="8171" stopIfTrue="1">
      <formula>AND($B295="Tender Received",$D295&lt;=(TODAY()+3))</formula>
    </cfRule>
    <cfRule type="expression" dxfId="6288" priority="8172" stopIfTrue="1">
      <formula>$B295="Tender Received"</formula>
    </cfRule>
  </conditionalFormatting>
  <conditionalFormatting sqref="G295">
    <cfRule type="expression" dxfId="6287" priority="8169" stopIfTrue="1">
      <formula>AND($B295="Tender Received",$D295&lt;=(TODAY()+3))</formula>
    </cfRule>
    <cfRule type="expression" dxfId="6286" priority="8170" stopIfTrue="1">
      <formula>$B295="Tender Received"</formula>
    </cfRule>
  </conditionalFormatting>
  <conditionalFormatting sqref="R296">
    <cfRule type="expression" dxfId="6285" priority="8167" stopIfTrue="1">
      <formula>AND($B296="Tender Received",$D296&lt;=(TODAY()+3))</formula>
    </cfRule>
    <cfRule type="expression" dxfId="6284" priority="8168" stopIfTrue="1">
      <formula>$B296="Tender Received"</formula>
    </cfRule>
  </conditionalFormatting>
  <conditionalFormatting sqref="L296:Q296">
    <cfRule type="expression" dxfId="6283" priority="8165" stopIfTrue="1">
      <formula>AND($B296="Tender Received",$D296&lt;=(TODAY()+3))</formula>
    </cfRule>
    <cfRule type="expression" dxfId="6282" priority="8166" stopIfTrue="1">
      <formula>$B296="Tender Received"</formula>
    </cfRule>
  </conditionalFormatting>
  <conditionalFormatting sqref="H296:I296">
    <cfRule type="expression" dxfId="6281" priority="8163" stopIfTrue="1">
      <formula>AND($B296="Tender Received",$D296&lt;=(TODAY()+3))</formula>
    </cfRule>
    <cfRule type="expression" dxfId="6280" priority="8164" stopIfTrue="1">
      <formula>$B296="Tender Received"</formula>
    </cfRule>
  </conditionalFormatting>
  <conditionalFormatting sqref="J296">
    <cfRule type="expression" dxfId="6279" priority="8161" stopIfTrue="1">
      <formula>AND($B296="Tender Received",$D296&lt;=(TODAY()+3))</formula>
    </cfRule>
    <cfRule type="expression" dxfId="6278" priority="8162" stopIfTrue="1">
      <formula>$B296="Tender Received"</formula>
    </cfRule>
  </conditionalFormatting>
  <conditionalFormatting sqref="K296">
    <cfRule type="expression" dxfId="6277" priority="8159" stopIfTrue="1">
      <formula>AND($B296="Tender Received",$D296&lt;=(TODAY()+3))</formula>
    </cfRule>
    <cfRule type="expression" dxfId="6276" priority="8160" stopIfTrue="1">
      <formula>$B296="Tender Received"</formula>
    </cfRule>
  </conditionalFormatting>
  <conditionalFormatting sqref="F296">
    <cfRule type="expression" dxfId="6275" priority="8157" stopIfTrue="1">
      <formula>AND($B296="Tender Received",$D296&lt;=(TODAY()+3))</formula>
    </cfRule>
    <cfRule type="expression" dxfId="6274" priority="8158" stopIfTrue="1">
      <formula>$B296="Tender Received"</formula>
    </cfRule>
  </conditionalFormatting>
  <conditionalFormatting sqref="D296">
    <cfRule type="expression" dxfId="6273" priority="8155" stopIfTrue="1">
      <formula>AND($B296="Tender Received",$D296&lt;=(TODAY()+3))</formula>
    </cfRule>
    <cfRule type="expression" dxfId="6272" priority="8156" stopIfTrue="1">
      <formula>$B296="Tender Received"</formula>
    </cfRule>
  </conditionalFormatting>
  <conditionalFormatting sqref="F296">
    <cfRule type="expression" dxfId="6271" priority="8153" stopIfTrue="1">
      <formula>AND($B296="Tender Received",$D296&lt;=(TODAY()+3))</formula>
    </cfRule>
    <cfRule type="expression" dxfId="6270" priority="8154" stopIfTrue="1">
      <formula>$B296="Tender Received"</formula>
    </cfRule>
  </conditionalFormatting>
  <conditionalFormatting sqref="E296">
    <cfRule type="expression" dxfId="6269" priority="8151" stopIfTrue="1">
      <formula>AND($B296="Tender Received",$D296&lt;=(TODAY()+3))</formula>
    </cfRule>
    <cfRule type="expression" dxfId="6268" priority="8152" stopIfTrue="1">
      <formula>$B296="Tender Received"</formula>
    </cfRule>
  </conditionalFormatting>
  <conditionalFormatting sqref="C296:D296">
    <cfRule type="expression" dxfId="6267" priority="8149" stopIfTrue="1">
      <formula>AND($B296="Tender Received",$D296&lt;=(TODAY()+3))</formula>
    </cfRule>
    <cfRule type="expression" dxfId="6266" priority="8150" stopIfTrue="1">
      <formula>$B296="Tender Received"</formula>
    </cfRule>
  </conditionalFormatting>
  <conditionalFormatting sqref="G296">
    <cfRule type="expression" dxfId="6265" priority="8147" stopIfTrue="1">
      <formula>AND($B296="Tender Received",$D296&lt;=(TODAY()+3))</formula>
    </cfRule>
    <cfRule type="expression" dxfId="6264" priority="8148" stopIfTrue="1">
      <formula>$B296="Tender Received"</formula>
    </cfRule>
  </conditionalFormatting>
  <conditionalFormatting sqref="G296">
    <cfRule type="expression" dxfId="6263" priority="8145" stopIfTrue="1">
      <formula>AND($B296="Tender Received",$D296&lt;=(TODAY()+3))</formula>
    </cfRule>
    <cfRule type="expression" dxfId="6262" priority="8146" stopIfTrue="1">
      <formula>$B296="Tender Received"</formula>
    </cfRule>
  </conditionalFormatting>
  <conditionalFormatting sqref="L297:P297">
    <cfRule type="expression" dxfId="6261" priority="8143" stopIfTrue="1">
      <formula>AND($B297="Tender Received",$D297&lt;=(TODAY()+3))</formula>
    </cfRule>
    <cfRule type="expression" dxfId="6260" priority="8144" stopIfTrue="1">
      <formula>$B297="Tender Received"</formula>
    </cfRule>
  </conditionalFormatting>
  <conditionalFormatting sqref="H297:I297">
    <cfRule type="expression" dxfId="6259" priority="8141" stopIfTrue="1">
      <formula>AND($B297="Tender Received",$D297&lt;=(TODAY()+3))</formula>
    </cfRule>
    <cfRule type="expression" dxfId="6258" priority="8142" stopIfTrue="1">
      <formula>$B297="Tender Received"</formula>
    </cfRule>
  </conditionalFormatting>
  <conditionalFormatting sqref="J297">
    <cfRule type="expression" dxfId="6257" priority="8139" stopIfTrue="1">
      <formula>AND($B297="Tender Received",$D297&lt;=(TODAY()+3))</formula>
    </cfRule>
    <cfRule type="expression" dxfId="6256" priority="8140" stopIfTrue="1">
      <formula>$B297="Tender Received"</formula>
    </cfRule>
  </conditionalFormatting>
  <conditionalFormatting sqref="K297">
    <cfRule type="expression" dxfId="6255" priority="8137" stopIfTrue="1">
      <formula>AND($B297="Tender Received",$D297&lt;=(TODAY()+3))</formula>
    </cfRule>
    <cfRule type="expression" dxfId="6254" priority="8138" stopIfTrue="1">
      <formula>$B297="Tender Received"</formula>
    </cfRule>
  </conditionalFormatting>
  <conditionalFormatting sqref="F297">
    <cfRule type="expression" dxfId="6253" priority="8135" stopIfTrue="1">
      <formula>AND($B297="Tender Received",$D297&lt;=(TODAY()+3))</formula>
    </cfRule>
    <cfRule type="expression" dxfId="6252" priority="8136" stopIfTrue="1">
      <formula>$B297="Tender Received"</formula>
    </cfRule>
  </conditionalFormatting>
  <conditionalFormatting sqref="D297">
    <cfRule type="expression" dxfId="6251" priority="8133" stopIfTrue="1">
      <formula>AND($B297="Tender Received",$D297&lt;=(TODAY()+3))</formula>
    </cfRule>
    <cfRule type="expression" dxfId="6250" priority="8134" stopIfTrue="1">
      <formula>$B297="Tender Received"</formula>
    </cfRule>
  </conditionalFormatting>
  <conditionalFormatting sqref="F297">
    <cfRule type="expression" dxfId="6249" priority="8131" stopIfTrue="1">
      <formula>AND($B297="Tender Received",$D297&lt;=(TODAY()+3))</formula>
    </cfRule>
    <cfRule type="expression" dxfId="6248" priority="8132" stopIfTrue="1">
      <formula>$B297="Tender Received"</formula>
    </cfRule>
  </conditionalFormatting>
  <conditionalFormatting sqref="E297">
    <cfRule type="expression" dxfId="6247" priority="8129" stopIfTrue="1">
      <formula>AND($B297="Tender Received",$D297&lt;=(TODAY()+3))</formula>
    </cfRule>
    <cfRule type="expression" dxfId="6246" priority="8130" stopIfTrue="1">
      <formula>$B297="Tender Received"</formula>
    </cfRule>
  </conditionalFormatting>
  <conditionalFormatting sqref="C297:D297">
    <cfRule type="expression" dxfId="6245" priority="8127" stopIfTrue="1">
      <formula>AND($B297="Tender Received",$D297&lt;=(TODAY()+3))</formula>
    </cfRule>
    <cfRule type="expression" dxfId="6244" priority="8128" stopIfTrue="1">
      <formula>$B297="Tender Received"</formula>
    </cfRule>
  </conditionalFormatting>
  <conditionalFormatting sqref="G297">
    <cfRule type="expression" dxfId="6243" priority="8125" stopIfTrue="1">
      <formula>AND($B297="Tender Received",$D297&lt;=(TODAY()+3))</formula>
    </cfRule>
    <cfRule type="expression" dxfId="6242" priority="8126" stopIfTrue="1">
      <formula>$B297="Tender Received"</formula>
    </cfRule>
  </conditionalFormatting>
  <conditionalFormatting sqref="G297">
    <cfRule type="expression" dxfId="6241" priority="8123" stopIfTrue="1">
      <formula>AND($B297="Tender Received",$D297&lt;=(TODAY()+3))</formula>
    </cfRule>
    <cfRule type="expression" dxfId="6240" priority="8124" stopIfTrue="1">
      <formula>$B297="Tender Received"</formula>
    </cfRule>
  </conditionalFormatting>
  <conditionalFormatting sqref="L298:P299">
    <cfRule type="expression" dxfId="6239" priority="8121" stopIfTrue="1">
      <formula>AND($B298="Tender Received",$D298&lt;=(TODAY()+3))</formula>
    </cfRule>
    <cfRule type="expression" dxfId="6238" priority="8122" stopIfTrue="1">
      <formula>$B298="Tender Received"</formula>
    </cfRule>
  </conditionalFormatting>
  <conditionalFormatting sqref="H298:I299">
    <cfRule type="expression" dxfId="6237" priority="8119" stopIfTrue="1">
      <formula>AND($B298="Tender Received",$D298&lt;=(TODAY()+3))</formula>
    </cfRule>
    <cfRule type="expression" dxfId="6236" priority="8120" stopIfTrue="1">
      <formula>$B298="Tender Received"</formula>
    </cfRule>
  </conditionalFormatting>
  <conditionalFormatting sqref="J298:J299">
    <cfRule type="expression" dxfId="6235" priority="8117" stopIfTrue="1">
      <formula>AND($B298="Tender Received",$D298&lt;=(TODAY()+3))</formula>
    </cfRule>
    <cfRule type="expression" dxfId="6234" priority="8118" stopIfTrue="1">
      <formula>$B298="Tender Received"</formula>
    </cfRule>
  </conditionalFormatting>
  <conditionalFormatting sqref="K298:K299">
    <cfRule type="expression" dxfId="6233" priority="8115" stopIfTrue="1">
      <formula>AND($B298="Tender Received",$D298&lt;=(TODAY()+3))</formula>
    </cfRule>
    <cfRule type="expression" dxfId="6232" priority="8116" stopIfTrue="1">
      <formula>$B298="Tender Received"</formula>
    </cfRule>
  </conditionalFormatting>
  <conditionalFormatting sqref="F298:F299">
    <cfRule type="expression" dxfId="6231" priority="8113" stopIfTrue="1">
      <formula>AND($B298="Tender Received",$D298&lt;=(TODAY()+3))</formula>
    </cfRule>
    <cfRule type="expression" dxfId="6230" priority="8114" stopIfTrue="1">
      <formula>$B298="Tender Received"</formula>
    </cfRule>
  </conditionalFormatting>
  <conditionalFormatting sqref="D298:D299">
    <cfRule type="expression" dxfId="6229" priority="8111" stopIfTrue="1">
      <formula>AND($B298="Tender Received",$D298&lt;=(TODAY()+3))</formula>
    </cfRule>
    <cfRule type="expression" dxfId="6228" priority="8112" stopIfTrue="1">
      <formula>$B298="Tender Received"</formula>
    </cfRule>
  </conditionalFormatting>
  <conditionalFormatting sqref="F298:F299">
    <cfRule type="expression" dxfId="6227" priority="8109" stopIfTrue="1">
      <formula>AND($B298="Tender Received",$D298&lt;=(TODAY()+3))</formula>
    </cfRule>
    <cfRule type="expression" dxfId="6226" priority="8110" stopIfTrue="1">
      <formula>$B298="Tender Received"</formula>
    </cfRule>
  </conditionalFormatting>
  <conditionalFormatting sqref="E298:E299">
    <cfRule type="expression" dxfId="6225" priority="8107" stopIfTrue="1">
      <formula>AND($B298="Tender Received",$D298&lt;=(TODAY()+3))</formula>
    </cfRule>
    <cfRule type="expression" dxfId="6224" priority="8108" stopIfTrue="1">
      <formula>$B298="Tender Received"</formula>
    </cfRule>
  </conditionalFormatting>
  <conditionalFormatting sqref="D298:D299">
    <cfRule type="expression" dxfId="6223" priority="8105" stopIfTrue="1">
      <formula>AND($B298="Tender Received",$D298&lt;=(TODAY()+3))</formula>
    </cfRule>
    <cfRule type="expression" dxfId="6222" priority="8106" stopIfTrue="1">
      <formula>$B298="Tender Received"</formula>
    </cfRule>
  </conditionalFormatting>
  <conditionalFormatting sqref="G298:G299">
    <cfRule type="expression" dxfId="6221" priority="8103" stopIfTrue="1">
      <formula>AND($B298="Tender Received",$D298&lt;=(TODAY()+3))</formula>
    </cfRule>
    <cfRule type="expression" dxfId="6220" priority="8104" stopIfTrue="1">
      <formula>$B298="Tender Received"</formula>
    </cfRule>
  </conditionalFormatting>
  <conditionalFormatting sqref="G298:G299">
    <cfRule type="expression" dxfId="6219" priority="8101" stopIfTrue="1">
      <formula>AND($B298="Tender Received",$D298&lt;=(TODAY()+3))</formula>
    </cfRule>
    <cfRule type="expression" dxfId="6218" priority="8102" stopIfTrue="1">
      <formula>$B298="Tender Received"</formula>
    </cfRule>
  </conditionalFormatting>
  <conditionalFormatting sqref="C298:C299">
    <cfRule type="expression" dxfId="6217" priority="8099" stopIfTrue="1">
      <formula>AND($B298="Tender Received",$D298&lt;=(TODAY()+3))</formula>
    </cfRule>
    <cfRule type="expression" dxfId="6216" priority="8100" stopIfTrue="1">
      <formula>$B298="Tender Received"</formula>
    </cfRule>
  </conditionalFormatting>
  <conditionalFormatting sqref="Q300:R300">
    <cfRule type="expression" dxfId="6215" priority="8097" stopIfTrue="1">
      <formula>AND($B300="Tender Received",$D300&lt;=(TODAY()+3))</formula>
    </cfRule>
    <cfRule type="expression" dxfId="6214" priority="8098" stopIfTrue="1">
      <formula>$B300="Tender Received"</formula>
    </cfRule>
  </conditionalFormatting>
  <conditionalFormatting sqref="L300:P300">
    <cfRule type="expression" dxfId="6213" priority="8095" stopIfTrue="1">
      <formula>AND($B300="Tender Received",$D300&lt;=(TODAY()+3))</formula>
    </cfRule>
    <cfRule type="expression" dxfId="6212" priority="8096" stopIfTrue="1">
      <formula>$B300="Tender Received"</formula>
    </cfRule>
  </conditionalFormatting>
  <conditionalFormatting sqref="H300:I300">
    <cfRule type="expression" dxfId="6211" priority="8093" stopIfTrue="1">
      <formula>AND($B300="Tender Received",$D300&lt;=(TODAY()+3))</formula>
    </cfRule>
    <cfRule type="expression" dxfId="6210" priority="8094" stopIfTrue="1">
      <formula>$B300="Tender Received"</formula>
    </cfRule>
  </conditionalFormatting>
  <conditionalFormatting sqref="J300">
    <cfRule type="expression" dxfId="6209" priority="8091" stopIfTrue="1">
      <formula>AND($B300="Tender Received",$D300&lt;=(TODAY()+3))</formula>
    </cfRule>
    <cfRule type="expression" dxfId="6208" priority="8092" stopIfTrue="1">
      <formula>$B300="Tender Received"</formula>
    </cfRule>
  </conditionalFormatting>
  <conditionalFormatting sqref="K300">
    <cfRule type="expression" dxfId="6207" priority="8089" stopIfTrue="1">
      <formula>AND($B300="Tender Received",$D300&lt;=(TODAY()+3))</formula>
    </cfRule>
    <cfRule type="expression" dxfId="6206" priority="8090" stopIfTrue="1">
      <formula>$B300="Tender Received"</formula>
    </cfRule>
  </conditionalFormatting>
  <conditionalFormatting sqref="F300">
    <cfRule type="expression" dxfId="6205" priority="8087" stopIfTrue="1">
      <formula>AND($B300="Tender Received",$D300&lt;=(TODAY()+3))</formula>
    </cfRule>
    <cfRule type="expression" dxfId="6204" priority="8088" stopIfTrue="1">
      <formula>$B300="Tender Received"</formula>
    </cfRule>
  </conditionalFormatting>
  <conditionalFormatting sqref="D300">
    <cfRule type="expression" dxfId="6203" priority="8085" stopIfTrue="1">
      <formula>AND($B300="Tender Received",$D300&lt;=(TODAY()+3))</formula>
    </cfRule>
    <cfRule type="expression" dxfId="6202" priority="8086" stopIfTrue="1">
      <formula>$B300="Tender Received"</formula>
    </cfRule>
  </conditionalFormatting>
  <conditionalFormatting sqref="F300">
    <cfRule type="expression" dxfId="6201" priority="8083" stopIfTrue="1">
      <formula>AND($B300="Tender Received",$D300&lt;=(TODAY()+3))</formula>
    </cfRule>
    <cfRule type="expression" dxfId="6200" priority="8084" stopIfTrue="1">
      <formula>$B300="Tender Received"</formula>
    </cfRule>
  </conditionalFormatting>
  <conditionalFormatting sqref="E300">
    <cfRule type="expression" dxfId="6199" priority="8081" stopIfTrue="1">
      <formula>AND($B300="Tender Received",$D300&lt;=(TODAY()+3))</formula>
    </cfRule>
    <cfRule type="expression" dxfId="6198" priority="8082" stopIfTrue="1">
      <formula>$B300="Tender Received"</formula>
    </cfRule>
  </conditionalFormatting>
  <conditionalFormatting sqref="D300">
    <cfRule type="expression" dxfId="6197" priority="8079" stopIfTrue="1">
      <formula>AND($B300="Tender Received",$D300&lt;=(TODAY()+3))</formula>
    </cfRule>
    <cfRule type="expression" dxfId="6196" priority="8080" stopIfTrue="1">
      <formula>$B300="Tender Received"</formula>
    </cfRule>
  </conditionalFormatting>
  <conditionalFormatting sqref="G300">
    <cfRule type="expression" dxfId="6195" priority="8077" stopIfTrue="1">
      <formula>AND($B300="Tender Received",$D300&lt;=(TODAY()+3))</formula>
    </cfRule>
    <cfRule type="expression" dxfId="6194" priority="8078" stopIfTrue="1">
      <formula>$B300="Tender Received"</formula>
    </cfRule>
  </conditionalFormatting>
  <conditionalFormatting sqref="G300">
    <cfRule type="expression" dxfId="6193" priority="8075" stopIfTrue="1">
      <formula>AND($B300="Tender Received",$D300&lt;=(TODAY()+3))</formula>
    </cfRule>
    <cfRule type="expression" dxfId="6192" priority="8076" stopIfTrue="1">
      <formula>$B300="Tender Received"</formula>
    </cfRule>
  </conditionalFormatting>
  <conditionalFormatting sqref="C300">
    <cfRule type="expression" dxfId="6191" priority="8073" stopIfTrue="1">
      <formula>AND($B300="Tender Received",$D300&lt;=(TODAY()+3))</formula>
    </cfRule>
    <cfRule type="expression" dxfId="6190" priority="8074" stopIfTrue="1">
      <formula>$B300="Tender Received"</formula>
    </cfRule>
  </conditionalFormatting>
  <conditionalFormatting sqref="Q301:R301">
    <cfRule type="expression" dxfId="6189" priority="8071" stopIfTrue="1">
      <formula>AND($B301="Tender Received",$D301&lt;=(TODAY()+3))</formula>
    </cfRule>
    <cfRule type="expression" dxfId="6188" priority="8072" stopIfTrue="1">
      <formula>$B301="Tender Received"</formula>
    </cfRule>
  </conditionalFormatting>
  <conditionalFormatting sqref="L301:P301">
    <cfRule type="expression" dxfId="6187" priority="8069" stopIfTrue="1">
      <formula>AND($B301="Tender Received",$D301&lt;=(TODAY()+3))</formula>
    </cfRule>
    <cfRule type="expression" dxfId="6186" priority="8070" stopIfTrue="1">
      <formula>$B301="Tender Received"</formula>
    </cfRule>
  </conditionalFormatting>
  <conditionalFormatting sqref="H301:I301">
    <cfRule type="expression" dxfId="6185" priority="8067" stopIfTrue="1">
      <formula>AND($B301="Tender Received",$D301&lt;=(TODAY()+3))</formula>
    </cfRule>
    <cfRule type="expression" dxfId="6184" priority="8068" stopIfTrue="1">
      <formula>$B301="Tender Received"</formula>
    </cfRule>
  </conditionalFormatting>
  <conditionalFormatting sqref="J301">
    <cfRule type="expression" dxfId="6183" priority="8065" stopIfTrue="1">
      <formula>AND($B301="Tender Received",$D301&lt;=(TODAY()+3))</formula>
    </cfRule>
    <cfRule type="expression" dxfId="6182" priority="8066" stopIfTrue="1">
      <formula>$B301="Tender Received"</formula>
    </cfRule>
  </conditionalFormatting>
  <conditionalFormatting sqref="K301">
    <cfRule type="expression" dxfId="6181" priority="8063" stopIfTrue="1">
      <formula>AND($B301="Tender Received",$D301&lt;=(TODAY()+3))</formula>
    </cfRule>
    <cfRule type="expression" dxfId="6180" priority="8064" stopIfTrue="1">
      <formula>$B301="Tender Received"</formula>
    </cfRule>
  </conditionalFormatting>
  <conditionalFormatting sqref="F301">
    <cfRule type="expression" dxfId="6179" priority="8061" stopIfTrue="1">
      <formula>AND($B301="Tender Received",$D301&lt;=(TODAY()+3))</formula>
    </cfRule>
    <cfRule type="expression" dxfId="6178" priority="8062" stopIfTrue="1">
      <formula>$B301="Tender Received"</formula>
    </cfRule>
  </conditionalFormatting>
  <conditionalFormatting sqref="D301">
    <cfRule type="expression" dxfId="6177" priority="8059" stopIfTrue="1">
      <formula>AND($B301="Tender Received",$D301&lt;=(TODAY()+3))</formula>
    </cfRule>
    <cfRule type="expression" dxfId="6176" priority="8060" stopIfTrue="1">
      <formula>$B301="Tender Received"</formula>
    </cfRule>
  </conditionalFormatting>
  <conditionalFormatting sqref="F301">
    <cfRule type="expression" dxfId="6175" priority="8057" stopIfTrue="1">
      <formula>AND($B301="Tender Received",$D301&lt;=(TODAY()+3))</formula>
    </cfRule>
    <cfRule type="expression" dxfId="6174" priority="8058" stopIfTrue="1">
      <formula>$B301="Tender Received"</formula>
    </cfRule>
  </conditionalFormatting>
  <conditionalFormatting sqref="E301">
    <cfRule type="expression" dxfId="6173" priority="8055" stopIfTrue="1">
      <formula>AND($B301="Tender Received",$D301&lt;=(TODAY()+3))</formula>
    </cfRule>
    <cfRule type="expression" dxfId="6172" priority="8056" stopIfTrue="1">
      <formula>$B301="Tender Received"</formula>
    </cfRule>
  </conditionalFormatting>
  <conditionalFormatting sqref="D301">
    <cfRule type="expression" dxfId="6171" priority="8053" stopIfTrue="1">
      <formula>AND($B301="Tender Received",$D301&lt;=(TODAY()+3))</formula>
    </cfRule>
    <cfRule type="expression" dxfId="6170" priority="8054" stopIfTrue="1">
      <formula>$B301="Tender Received"</formula>
    </cfRule>
  </conditionalFormatting>
  <conditionalFormatting sqref="G301">
    <cfRule type="expression" dxfId="6169" priority="8051" stopIfTrue="1">
      <formula>AND($B301="Tender Received",$D301&lt;=(TODAY()+3))</formula>
    </cfRule>
    <cfRule type="expression" dxfId="6168" priority="8052" stopIfTrue="1">
      <formula>$B301="Tender Received"</formula>
    </cfRule>
  </conditionalFormatting>
  <conditionalFormatting sqref="G301">
    <cfRule type="expression" dxfId="6167" priority="8049" stopIfTrue="1">
      <formula>AND($B301="Tender Received",$D301&lt;=(TODAY()+3))</formula>
    </cfRule>
    <cfRule type="expression" dxfId="6166" priority="8050" stopIfTrue="1">
      <formula>$B301="Tender Received"</formula>
    </cfRule>
  </conditionalFormatting>
  <conditionalFormatting sqref="C301">
    <cfRule type="expression" dxfId="6165" priority="8047" stopIfTrue="1">
      <formula>AND($B301="Tender Received",$D301&lt;=(TODAY()+3))</formula>
    </cfRule>
    <cfRule type="expression" dxfId="6164" priority="8048" stopIfTrue="1">
      <formula>$B301="Tender Received"</formula>
    </cfRule>
  </conditionalFormatting>
  <conditionalFormatting sqref="D302">
    <cfRule type="expression" dxfId="6163" priority="8045" stopIfTrue="1">
      <formula>AND($B302="Tender Received",$D302&lt;=(TODAY()+3))</formula>
    </cfRule>
    <cfRule type="expression" dxfId="6162" priority="8046" stopIfTrue="1">
      <formula>$B302="Tender Received"</formula>
    </cfRule>
  </conditionalFormatting>
  <conditionalFormatting sqref="E302:E303">
    <cfRule type="expression" dxfId="6161" priority="8043" stopIfTrue="1">
      <formula>AND($B302="Tender Received",$D302&lt;=(TODAY()+3))</formula>
    </cfRule>
    <cfRule type="expression" dxfId="6160" priority="8044" stopIfTrue="1">
      <formula>$B302="Tender Received"</formula>
    </cfRule>
  </conditionalFormatting>
  <conditionalFormatting sqref="D302">
    <cfRule type="expression" dxfId="6159" priority="8041" stopIfTrue="1">
      <formula>AND($B302="Tender Received",$D302&lt;=(TODAY()+3))</formula>
    </cfRule>
    <cfRule type="expression" dxfId="6158" priority="8042" stopIfTrue="1">
      <formula>$B302="Tender Received"</formula>
    </cfRule>
  </conditionalFormatting>
  <conditionalFormatting sqref="C302">
    <cfRule type="expression" dxfId="6157" priority="8039" stopIfTrue="1">
      <formula>AND($B302="Tender Received",$D302&lt;=(TODAY()+3))</formula>
    </cfRule>
    <cfRule type="expression" dxfId="6156" priority="8040" stopIfTrue="1">
      <formula>$B302="Tender Received"</formula>
    </cfRule>
  </conditionalFormatting>
  <conditionalFormatting sqref="D303">
    <cfRule type="expression" dxfId="6155" priority="8037" stopIfTrue="1">
      <formula>AND($B303="Tender Received",$D303&lt;=(TODAY()+3))</formula>
    </cfRule>
    <cfRule type="expression" dxfId="6154" priority="8038" stopIfTrue="1">
      <formula>$B303="Tender Received"</formula>
    </cfRule>
  </conditionalFormatting>
  <conditionalFormatting sqref="D303">
    <cfRule type="expression" dxfId="6153" priority="8035" stopIfTrue="1">
      <formula>AND($B303="Tender Received",$D303&lt;=(TODAY()+3))</formula>
    </cfRule>
    <cfRule type="expression" dxfId="6152" priority="8036" stopIfTrue="1">
      <formula>$B303="Tender Received"</formula>
    </cfRule>
  </conditionalFormatting>
  <conditionalFormatting sqref="C303">
    <cfRule type="expression" dxfId="6151" priority="8033" stopIfTrue="1">
      <formula>AND($B303="Tender Received",$D303&lt;=(TODAY()+3))</formula>
    </cfRule>
    <cfRule type="expression" dxfId="6150" priority="8034" stopIfTrue="1">
      <formula>$B303="Tender Received"</formula>
    </cfRule>
  </conditionalFormatting>
  <conditionalFormatting sqref="E304:E306">
    <cfRule type="expression" dxfId="6149" priority="8031" stopIfTrue="1">
      <formula>AND($B304="Tender Received",$D304&lt;=(TODAY()+3))</formula>
    </cfRule>
    <cfRule type="expression" dxfId="6148" priority="8032" stopIfTrue="1">
      <formula>$B304="Tender Received"</formula>
    </cfRule>
  </conditionalFormatting>
  <conditionalFormatting sqref="D304:D306">
    <cfRule type="expression" dxfId="6147" priority="8029" stopIfTrue="1">
      <formula>AND($B304="Tender Received",$D304&lt;=(TODAY()+3))</formula>
    </cfRule>
    <cfRule type="expression" dxfId="6146" priority="8030" stopIfTrue="1">
      <formula>$B304="Tender Received"</formula>
    </cfRule>
  </conditionalFormatting>
  <conditionalFormatting sqref="D304:D306">
    <cfRule type="expression" dxfId="6145" priority="8027" stopIfTrue="1">
      <formula>AND($B304="Tender Received",$D304&lt;=(TODAY()+3))</formula>
    </cfRule>
    <cfRule type="expression" dxfId="6144" priority="8028" stopIfTrue="1">
      <formula>$B304="Tender Received"</formula>
    </cfRule>
  </conditionalFormatting>
  <conditionalFormatting sqref="C304:C306">
    <cfRule type="expression" dxfId="6143" priority="8025" stopIfTrue="1">
      <formula>AND($B304="Tender Received",$D304&lt;=(TODAY()+3))</formula>
    </cfRule>
    <cfRule type="expression" dxfId="6142" priority="8026" stopIfTrue="1">
      <formula>$B304="Tender Received"</formula>
    </cfRule>
  </conditionalFormatting>
  <conditionalFormatting sqref="L307:P307">
    <cfRule type="expression" dxfId="6141" priority="8023" stopIfTrue="1">
      <formula>AND($B307="Tender Received",$D307&lt;=(TODAY()+3))</formula>
    </cfRule>
    <cfRule type="expression" dxfId="6140" priority="8024" stopIfTrue="1">
      <formula>$B307="Tender Received"</formula>
    </cfRule>
  </conditionalFormatting>
  <conditionalFormatting sqref="H307:I307">
    <cfRule type="expression" dxfId="6139" priority="8021" stopIfTrue="1">
      <formula>AND($B307="Tender Received",$D307&lt;=(TODAY()+3))</formula>
    </cfRule>
    <cfRule type="expression" dxfId="6138" priority="8022" stopIfTrue="1">
      <formula>$B307="Tender Received"</formula>
    </cfRule>
  </conditionalFormatting>
  <conditionalFormatting sqref="J307">
    <cfRule type="expression" dxfId="6137" priority="8019" stopIfTrue="1">
      <formula>AND($B307="Tender Received",$D307&lt;=(TODAY()+3))</formula>
    </cfRule>
    <cfRule type="expression" dxfId="6136" priority="8020" stopIfTrue="1">
      <formula>$B307="Tender Received"</formula>
    </cfRule>
  </conditionalFormatting>
  <conditionalFormatting sqref="K307">
    <cfRule type="expression" dxfId="6135" priority="8017" stopIfTrue="1">
      <formula>AND($B307="Tender Received",$D307&lt;=(TODAY()+3))</formula>
    </cfRule>
    <cfRule type="expression" dxfId="6134" priority="8018" stopIfTrue="1">
      <formula>$B307="Tender Received"</formula>
    </cfRule>
  </conditionalFormatting>
  <conditionalFormatting sqref="F307">
    <cfRule type="expression" dxfId="6133" priority="8015" stopIfTrue="1">
      <formula>AND($B307="Tender Received",$D307&lt;=(TODAY()+3))</formula>
    </cfRule>
    <cfRule type="expression" dxfId="6132" priority="8016" stopIfTrue="1">
      <formula>$B307="Tender Received"</formula>
    </cfRule>
  </conditionalFormatting>
  <conditionalFormatting sqref="F307">
    <cfRule type="expression" dxfId="6131" priority="8013" stopIfTrue="1">
      <formula>AND($B307="Tender Received",$D307&lt;=(TODAY()+3))</formula>
    </cfRule>
    <cfRule type="expression" dxfId="6130" priority="8014" stopIfTrue="1">
      <formula>$B307="Tender Received"</formula>
    </cfRule>
  </conditionalFormatting>
  <conditionalFormatting sqref="G307">
    <cfRule type="expression" dxfId="6129" priority="8011" stopIfTrue="1">
      <formula>AND($B307="Tender Received",$D307&lt;=(TODAY()+3))</formula>
    </cfRule>
    <cfRule type="expression" dxfId="6128" priority="8012" stopIfTrue="1">
      <formula>$B307="Tender Received"</formula>
    </cfRule>
  </conditionalFormatting>
  <conditionalFormatting sqref="G307">
    <cfRule type="expression" dxfId="6127" priority="8009" stopIfTrue="1">
      <formula>AND($B307="Tender Received",$D307&lt;=(TODAY()+3))</formula>
    </cfRule>
    <cfRule type="expression" dxfId="6126" priority="8010" stopIfTrue="1">
      <formula>$B307="Tender Received"</formula>
    </cfRule>
  </conditionalFormatting>
  <conditionalFormatting sqref="E307">
    <cfRule type="expression" dxfId="6125" priority="8007" stopIfTrue="1">
      <formula>AND($B307="Tender Received",$D307&lt;=(TODAY()+3))</formula>
    </cfRule>
    <cfRule type="expression" dxfId="6124" priority="8008" stopIfTrue="1">
      <formula>$B307="Tender Received"</formula>
    </cfRule>
  </conditionalFormatting>
  <conditionalFormatting sqref="D307">
    <cfRule type="expression" dxfId="6123" priority="8005" stopIfTrue="1">
      <formula>AND($B307="Tender Received",$D307&lt;=(TODAY()+3))</formula>
    </cfRule>
    <cfRule type="expression" dxfId="6122" priority="8006" stopIfTrue="1">
      <formula>$B307="Tender Received"</formula>
    </cfRule>
  </conditionalFormatting>
  <conditionalFormatting sqref="D307">
    <cfRule type="expression" dxfId="6121" priority="8003" stopIfTrue="1">
      <formula>AND($B307="Tender Received",$D307&lt;=(TODAY()+3))</formula>
    </cfRule>
    <cfRule type="expression" dxfId="6120" priority="8004" stopIfTrue="1">
      <formula>$B307="Tender Received"</formula>
    </cfRule>
  </conditionalFormatting>
  <conditionalFormatting sqref="C307">
    <cfRule type="expression" dxfId="6119" priority="8001" stopIfTrue="1">
      <formula>AND($B307="Tender Received",$D307&lt;=(TODAY()+3))</formula>
    </cfRule>
    <cfRule type="expression" dxfId="6118" priority="8002" stopIfTrue="1">
      <formula>$B307="Tender Received"</formula>
    </cfRule>
  </conditionalFormatting>
  <conditionalFormatting sqref="Q308:R309">
    <cfRule type="expression" dxfId="6117" priority="7999" stopIfTrue="1">
      <formula>AND($B308="Tender Received",$D308&lt;=(TODAY()+3))</formula>
    </cfRule>
    <cfRule type="expression" dxfId="6116" priority="8000" stopIfTrue="1">
      <formula>$B308="Tender Received"</formula>
    </cfRule>
  </conditionalFormatting>
  <conditionalFormatting sqref="L308:P309">
    <cfRule type="expression" dxfId="6115" priority="7997" stopIfTrue="1">
      <formula>AND($B308="Tender Received",$D308&lt;=(TODAY()+3))</formula>
    </cfRule>
    <cfRule type="expression" dxfId="6114" priority="7998" stopIfTrue="1">
      <formula>$B308="Tender Received"</formula>
    </cfRule>
  </conditionalFormatting>
  <conditionalFormatting sqref="H308:I309">
    <cfRule type="expression" dxfId="6113" priority="7995" stopIfTrue="1">
      <formula>AND($B308="Tender Received",$D308&lt;=(TODAY()+3))</formula>
    </cfRule>
    <cfRule type="expression" dxfId="6112" priority="7996" stopIfTrue="1">
      <formula>$B308="Tender Received"</formula>
    </cfRule>
  </conditionalFormatting>
  <conditionalFormatting sqref="J308:J309">
    <cfRule type="expression" dxfId="6111" priority="7993" stopIfTrue="1">
      <formula>AND($B308="Tender Received",$D308&lt;=(TODAY()+3))</formula>
    </cfRule>
    <cfRule type="expression" dxfId="6110" priority="7994" stopIfTrue="1">
      <formula>$B308="Tender Received"</formula>
    </cfRule>
  </conditionalFormatting>
  <conditionalFormatting sqref="K308:K309">
    <cfRule type="expression" dxfId="6109" priority="7991" stopIfTrue="1">
      <formula>AND($B308="Tender Received",$D308&lt;=(TODAY()+3))</formula>
    </cfRule>
    <cfRule type="expression" dxfId="6108" priority="7992" stopIfTrue="1">
      <formula>$B308="Tender Received"</formula>
    </cfRule>
  </conditionalFormatting>
  <conditionalFormatting sqref="F308:F309">
    <cfRule type="expression" dxfId="6107" priority="7989" stopIfTrue="1">
      <formula>AND($B308="Tender Received",$D308&lt;=(TODAY()+3))</formula>
    </cfRule>
    <cfRule type="expression" dxfId="6106" priority="7990" stopIfTrue="1">
      <formula>$B308="Tender Received"</formula>
    </cfRule>
  </conditionalFormatting>
  <conditionalFormatting sqref="F308:F309">
    <cfRule type="expression" dxfId="6105" priority="7987" stopIfTrue="1">
      <formula>AND($B308="Tender Received",$D308&lt;=(TODAY()+3))</formula>
    </cfRule>
    <cfRule type="expression" dxfId="6104" priority="7988" stopIfTrue="1">
      <formula>$B308="Tender Received"</formula>
    </cfRule>
  </conditionalFormatting>
  <conditionalFormatting sqref="G308:G309">
    <cfRule type="expression" dxfId="6103" priority="7985" stopIfTrue="1">
      <formula>AND($B308="Tender Received",$D308&lt;=(TODAY()+3))</formula>
    </cfRule>
    <cfRule type="expression" dxfId="6102" priority="7986" stopIfTrue="1">
      <formula>$B308="Tender Received"</formula>
    </cfRule>
  </conditionalFormatting>
  <conditionalFormatting sqref="G308:G309">
    <cfRule type="expression" dxfId="6101" priority="7983" stopIfTrue="1">
      <formula>AND($B308="Tender Received",$D308&lt;=(TODAY()+3))</formula>
    </cfRule>
    <cfRule type="expression" dxfId="6100" priority="7984" stopIfTrue="1">
      <formula>$B308="Tender Received"</formula>
    </cfRule>
  </conditionalFormatting>
  <conditionalFormatting sqref="E308:E309">
    <cfRule type="expression" dxfId="6099" priority="7981" stopIfTrue="1">
      <formula>AND($B308="Tender Received",$D308&lt;=(TODAY()+3))</formula>
    </cfRule>
    <cfRule type="expression" dxfId="6098" priority="7982" stopIfTrue="1">
      <formula>$B308="Tender Received"</formula>
    </cfRule>
  </conditionalFormatting>
  <conditionalFormatting sqref="D308:D309">
    <cfRule type="expression" dxfId="6097" priority="7979" stopIfTrue="1">
      <formula>AND($B308="Tender Received",$D308&lt;=(TODAY()+3))</formula>
    </cfRule>
    <cfRule type="expression" dxfId="6096" priority="7980" stopIfTrue="1">
      <formula>$B308="Tender Received"</formula>
    </cfRule>
  </conditionalFormatting>
  <conditionalFormatting sqref="D308:D309">
    <cfRule type="expression" dxfId="6095" priority="7977" stopIfTrue="1">
      <formula>AND($B308="Tender Received",$D308&lt;=(TODAY()+3))</formula>
    </cfRule>
    <cfRule type="expression" dxfId="6094" priority="7978" stopIfTrue="1">
      <formula>$B308="Tender Received"</formula>
    </cfRule>
  </conditionalFormatting>
  <conditionalFormatting sqref="C308:C309">
    <cfRule type="expression" dxfId="6093" priority="7975" stopIfTrue="1">
      <formula>AND($B308="Tender Received",$D308&lt;=(TODAY()+3))</formula>
    </cfRule>
    <cfRule type="expression" dxfId="6092" priority="7976" stopIfTrue="1">
      <formula>$B308="Tender Received"</formula>
    </cfRule>
  </conditionalFormatting>
  <conditionalFormatting sqref="Q310:R312">
    <cfRule type="expression" dxfId="6091" priority="7973" stopIfTrue="1">
      <formula>AND($B310="Tender Received",$D310&lt;=(TODAY()+3))</formula>
    </cfRule>
    <cfRule type="expression" dxfId="6090" priority="7974" stopIfTrue="1">
      <formula>$B310="Tender Received"</formula>
    </cfRule>
  </conditionalFormatting>
  <conditionalFormatting sqref="L310:P312">
    <cfRule type="expression" dxfId="6089" priority="7971" stopIfTrue="1">
      <formula>AND($B310="Tender Received",$D310&lt;=(TODAY()+3))</formula>
    </cfRule>
    <cfRule type="expression" dxfId="6088" priority="7972" stopIfTrue="1">
      <formula>$B310="Tender Received"</formula>
    </cfRule>
  </conditionalFormatting>
  <conditionalFormatting sqref="H310:I312">
    <cfRule type="expression" dxfId="6087" priority="7969" stopIfTrue="1">
      <formula>AND($B310="Tender Received",$D310&lt;=(TODAY()+3))</formula>
    </cfRule>
    <cfRule type="expression" dxfId="6086" priority="7970" stopIfTrue="1">
      <formula>$B310="Tender Received"</formula>
    </cfRule>
  </conditionalFormatting>
  <conditionalFormatting sqref="J310:J312">
    <cfRule type="expression" dxfId="6085" priority="7967" stopIfTrue="1">
      <formula>AND($B310="Tender Received",$D310&lt;=(TODAY()+3))</formula>
    </cfRule>
    <cfRule type="expression" dxfId="6084" priority="7968" stopIfTrue="1">
      <formula>$B310="Tender Received"</formula>
    </cfRule>
  </conditionalFormatting>
  <conditionalFormatting sqref="K310:K312">
    <cfRule type="expression" dxfId="6083" priority="7965" stopIfTrue="1">
      <formula>AND($B310="Tender Received",$D310&lt;=(TODAY()+3))</formula>
    </cfRule>
    <cfRule type="expression" dxfId="6082" priority="7966" stopIfTrue="1">
      <formula>$B310="Tender Received"</formula>
    </cfRule>
  </conditionalFormatting>
  <conditionalFormatting sqref="F310:F312">
    <cfRule type="expression" dxfId="6081" priority="7963" stopIfTrue="1">
      <formula>AND($B310="Tender Received",$D310&lt;=(TODAY()+3))</formula>
    </cfRule>
    <cfRule type="expression" dxfId="6080" priority="7964" stopIfTrue="1">
      <formula>$B310="Tender Received"</formula>
    </cfRule>
  </conditionalFormatting>
  <conditionalFormatting sqref="F310:F312">
    <cfRule type="expression" dxfId="6079" priority="7961" stopIfTrue="1">
      <formula>AND($B310="Tender Received",$D310&lt;=(TODAY()+3))</formula>
    </cfRule>
    <cfRule type="expression" dxfId="6078" priority="7962" stopIfTrue="1">
      <formula>$B310="Tender Received"</formula>
    </cfRule>
  </conditionalFormatting>
  <conditionalFormatting sqref="G310:G312">
    <cfRule type="expression" dxfId="6077" priority="7959" stopIfTrue="1">
      <formula>AND($B310="Tender Received",$D310&lt;=(TODAY()+3))</formula>
    </cfRule>
    <cfRule type="expression" dxfId="6076" priority="7960" stopIfTrue="1">
      <formula>$B310="Tender Received"</formula>
    </cfRule>
  </conditionalFormatting>
  <conditionalFormatting sqref="G310:G312">
    <cfRule type="expression" dxfId="6075" priority="7957" stopIfTrue="1">
      <formula>AND($B310="Tender Received",$D310&lt;=(TODAY()+3))</formula>
    </cfRule>
    <cfRule type="expression" dxfId="6074" priority="7958" stopIfTrue="1">
      <formula>$B310="Tender Received"</formula>
    </cfRule>
  </conditionalFormatting>
  <conditionalFormatting sqref="E310:E312">
    <cfRule type="expression" dxfId="6073" priority="7955" stopIfTrue="1">
      <formula>AND($B310="Tender Received",$D310&lt;=(TODAY()+3))</formula>
    </cfRule>
    <cfRule type="expression" dxfId="6072" priority="7956" stopIfTrue="1">
      <formula>$B310="Tender Received"</formula>
    </cfRule>
  </conditionalFormatting>
  <conditionalFormatting sqref="D310:D312">
    <cfRule type="expression" dxfId="6071" priority="7953" stopIfTrue="1">
      <formula>AND($B310="Tender Received",$D310&lt;=(TODAY()+3))</formula>
    </cfRule>
    <cfRule type="expression" dxfId="6070" priority="7954" stopIfTrue="1">
      <formula>$B310="Tender Received"</formula>
    </cfRule>
  </conditionalFormatting>
  <conditionalFormatting sqref="D310:D312">
    <cfRule type="expression" dxfId="6069" priority="7951" stopIfTrue="1">
      <formula>AND($B310="Tender Received",$D310&lt;=(TODAY()+3))</formula>
    </cfRule>
    <cfRule type="expression" dxfId="6068" priority="7952" stopIfTrue="1">
      <formula>$B310="Tender Received"</formula>
    </cfRule>
  </conditionalFormatting>
  <conditionalFormatting sqref="C310:C312">
    <cfRule type="expression" dxfId="6067" priority="7949" stopIfTrue="1">
      <formula>AND($B310="Tender Received",$D310&lt;=(TODAY()+3))</formula>
    </cfRule>
    <cfRule type="expression" dxfId="6066" priority="7950" stopIfTrue="1">
      <formula>$B310="Tender Received"</formula>
    </cfRule>
  </conditionalFormatting>
  <conditionalFormatting sqref="C313:K313 M313:R313">
    <cfRule type="expression" dxfId="6065" priority="7947" stopIfTrue="1">
      <formula>AND($B313="Tender Received",$D313&lt;=(TODAY()+3))</formula>
    </cfRule>
    <cfRule type="expression" dxfId="6064" priority="7948" stopIfTrue="1">
      <formula>$B313="Tender Received"</formula>
    </cfRule>
  </conditionalFormatting>
  <conditionalFormatting sqref="L313">
    <cfRule type="expression" dxfId="6063" priority="7945" stopIfTrue="1">
      <formula>AND($B313="Tender Received",$D313&lt;=(TODAY()+3))</formula>
    </cfRule>
    <cfRule type="expression" dxfId="6062" priority="7946" stopIfTrue="1">
      <formula>$B313="Tender Received"</formula>
    </cfRule>
  </conditionalFormatting>
  <conditionalFormatting sqref="C317:R317">
    <cfRule type="expression" dxfId="6061" priority="7943" stopIfTrue="1">
      <formula>AND($B317="Tender Received",$D317&lt;=(TODAY()+3))</formula>
    </cfRule>
    <cfRule type="expression" dxfId="6060" priority="7944" stopIfTrue="1">
      <formula>$B317="Tender Received"</formula>
    </cfRule>
  </conditionalFormatting>
  <conditionalFormatting sqref="C318:R320">
    <cfRule type="expression" dxfId="6059" priority="7941" stopIfTrue="1">
      <formula>AND($B318="Tender Received",$D318&lt;=(TODAY()+3))</formula>
    </cfRule>
    <cfRule type="expression" dxfId="6058" priority="7942" stopIfTrue="1">
      <formula>$B318="Tender Received"</formula>
    </cfRule>
  </conditionalFormatting>
  <conditionalFormatting sqref="C321:R321">
    <cfRule type="expression" dxfId="6057" priority="7939" stopIfTrue="1">
      <formula>AND($B321="Tender Received",$D321&lt;=(TODAY()+3))</formula>
    </cfRule>
    <cfRule type="expression" dxfId="6056" priority="7940" stopIfTrue="1">
      <formula>$B321="Tender Received"</formula>
    </cfRule>
  </conditionalFormatting>
  <conditionalFormatting sqref="C322:R322">
    <cfRule type="expression" dxfId="6055" priority="7937" stopIfTrue="1">
      <formula>AND($B322="Tender Received",$D322&lt;=(TODAY()+3))</formula>
    </cfRule>
    <cfRule type="expression" dxfId="6054" priority="7938" stopIfTrue="1">
      <formula>$B322="Tender Received"</formula>
    </cfRule>
  </conditionalFormatting>
  <conditionalFormatting sqref="C323:R323">
    <cfRule type="expression" dxfId="6053" priority="7935" stopIfTrue="1">
      <formula>AND($B323="Tender Received",$D323&lt;=(TODAY()+3))</formula>
    </cfRule>
    <cfRule type="expression" dxfId="6052" priority="7936" stopIfTrue="1">
      <formula>$B323="Tender Received"</formula>
    </cfRule>
  </conditionalFormatting>
  <conditionalFormatting sqref="C324:K324">
    <cfRule type="expression" dxfId="6051" priority="7933" stopIfTrue="1">
      <formula>AND($B324="Tender Received",$D324&lt;=(TODAY()+3))</formula>
    </cfRule>
    <cfRule type="expression" dxfId="6050" priority="7934" stopIfTrue="1">
      <formula>$B324="Tender Received"</formula>
    </cfRule>
  </conditionalFormatting>
  <conditionalFormatting sqref="L325:R325">
    <cfRule type="expression" dxfId="6049" priority="7931" stopIfTrue="1">
      <formula>AND($B325="Tender Received",$D325&lt;=(TODAY()+3))</formula>
    </cfRule>
    <cfRule type="expression" dxfId="6048" priority="7932" stopIfTrue="1">
      <formula>$B325="Tender Received"</formula>
    </cfRule>
  </conditionalFormatting>
  <conditionalFormatting sqref="C325:K325">
    <cfRule type="expression" dxfId="6047" priority="7929" stopIfTrue="1">
      <formula>AND($B325="Tender Received",$D325&lt;=(TODAY()+3))</formula>
    </cfRule>
    <cfRule type="expression" dxfId="6046" priority="7930" stopIfTrue="1">
      <formula>$B325="Tender Received"</formula>
    </cfRule>
  </conditionalFormatting>
  <conditionalFormatting sqref="E326:K326 C327:K328">
    <cfRule type="expression" dxfId="6045" priority="7927" stopIfTrue="1">
      <formula>AND($B326="Tender Received",$D326&lt;=(TODAY()+3))</formula>
    </cfRule>
    <cfRule type="expression" dxfId="6044" priority="7928" stopIfTrue="1">
      <formula>$B326="Tender Received"</formula>
    </cfRule>
  </conditionalFormatting>
  <conditionalFormatting sqref="C326:D326">
    <cfRule type="expression" dxfId="6043" priority="7925" stopIfTrue="1">
      <formula>AND($B326="Tender Received",$D326&lt;=(TODAY()+3))</formula>
    </cfRule>
    <cfRule type="expression" dxfId="6042" priority="7926" stopIfTrue="1">
      <formula>$B326="Tender Received"</formula>
    </cfRule>
  </conditionalFormatting>
  <conditionalFormatting sqref="L326">
    <cfRule type="expression" dxfId="6041" priority="7923" stopIfTrue="1">
      <formula>AND($B326="Tender Received",$D326&lt;=(TODAY()+3))</formula>
    </cfRule>
    <cfRule type="expression" dxfId="6040" priority="7924" stopIfTrue="1">
      <formula>$B326="Tender Received"</formula>
    </cfRule>
  </conditionalFormatting>
  <conditionalFormatting sqref="L328">
    <cfRule type="expression" dxfId="6039" priority="7921" stopIfTrue="1">
      <formula>AND($B328="Tender Received",$D328&lt;=(TODAY()+3))</formula>
    </cfRule>
    <cfRule type="expression" dxfId="6038" priority="7922" stopIfTrue="1">
      <formula>$B328="Tender Received"</formula>
    </cfRule>
  </conditionalFormatting>
  <conditionalFormatting sqref="C329:K329">
    <cfRule type="expression" dxfId="6037" priority="7919" stopIfTrue="1">
      <formula>AND($B329="Tender Received",$D329&lt;=(TODAY()+3))</formula>
    </cfRule>
    <cfRule type="expression" dxfId="6036" priority="7920" stopIfTrue="1">
      <formula>$B329="Tender Received"</formula>
    </cfRule>
  </conditionalFormatting>
  <conditionalFormatting sqref="L330">
    <cfRule type="expression" dxfId="6035" priority="7917" stopIfTrue="1">
      <formula>AND($B330="Tender Received",$D330&lt;=(TODAY()+3))</formula>
    </cfRule>
    <cfRule type="expression" dxfId="6034" priority="7918" stopIfTrue="1">
      <formula>$B330="Tender Received"</formula>
    </cfRule>
  </conditionalFormatting>
  <conditionalFormatting sqref="C330:K330">
    <cfRule type="expression" dxfId="6033" priority="7915" stopIfTrue="1">
      <formula>AND($B330="Tender Received",$D330&lt;=(TODAY()+3))</formula>
    </cfRule>
    <cfRule type="expression" dxfId="6032" priority="7916" stopIfTrue="1">
      <formula>$B330="Tender Received"</formula>
    </cfRule>
  </conditionalFormatting>
  <conditionalFormatting sqref="M331:R331">
    <cfRule type="expression" dxfId="6031" priority="7913" stopIfTrue="1">
      <formula>AND($B331="Tender Received",$D331&lt;=(TODAY()+3))</formula>
    </cfRule>
    <cfRule type="expression" dxfId="6030" priority="7914" stopIfTrue="1">
      <formula>$B331="Tender Received"</formula>
    </cfRule>
  </conditionalFormatting>
  <conditionalFormatting sqref="L331">
    <cfRule type="expression" dxfId="6029" priority="7911" stopIfTrue="1">
      <formula>AND($B331="Tender Received",$D331&lt;=(TODAY()+3))</formula>
    </cfRule>
    <cfRule type="expression" dxfId="6028" priority="7912" stopIfTrue="1">
      <formula>$B331="Tender Received"</formula>
    </cfRule>
  </conditionalFormatting>
  <conditionalFormatting sqref="C331:K331">
    <cfRule type="expression" dxfId="6027" priority="7909" stopIfTrue="1">
      <formula>AND($B331="Tender Received",$D331&lt;=(TODAY()+3))</formula>
    </cfRule>
    <cfRule type="expression" dxfId="6026" priority="7910" stopIfTrue="1">
      <formula>$B331="Tender Received"</formula>
    </cfRule>
  </conditionalFormatting>
  <conditionalFormatting sqref="M332:R332">
    <cfRule type="expression" dxfId="6025" priority="7907" stopIfTrue="1">
      <formula>AND($B332="Tender Received",$D332&lt;=(TODAY()+3))</formula>
    </cfRule>
    <cfRule type="expression" dxfId="6024" priority="7908" stopIfTrue="1">
      <formula>$B332="Tender Received"</formula>
    </cfRule>
  </conditionalFormatting>
  <conditionalFormatting sqref="L332">
    <cfRule type="expression" dxfId="6023" priority="7905" stopIfTrue="1">
      <formula>AND($B332="Tender Received",$D332&lt;=(TODAY()+3))</formula>
    </cfRule>
    <cfRule type="expression" dxfId="6022" priority="7906" stopIfTrue="1">
      <formula>$B332="Tender Received"</formula>
    </cfRule>
  </conditionalFormatting>
  <conditionalFormatting sqref="C332:K332">
    <cfRule type="expression" dxfId="6021" priority="7903" stopIfTrue="1">
      <formula>AND($B332="Tender Received",$D332&lt;=(TODAY()+3))</formula>
    </cfRule>
    <cfRule type="expression" dxfId="6020" priority="7904" stopIfTrue="1">
      <formula>$B332="Tender Received"</formula>
    </cfRule>
  </conditionalFormatting>
  <conditionalFormatting sqref="C333:K333">
    <cfRule type="expression" dxfId="6019" priority="7901" stopIfTrue="1">
      <formula>AND($B333="Tender Received",$D333&lt;=(TODAY()+3))</formula>
    </cfRule>
    <cfRule type="expression" dxfId="6018" priority="7902" stopIfTrue="1">
      <formula>$B333="Tender Received"</formula>
    </cfRule>
  </conditionalFormatting>
  <conditionalFormatting sqref="C334:K334">
    <cfRule type="expression" dxfId="6017" priority="7899" stopIfTrue="1">
      <formula>AND($B334="Tender Received",$D334&lt;=(TODAY()+3))</formula>
    </cfRule>
    <cfRule type="expression" dxfId="6016" priority="7900" stopIfTrue="1">
      <formula>$B334="Tender Received"</formula>
    </cfRule>
  </conditionalFormatting>
  <conditionalFormatting sqref="L335:P337">
    <cfRule type="expression" dxfId="6015" priority="7897" stopIfTrue="1">
      <formula>AND($B335="Tender Received",$D335&lt;=(TODAY()+3))</formula>
    </cfRule>
    <cfRule type="expression" dxfId="6014" priority="7898" stopIfTrue="1">
      <formula>$B335="Tender Received"</formula>
    </cfRule>
  </conditionalFormatting>
  <conditionalFormatting sqref="C335:K337">
    <cfRule type="expression" dxfId="6013" priority="7895" stopIfTrue="1">
      <formula>AND($B335="Tender Received",$D335&lt;=(TODAY()+3))</formula>
    </cfRule>
    <cfRule type="expression" dxfId="6012" priority="7896" stopIfTrue="1">
      <formula>$B335="Tender Received"</formula>
    </cfRule>
  </conditionalFormatting>
  <conditionalFormatting sqref="L335">
    <cfRule type="expression" dxfId="6011" priority="7893" stopIfTrue="1">
      <formula>AND($B335="Tender Received",$D335&lt;=(TODAY()+3))</formula>
    </cfRule>
    <cfRule type="expression" dxfId="6010" priority="7894" stopIfTrue="1">
      <formula>$B335="Tender Received"</formula>
    </cfRule>
  </conditionalFormatting>
  <conditionalFormatting sqref="L338:P338">
    <cfRule type="expression" dxfId="6009" priority="7891" stopIfTrue="1">
      <formula>AND($B338="Tender Received",$D338&lt;=(TODAY()+3))</formula>
    </cfRule>
    <cfRule type="expression" dxfId="6008" priority="7892" stopIfTrue="1">
      <formula>$B338="Tender Received"</formula>
    </cfRule>
  </conditionalFormatting>
  <conditionalFormatting sqref="C338:K338">
    <cfRule type="expression" dxfId="6007" priority="7889" stopIfTrue="1">
      <formula>AND($B338="Tender Received",$D338&lt;=(TODAY()+3))</formula>
    </cfRule>
    <cfRule type="expression" dxfId="6006" priority="7890" stopIfTrue="1">
      <formula>$B338="Tender Received"</formula>
    </cfRule>
  </conditionalFormatting>
  <conditionalFormatting sqref="L339:P339">
    <cfRule type="expression" dxfId="6005" priority="7887" stopIfTrue="1">
      <formula>AND($B339="Tender Received",$D339&lt;=(TODAY()+3))</formula>
    </cfRule>
    <cfRule type="expression" dxfId="6004" priority="7888" stopIfTrue="1">
      <formula>$B339="Tender Received"</formula>
    </cfRule>
  </conditionalFormatting>
  <conditionalFormatting sqref="C339:K339">
    <cfRule type="expression" dxfId="6003" priority="7885" stopIfTrue="1">
      <formula>AND($B339="Tender Received",$D339&lt;=(TODAY()+3))</formula>
    </cfRule>
    <cfRule type="expression" dxfId="6002" priority="7886" stopIfTrue="1">
      <formula>$B339="Tender Received"</formula>
    </cfRule>
  </conditionalFormatting>
  <conditionalFormatting sqref="L340:P340">
    <cfRule type="expression" dxfId="6001" priority="7883" stopIfTrue="1">
      <formula>AND($B340="Tender Received",$D340&lt;=(TODAY()+3))</formula>
    </cfRule>
    <cfRule type="expression" dxfId="6000" priority="7884" stopIfTrue="1">
      <formula>$B340="Tender Received"</formula>
    </cfRule>
  </conditionalFormatting>
  <conditionalFormatting sqref="C340:K340">
    <cfRule type="expression" dxfId="5999" priority="7881" stopIfTrue="1">
      <formula>AND($B340="Tender Received",$D340&lt;=(TODAY()+3))</formula>
    </cfRule>
    <cfRule type="expression" dxfId="5998" priority="7882" stopIfTrue="1">
      <formula>$B340="Tender Received"</formula>
    </cfRule>
  </conditionalFormatting>
  <conditionalFormatting sqref="L341:P341">
    <cfRule type="expression" dxfId="5997" priority="7879" stopIfTrue="1">
      <formula>AND($B341="Tender Received",$D341&lt;=(TODAY()+3))</formula>
    </cfRule>
    <cfRule type="expression" dxfId="5996" priority="7880" stopIfTrue="1">
      <formula>$B341="Tender Received"</formula>
    </cfRule>
  </conditionalFormatting>
  <conditionalFormatting sqref="C341:K341">
    <cfRule type="expression" dxfId="5995" priority="7877" stopIfTrue="1">
      <formula>AND($B341="Tender Received",$D341&lt;=(TODAY()+3))</formula>
    </cfRule>
    <cfRule type="expression" dxfId="5994" priority="7878" stopIfTrue="1">
      <formula>$B341="Tender Received"</formula>
    </cfRule>
  </conditionalFormatting>
  <conditionalFormatting sqref="L342:P342">
    <cfRule type="expression" dxfId="5993" priority="7875" stopIfTrue="1">
      <formula>AND($B342="Tender Received",$D342&lt;=(TODAY()+3))</formula>
    </cfRule>
    <cfRule type="expression" dxfId="5992" priority="7876" stopIfTrue="1">
      <formula>$B342="Tender Received"</formula>
    </cfRule>
  </conditionalFormatting>
  <conditionalFormatting sqref="C342:K342">
    <cfRule type="expression" dxfId="5991" priority="7873" stopIfTrue="1">
      <formula>AND($B342="Tender Received",$D342&lt;=(TODAY()+3))</formula>
    </cfRule>
    <cfRule type="expression" dxfId="5990" priority="7874" stopIfTrue="1">
      <formula>$B342="Tender Received"</formula>
    </cfRule>
  </conditionalFormatting>
  <conditionalFormatting sqref="L343:P343">
    <cfRule type="expression" dxfId="5989" priority="7871" stopIfTrue="1">
      <formula>AND($B343="Tender Received",$D343&lt;=(TODAY()+3))</formula>
    </cfRule>
    <cfRule type="expression" dxfId="5988" priority="7872" stopIfTrue="1">
      <formula>$B343="Tender Received"</formula>
    </cfRule>
  </conditionalFormatting>
  <conditionalFormatting sqref="C343:K343">
    <cfRule type="expression" dxfId="5987" priority="7869" stopIfTrue="1">
      <formula>AND($B343="Tender Received",$D343&lt;=(TODAY()+3))</formula>
    </cfRule>
    <cfRule type="expression" dxfId="5986" priority="7870" stopIfTrue="1">
      <formula>$B343="Tender Received"</formula>
    </cfRule>
  </conditionalFormatting>
  <conditionalFormatting sqref="L344:P344">
    <cfRule type="expression" dxfId="5985" priority="7867" stopIfTrue="1">
      <formula>AND($B344="Tender Received",$D344&lt;=(TODAY()+3))</formula>
    </cfRule>
    <cfRule type="expression" dxfId="5984" priority="7868" stopIfTrue="1">
      <formula>$B344="Tender Received"</formula>
    </cfRule>
  </conditionalFormatting>
  <conditionalFormatting sqref="C344:K344">
    <cfRule type="expression" dxfId="5983" priority="7865" stopIfTrue="1">
      <formula>AND($B344="Tender Received",$D344&lt;=(TODAY()+3))</formula>
    </cfRule>
    <cfRule type="expression" dxfId="5982" priority="7866" stopIfTrue="1">
      <formula>$B344="Tender Received"</formula>
    </cfRule>
  </conditionalFormatting>
  <conditionalFormatting sqref="L345:P345">
    <cfRule type="expression" dxfId="5981" priority="7863" stopIfTrue="1">
      <formula>AND($B345="Tender Received",$D345&lt;=(TODAY()+3))</formula>
    </cfRule>
    <cfRule type="expression" dxfId="5980" priority="7864" stopIfTrue="1">
      <formula>$B345="Tender Received"</formula>
    </cfRule>
  </conditionalFormatting>
  <conditionalFormatting sqref="C345:K345">
    <cfRule type="expression" dxfId="5979" priority="7861" stopIfTrue="1">
      <formula>AND($B345="Tender Received",$D345&lt;=(TODAY()+3))</formula>
    </cfRule>
    <cfRule type="expression" dxfId="5978" priority="7862" stopIfTrue="1">
      <formula>$B345="Tender Received"</formula>
    </cfRule>
  </conditionalFormatting>
  <conditionalFormatting sqref="L346:P346">
    <cfRule type="expression" dxfId="5977" priority="7859" stopIfTrue="1">
      <formula>AND($B346="Tender Received",$D346&lt;=(TODAY()+3))</formula>
    </cfRule>
    <cfRule type="expression" dxfId="5976" priority="7860" stopIfTrue="1">
      <formula>$B346="Tender Received"</formula>
    </cfRule>
  </conditionalFormatting>
  <conditionalFormatting sqref="C346:K346">
    <cfRule type="expression" dxfId="5975" priority="7857" stopIfTrue="1">
      <formula>AND($B346="Tender Received",$D346&lt;=(TODAY()+3))</formula>
    </cfRule>
    <cfRule type="expression" dxfId="5974" priority="7858" stopIfTrue="1">
      <formula>$B346="Tender Received"</formula>
    </cfRule>
  </conditionalFormatting>
  <conditionalFormatting sqref="L347:P347">
    <cfRule type="expression" dxfId="5973" priority="7855" stopIfTrue="1">
      <formula>AND($B347="Tender Received",$D347&lt;=(TODAY()+3))</formula>
    </cfRule>
    <cfRule type="expression" dxfId="5972" priority="7856" stopIfTrue="1">
      <formula>$B347="Tender Received"</formula>
    </cfRule>
  </conditionalFormatting>
  <conditionalFormatting sqref="C347:K347">
    <cfRule type="expression" dxfId="5971" priority="7853" stopIfTrue="1">
      <formula>AND($B347="Tender Received",$D347&lt;=(TODAY()+3))</formula>
    </cfRule>
    <cfRule type="expression" dxfId="5970" priority="7854" stopIfTrue="1">
      <formula>$B347="Tender Received"</formula>
    </cfRule>
  </conditionalFormatting>
  <conditionalFormatting sqref="L348:P348">
    <cfRule type="expression" dxfId="5969" priority="7851" stopIfTrue="1">
      <formula>AND($B348="Tender Received",$D348&lt;=(TODAY()+3))</formula>
    </cfRule>
    <cfRule type="expression" dxfId="5968" priority="7852" stopIfTrue="1">
      <formula>$B348="Tender Received"</formula>
    </cfRule>
  </conditionalFormatting>
  <conditionalFormatting sqref="C348:K348">
    <cfRule type="expression" dxfId="5967" priority="7849" stopIfTrue="1">
      <formula>AND($B348="Tender Received",$D348&lt;=(TODAY()+3))</formula>
    </cfRule>
    <cfRule type="expression" dxfId="5966" priority="7850" stopIfTrue="1">
      <formula>$B348="Tender Received"</formula>
    </cfRule>
  </conditionalFormatting>
  <conditionalFormatting sqref="L349:P349">
    <cfRule type="expression" dxfId="5965" priority="7847" stopIfTrue="1">
      <formula>AND($B349="Tender Received",$D349&lt;=(TODAY()+3))</formula>
    </cfRule>
    <cfRule type="expression" dxfId="5964" priority="7848" stopIfTrue="1">
      <formula>$B349="Tender Received"</formula>
    </cfRule>
  </conditionalFormatting>
  <conditionalFormatting sqref="C349:K349">
    <cfRule type="expression" dxfId="5963" priority="7845" stopIfTrue="1">
      <formula>AND($B349="Tender Received",$D349&lt;=(TODAY()+3))</formula>
    </cfRule>
    <cfRule type="expression" dxfId="5962" priority="7846" stopIfTrue="1">
      <formula>$B349="Tender Received"</formula>
    </cfRule>
  </conditionalFormatting>
  <conditionalFormatting sqref="L350:P350">
    <cfRule type="expression" dxfId="5961" priority="7843" stopIfTrue="1">
      <formula>AND($B350="Tender Received",$D350&lt;=(TODAY()+3))</formula>
    </cfRule>
    <cfRule type="expression" dxfId="5960" priority="7844" stopIfTrue="1">
      <formula>$B350="Tender Received"</formula>
    </cfRule>
  </conditionalFormatting>
  <conditionalFormatting sqref="C350:K350">
    <cfRule type="expression" dxfId="5959" priority="7841" stopIfTrue="1">
      <formula>AND($B350="Tender Received",$D350&lt;=(TODAY()+3))</formula>
    </cfRule>
    <cfRule type="expression" dxfId="5958" priority="7842" stopIfTrue="1">
      <formula>$B350="Tender Received"</formula>
    </cfRule>
  </conditionalFormatting>
  <conditionalFormatting sqref="L351:P351">
    <cfRule type="expression" dxfId="5957" priority="7839" stopIfTrue="1">
      <formula>AND($B351="Tender Received",$D351&lt;=(TODAY()+3))</formula>
    </cfRule>
    <cfRule type="expression" dxfId="5956" priority="7840" stopIfTrue="1">
      <formula>$B351="Tender Received"</formula>
    </cfRule>
  </conditionalFormatting>
  <conditionalFormatting sqref="C351:K351">
    <cfRule type="expression" dxfId="5955" priority="7837" stopIfTrue="1">
      <formula>AND($B351="Tender Received",$D351&lt;=(TODAY()+3))</formula>
    </cfRule>
    <cfRule type="expression" dxfId="5954" priority="7838" stopIfTrue="1">
      <formula>$B351="Tender Received"</formula>
    </cfRule>
  </conditionalFormatting>
  <conditionalFormatting sqref="L352:P352">
    <cfRule type="expression" dxfId="5953" priority="7835" stopIfTrue="1">
      <formula>AND($B352="Tender Received",$D352&lt;=(TODAY()+3))</formula>
    </cfRule>
    <cfRule type="expression" dxfId="5952" priority="7836" stopIfTrue="1">
      <formula>$B352="Tender Received"</formula>
    </cfRule>
  </conditionalFormatting>
  <conditionalFormatting sqref="C352:K352">
    <cfRule type="expression" dxfId="5951" priority="7833" stopIfTrue="1">
      <formula>AND($B352="Tender Received",$D352&lt;=(TODAY()+3))</formula>
    </cfRule>
    <cfRule type="expression" dxfId="5950" priority="7834" stopIfTrue="1">
      <formula>$B352="Tender Received"</formula>
    </cfRule>
  </conditionalFormatting>
  <conditionalFormatting sqref="L353:P353">
    <cfRule type="expression" dxfId="5949" priority="7831" stopIfTrue="1">
      <formula>AND($B353="Tender Received",$D353&lt;=(TODAY()+3))</formula>
    </cfRule>
    <cfRule type="expression" dxfId="5948" priority="7832" stopIfTrue="1">
      <formula>$B353="Tender Received"</formula>
    </cfRule>
  </conditionalFormatting>
  <conditionalFormatting sqref="C353:K353">
    <cfRule type="expression" dxfId="5947" priority="7829" stopIfTrue="1">
      <formula>AND($B353="Tender Received",$D353&lt;=(TODAY()+3))</formula>
    </cfRule>
    <cfRule type="expression" dxfId="5946" priority="7830" stopIfTrue="1">
      <formula>$B353="Tender Received"</formula>
    </cfRule>
  </conditionalFormatting>
  <conditionalFormatting sqref="L354:P354">
    <cfRule type="expression" dxfId="5945" priority="7827" stopIfTrue="1">
      <formula>AND($B354="Tender Received",$D354&lt;=(TODAY()+3))</formula>
    </cfRule>
    <cfRule type="expression" dxfId="5944" priority="7828" stopIfTrue="1">
      <formula>$B354="Tender Received"</formula>
    </cfRule>
  </conditionalFormatting>
  <conditionalFormatting sqref="C354:K354">
    <cfRule type="expression" dxfId="5943" priority="7825" stopIfTrue="1">
      <formula>AND($B354="Tender Received",$D354&lt;=(TODAY()+3))</formula>
    </cfRule>
    <cfRule type="expression" dxfId="5942" priority="7826" stopIfTrue="1">
      <formula>$B354="Tender Received"</formula>
    </cfRule>
  </conditionalFormatting>
  <conditionalFormatting sqref="L355:P355">
    <cfRule type="expression" dxfId="5941" priority="7823" stopIfTrue="1">
      <formula>AND($B355="Tender Received",$D355&lt;=(TODAY()+3))</formula>
    </cfRule>
    <cfRule type="expression" dxfId="5940" priority="7824" stopIfTrue="1">
      <formula>$B355="Tender Received"</formula>
    </cfRule>
  </conditionalFormatting>
  <conditionalFormatting sqref="C355:K355">
    <cfRule type="expression" dxfId="5939" priority="7821" stopIfTrue="1">
      <formula>AND($B355="Tender Received",$D355&lt;=(TODAY()+3))</formula>
    </cfRule>
    <cfRule type="expression" dxfId="5938" priority="7822" stopIfTrue="1">
      <formula>$B355="Tender Received"</formula>
    </cfRule>
  </conditionalFormatting>
  <conditionalFormatting sqref="L356:P358">
    <cfRule type="expression" dxfId="5937" priority="7819" stopIfTrue="1">
      <formula>AND($B356="Tender Received",$D356&lt;=(TODAY()+3))</formula>
    </cfRule>
    <cfRule type="expression" dxfId="5936" priority="7820" stopIfTrue="1">
      <formula>$B356="Tender Received"</formula>
    </cfRule>
  </conditionalFormatting>
  <conditionalFormatting sqref="C356:K358">
    <cfRule type="expression" dxfId="5935" priority="7817" stopIfTrue="1">
      <formula>AND($B356="Tender Received",$D356&lt;=(TODAY()+3))</formula>
    </cfRule>
    <cfRule type="expression" dxfId="5934" priority="7818" stopIfTrue="1">
      <formula>$B356="Tender Received"</formula>
    </cfRule>
  </conditionalFormatting>
  <conditionalFormatting sqref="L359:P359">
    <cfRule type="expression" dxfId="5933" priority="7815" stopIfTrue="1">
      <formula>AND($B359="Tender Received",$D359&lt;=(TODAY()+3))</formula>
    </cfRule>
    <cfRule type="expression" dxfId="5932" priority="7816" stopIfTrue="1">
      <formula>$B359="Tender Received"</formula>
    </cfRule>
  </conditionalFormatting>
  <conditionalFormatting sqref="C359:K359">
    <cfRule type="expression" dxfId="5931" priority="7813" stopIfTrue="1">
      <formula>AND($B359="Tender Received",$D359&lt;=(TODAY()+3))</formula>
    </cfRule>
    <cfRule type="expression" dxfId="5930" priority="7814" stopIfTrue="1">
      <formula>$B359="Tender Received"</formula>
    </cfRule>
  </conditionalFormatting>
  <conditionalFormatting sqref="L360:P360">
    <cfRule type="expression" dxfId="5929" priority="7811" stopIfTrue="1">
      <formula>AND($B360="Tender Received",$D360&lt;=(TODAY()+3))</formula>
    </cfRule>
    <cfRule type="expression" dxfId="5928" priority="7812" stopIfTrue="1">
      <formula>$B360="Tender Received"</formula>
    </cfRule>
  </conditionalFormatting>
  <conditionalFormatting sqref="C360:K360">
    <cfRule type="expression" dxfId="5927" priority="7809" stopIfTrue="1">
      <formula>AND($B360="Tender Received",$D360&lt;=(TODAY()+3))</formula>
    </cfRule>
    <cfRule type="expression" dxfId="5926" priority="7810" stopIfTrue="1">
      <formula>$B360="Tender Received"</formula>
    </cfRule>
  </conditionalFormatting>
  <conditionalFormatting sqref="L361:P361">
    <cfRule type="expression" dxfId="5925" priority="7807" stopIfTrue="1">
      <formula>AND($B361="Tender Received",$D361&lt;=(TODAY()+3))</formula>
    </cfRule>
    <cfRule type="expression" dxfId="5924" priority="7808" stopIfTrue="1">
      <formula>$B361="Tender Received"</formula>
    </cfRule>
  </conditionalFormatting>
  <conditionalFormatting sqref="C361:K361">
    <cfRule type="expression" dxfId="5923" priority="7805" stopIfTrue="1">
      <formula>AND($B361="Tender Received",$D361&lt;=(TODAY()+3))</formula>
    </cfRule>
    <cfRule type="expression" dxfId="5922" priority="7806" stopIfTrue="1">
      <formula>$B361="Tender Received"</formula>
    </cfRule>
  </conditionalFormatting>
  <conditionalFormatting sqref="C362:R363">
    <cfRule type="expression" dxfId="5921" priority="7803" stopIfTrue="1">
      <formula>AND($B362="Tender Received",$D362&lt;=(TODAY()+3))</formula>
    </cfRule>
    <cfRule type="expression" dxfId="5920" priority="7804" stopIfTrue="1">
      <formula>$B362="Tender Received"</formula>
    </cfRule>
  </conditionalFormatting>
  <conditionalFormatting sqref="L362:P363">
    <cfRule type="expression" dxfId="5919" priority="7801" stopIfTrue="1">
      <formula>AND($B362="Tender Received",$D362&lt;=(TODAY()+3))</formula>
    </cfRule>
    <cfRule type="expression" dxfId="5918" priority="7802" stopIfTrue="1">
      <formula>$B362="Tender Received"</formula>
    </cfRule>
  </conditionalFormatting>
  <conditionalFormatting sqref="C362:K363">
    <cfRule type="expression" dxfId="5917" priority="7799" stopIfTrue="1">
      <formula>AND($B362="Tender Received",$D362&lt;=(TODAY()+3))</formula>
    </cfRule>
    <cfRule type="expression" dxfId="5916" priority="7800" stopIfTrue="1">
      <formula>$B362="Tender Received"</formula>
    </cfRule>
  </conditionalFormatting>
  <conditionalFormatting sqref="C364:R364">
    <cfRule type="expression" dxfId="5915" priority="7797" stopIfTrue="1">
      <formula>AND($B364="Tender Received",$D364&lt;=(TODAY()+3))</formula>
    </cfRule>
    <cfRule type="expression" dxfId="5914" priority="7798" stopIfTrue="1">
      <formula>$B364="Tender Received"</formula>
    </cfRule>
  </conditionalFormatting>
  <conditionalFormatting sqref="L364:P364">
    <cfRule type="expression" dxfId="5913" priority="7795" stopIfTrue="1">
      <formula>AND($B364="Tender Received",$D364&lt;=(TODAY()+3))</formula>
    </cfRule>
    <cfRule type="expression" dxfId="5912" priority="7796" stopIfTrue="1">
      <formula>$B364="Tender Received"</formula>
    </cfRule>
  </conditionalFormatting>
  <conditionalFormatting sqref="C364:K364">
    <cfRule type="expression" dxfId="5911" priority="7793" stopIfTrue="1">
      <formula>AND($B364="Tender Received",$D364&lt;=(TODAY()+3))</formula>
    </cfRule>
    <cfRule type="expression" dxfId="5910" priority="7794" stopIfTrue="1">
      <formula>$B364="Tender Received"</formula>
    </cfRule>
  </conditionalFormatting>
  <conditionalFormatting sqref="C365:R365">
    <cfRule type="expression" dxfId="5909" priority="7791" stopIfTrue="1">
      <formula>AND($B365="Tender Received",$D365&lt;=(TODAY()+3))</formula>
    </cfRule>
    <cfRule type="expression" dxfId="5908" priority="7792" stopIfTrue="1">
      <formula>$B365="Tender Received"</formula>
    </cfRule>
  </conditionalFormatting>
  <conditionalFormatting sqref="L365:P365">
    <cfRule type="expression" dxfId="5907" priority="7789" stopIfTrue="1">
      <formula>AND($B365="Tender Received",$D365&lt;=(TODAY()+3))</formula>
    </cfRule>
    <cfRule type="expression" dxfId="5906" priority="7790" stopIfTrue="1">
      <formula>$B365="Tender Received"</formula>
    </cfRule>
  </conditionalFormatting>
  <conditionalFormatting sqref="C365:K365">
    <cfRule type="expression" dxfId="5905" priority="7787" stopIfTrue="1">
      <formula>AND($B365="Tender Received",$D365&lt;=(TODAY()+3))</formula>
    </cfRule>
    <cfRule type="expression" dxfId="5904" priority="7788" stopIfTrue="1">
      <formula>$B365="Tender Received"</formula>
    </cfRule>
  </conditionalFormatting>
  <conditionalFormatting sqref="C366:R366">
    <cfRule type="expression" dxfId="5903" priority="7785" stopIfTrue="1">
      <formula>AND($B366="Tender Received",$D366&lt;=(TODAY()+3))</formula>
    </cfRule>
    <cfRule type="expression" dxfId="5902" priority="7786" stopIfTrue="1">
      <formula>$B366="Tender Received"</formula>
    </cfRule>
  </conditionalFormatting>
  <conditionalFormatting sqref="L366:P366">
    <cfRule type="expression" dxfId="5901" priority="7783" stopIfTrue="1">
      <formula>AND($B366="Tender Received",$D366&lt;=(TODAY()+3))</formula>
    </cfRule>
    <cfRule type="expression" dxfId="5900" priority="7784" stopIfTrue="1">
      <formula>$B366="Tender Received"</formula>
    </cfRule>
  </conditionalFormatting>
  <conditionalFormatting sqref="C366:K366">
    <cfRule type="expression" dxfId="5899" priority="7781" stopIfTrue="1">
      <formula>AND($B366="Tender Received",$D366&lt;=(TODAY()+3))</formula>
    </cfRule>
    <cfRule type="expression" dxfId="5898" priority="7782" stopIfTrue="1">
      <formula>$B366="Tender Received"</formula>
    </cfRule>
  </conditionalFormatting>
  <conditionalFormatting sqref="C367:R367">
    <cfRule type="expression" dxfId="5897" priority="7779" stopIfTrue="1">
      <formula>AND($B367="Tender Received",$D367&lt;=(TODAY()+3))</formula>
    </cfRule>
    <cfRule type="expression" dxfId="5896" priority="7780" stopIfTrue="1">
      <formula>$B367="Tender Received"</formula>
    </cfRule>
  </conditionalFormatting>
  <conditionalFormatting sqref="L367:P367">
    <cfRule type="expression" dxfId="5895" priority="7777" stopIfTrue="1">
      <formula>AND($B367="Tender Received",$D367&lt;=(TODAY()+3))</formula>
    </cfRule>
    <cfRule type="expression" dxfId="5894" priority="7778" stopIfTrue="1">
      <formula>$B367="Tender Received"</formula>
    </cfRule>
  </conditionalFormatting>
  <conditionalFormatting sqref="C367:K367">
    <cfRule type="expression" dxfId="5893" priority="7775" stopIfTrue="1">
      <formula>AND($B367="Tender Received",$D367&lt;=(TODAY()+3))</formula>
    </cfRule>
    <cfRule type="expression" dxfId="5892" priority="7776" stopIfTrue="1">
      <formula>$B367="Tender Received"</formula>
    </cfRule>
  </conditionalFormatting>
  <conditionalFormatting sqref="C368:R368">
    <cfRule type="expression" dxfId="5891" priority="7773" stopIfTrue="1">
      <formula>AND($B368="Tender Received",$D368&lt;=(TODAY()+3))</formula>
    </cfRule>
    <cfRule type="expression" dxfId="5890" priority="7774" stopIfTrue="1">
      <formula>$B368="Tender Received"</formula>
    </cfRule>
  </conditionalFormatting>
  <conditionalFormatting sqref="L368:P368">
    <cfRule type="expression" dxfId="5889" priority="7771" stopIfTrue="1">
      <formula>AND($B368="Tender Received",$D368&lt;=(TODAY()+3))</formula>
    </cfRule>
    <cfRule type="expression" dxfId="5888" priority="7772" stopIfTrue="1">
      <formula>$B368="Tender Received"</formula>
    </cfRule>
  </conditionalFormatting>
  <conditionalFormatting sqref="C368:K368">
    <cfRule type="expression" dxfId="5887" priority="7769" stopIfTrue="1">
      <formula>AND($B368="Tender Received",$D368&lt;=(TODAY()+3))</formula>
    </cfRule>
    <cfRule type="expression" dxfId="5886" priority="7770" stopIfTrue="1">
      <formula>$B368="Tender Received"</formula>
    </cfRule>
  </conditionalFormatting>
  <conditionalFormatting sqref="C369:R369">
    <cfRule type="expression" dxfId="5885" priority="7767" stopIfTrue="1">
      <formula>AND($B369="Tender Received",$D369&lt;=(TODAY()+3))</formula>
    </cfRule>
    <cfRule type="expression" dxfId="5884" priority="7768" stopIfTrue="1">
      <formula>$B369="Tender Received"</formula>
    </cfRule>
  </conditionalFormatting>
  <conditionalFormatting sqref="L369:P369">
    <cfRule type="expression" dxfId="5883" priority="7765" stopIfTrue="1">
      <formula>AND($B369="Tender Received",$D369&lt;=(TODAY()+3))</formula>
    </cfRule>
    <cfRule type="expression" dxfId="5882" priority="7766" stopIfTrue="1">
      <formula>$B369="Tender Received"</formula>
    </cfRule>
  </conditionalFormatting>
  <conditionalFormatting sqref="C369:K369">
    <cfRule type="expression" dxfId="5881" priority="7763" stopIfTrue="1">
      <formula>AND($B369="Tender Received",$D369&lt;=(TODAY()+3))</formula>
    </cfRule>
    <cfRule type="expression" dxfId="5880" priority="7764" stopIfTrue="1">
      <formula>$B369="Tender Received"</formula>
    </cfRule>
  </conditionalFormatting>
  <conditionalFormatting sqref="C370:R370">
    <cfRule type="expression" dxfId="5879" priority="7761" stopIfTrue="1">
      <formula>AND($B370="Tender Received",$D370&lt;=(TODAY()+3))</formula>
    </cfRule>
    <cfRule type="expression" dxfId="5878" priority="7762" stopIfTrue="1">
      <formula>$B370="Tender Received"</formula>
    </cfRule>
  </conditionalFormatting>
  <conditionalFormatting sqref="L370:P370">
    <cfRule type="expression" dxfId="5877" priority="7759" stopIfTrue="1">
      <formula>AND($B370="Tender Received",$D370&lt;=(TODAY()+3))</formula>
    </cfRule>
    <cfRule type="expression" dxfId="5876" priority="7760" stopIfTrue="1">
      <formula>$B370="Tender Received"</formula>
    </cfRule>
  </conditionalFormatting>
  <conditionalFormatting sqref="C370:K370">
    <cfRule type="expression" dxfId="5875" priority="7757" stopIfTrue="1">
      <formula>AND($B370="Tender Received",$D370&lt;=(TODAY()+3))</formula>
    </cfRule>
    <cfRule type="expression" dxfId="5874" priority="7758" stopIfTrue="1">
      <formula>$B370="Tender Received"</formula>
    </cfRule>
  </conditionalFormatting>
  <conditionalFormatting sqref="C371:R371">
    <cfRule type="expression" dxfId="5873" priority="7755" stopIfTrue="1">
      <formula>AND($B371="Tender Received",$D371&lt;=(TODAY()+3))</formula>
    </cfRule>
    <cfRule type="expression" dxfId="5872" priority="7756" stopIfTrue="1">
      <formula>$B371="Tender Received"</formula>
    </cfRule>
  </conditionalFormatting>
  <conditionalFormatting sqref="L371:P371">
    <cfRule type="expression" dxfId="5871" priority="7753" stopIfTrue="1">
      <formula>AND($B371="Tender Received",$D371&lt;=(TODAY()+3))</formula>
    </cfRule>
    <cfRule type="expression" dxfId="5870" priority="7754" stopIfTrue="1">
      <formula>$B371="Tender Received"</formula>
    </cfRule>
  </conditionalFormatting>
  <conditionalFormatting sqref="C371:K371">
    <cfRule type="expression" dxfId="5869" priority="7751" stopIfTrue="1">
      <formula>AND($B371="Tender Received",$D371&lt;=(TODAY()+3))</formula>
    </cfRule>
    <cfRule type="expression" dxfId="5868" priority="7752" stopIfTrue="1">
      <formula>$B371="Tender Received"</formula>
    </cfRule>
  </conditionalFormatting>
  <conditionalFormatting sqref="C372:R373">
    <cfRule type="expression" dxfId="5867" priority="7749" stopIfTrue="1">
      <formula>AND($B372="Tender Received",$D372&lt;=(TODAY()+3))</formula>
    </cfRule>
    <cfRule type="expression" dxfId="5866" priority="7750" stopIfTrue="1">
      <formula>$B372="Tender Received"</formula>
    </cfRule>
  </conditionalFormatting>
  <conditionalFormatting sqref="L372:P373">
    <cfRule type="expression" dxfId="5865" priority="7747" stopIfTrue="1">
      <formula>AND($B372="Tender Received",$D372&lt;=(TODAY()+3))</formula>
    </cfRule>
    <cfRule type="expression" dxfId="5864" priority="7748" stopIfTrue="1">
      <formula>$B372="Tender Received"</formula>
    </cfRule>
  </conditionalFormatting>
  <conditionalFormatting sqref="C372:K373">
    <cfRule type="expression" dxfId="5863" priority="7745" stopIfTrue="1">
      <formula>AND($B372="Tender Received",$D372&lt;=(TODAY()+3))</formula>
    </cfRule>
    <cfRule type="expression" dxfId="5862" priority="7746" stopIfTrue="1">
      <formula>$B372="Tender Received"</formula>
    </cfRule>
  </conditionalFormatting>
  <conditionalFormatting sqref="C374:R374">
    <cfRule type="expression" dxfId="5861" priority="7743" stopIfTrue="1">
      <formula>AND($B374="Tender Received",$D374&lt;=(TODAY()+3))</formula>
    </cfRule>
    <cfRule type="expression" dxfId="5860" priority="7744" stopIfTrue="1">
      <formula>$B374="Tender Received"</formula>
    </cfRule>
  </conditionalFormatting>
  <conditionalFormatting sqref="L374:P374">
    <cfRule type="expression" dxfId="5859" priority="7741" stopIfTrue="1">
      <formula>AND($B374="Tender Received",$D374&lt;=(TODAY()+3))</formula>
    </cfRule>
    <cfRule type="expression" dxfId="5858" priority="7742" stopIfTrue="1">
      <formula>$B374="Tender Received"</formula>
    </cfRule>
  </conditionalFormatting>
  <conditionalFormatting sqref="C374:K374">
    <cfRule type="expression" dxfId="5857" priority="7739" stopIfTrue="1">
      <formula>AND($B374="Tender Received",$D374&lt;=(TODAY()+3))</formula>
    </cfRule>
    <cfRule type="expression" dxfId="5856" priority="7740" stopIfTrue="1">
      <formula>$B374="Tender Received"</formula>
    </cfRule>
  </conditionalFormatting>
  <conditionalFormatting sqref="C375:R375">
    <cfRule type="expression" dxfId="5855" priority="7737" stopIfTrue="1">
      <formula>AND($B375="Tender Received",$D375&lt;=(TODAY()+3))</formula>
    </cfRule>
    <cfRule type="expression" dxfId="5854" priority="7738" stopIfTrue="1">
      <formula>$B375="Tender Received"</formula>
    </cfRule>
  </conditionalFormatting>
  <conditionalFormatting sqref="L375:P375">
    <cfRule type="expression" dxfId="5853" priority="7735" stopIfTrue="1">
      <formula>AND($B375="Tender Received",$D375&lt;=(TODAY()+3))</formula>
    </cfRule>
    <cfRule type="expression" dxfId="5852" priority="7736" stopIfTrue="1">
      <formula>$B375="Tender Received"</formula>
    </cfRule>
  </conditionalFormatting>
  <conditionalFormatting sqref="C375:K375">
    <cfRule type="expression" dxfId="5851" priority="7733" stopIfTrue="1">
      <formula>AND($B375="Tender Received",$D375&lt;=(TODAY()+3))</formula>
    </cfRule>
    <cfRule type="expression" dxfId="5850" priority="7734" stopIfTrue="1">
      <formula>$B375="Tender Received"</formula>
    </cfRule>
  </conditionalFormatting>
  <conditionalFormatting sqref="C376:R376">
    <cfRule type="expression" dxfId="5849" priority="7731" stopIfTrue="1">
      <formula>AND($B376="Tender Received",$D376&lt;=(TODAY()+3))</formula>
    </cfRule>
    <cfRule type="expression" dxfId="5848" priority="7732" stopIfTrue="1">
      <formula>$B376="Tender Received"</formula>
    </cfRule>
  </conditionalFormatting>
  <conditionalFormatting sqref="L376:P376">
    <cfRule type="expression" dxfId="5847" priority="7729" stopIfTrue="1">
      <formula>AND($B376="Tender Received",$D376&lt;=(TODAY()+3))</formula>
    </cfRule>
    <cfRule type="expression" dxfId="5846" priority="7730" stopIfTrue="1">
      <formula>$B376="Tender Received"</formula>
    </cfRule>
  </conditionalFormatting>
  <conditionalFormatting sqref="C376:K376">
    <cfRule type="expression" dxfId="5845" priority="7727" stopIfTrue="1">
      <formula>AND($B376="Tender Received",$D376&lt;=(TODAY()+3))</formula>
    </cfRule>
    <cfRule type="expression" dxfId="5844" priority="7728" stopIfTrue="1">
      <formula>$B376="Tender Received"</formula>
    </cfRule>
  </conditionalFormatting>
  <conditionalFormatting sqref="C377:R377">
    <cfRule type="expression" dxfId="5843" priority="7725" stopIfTrue="1">
      <formula>AND($B377="Tender Received",$D377&lt;=(TODAY()+3))</formula>
    </cfRule>
    <cfRule type="expression" dxfId="5842" priority="7726" stopIfTrue="1">
      <formula>$B377="Tender Received"</formula>
    </cfRule>
  </conditionalFormatting>
  <conditionalFormatting sqref="L377:P377">
    <cfRule type="expression" dxfId="5841" priority="7723" stopIfTrue="1">
      <formula>AND($B377="Tender Received",$D377&lt;=(TODAY()+3))</formula>
    </cfRule>
    <cfRule type="expression" dxfId="5840" priority="7724" stopIfTrue="1">
      <formula>$B377="Tender Received"</formula>
    </cfRule>
  </conditionalFormatting>
  <conditionalFormatting sqref="C377:K377">
    <cfRule type="expression" dxfId="5839" priority="7721" stopIfTrue="1">
      <formula>AND($B377="Tender Received",$D377&lt;=(TODAY()+3))</formula>
    </cfRule>
    <cfRule type="expression" dxfId="5838" priority="7722" stopIfTrue="1">
      <formula>$B377="Tender Received"</formula>
    </cfRule>
  </conditionalFormatting>
  <conditionalFormatting sqref="C378:R378">
    <cfRule type="expression" dxfId="5837" priority="7719" stopIfTrue="1">
      <formula>AND($B378="Tender Received",$D378&lt;=(TODAY()+3))</formula>
    </cfRule>
    <cfRule type="expression" dxfId="5836" priority="7720" stopIfTrue="1">
      <formula>$B378="Tender Received"</formula>
    </cfRule>
  </conditionalFormatting>
  <conditionalFormatting sqref="L378:P378">
    <cfRule type="expression" dxfId="5835" priority="7717" stopIfTrue="1">
      <formula>AND($B378="Tender Received",$D378&lt;=(TODAY()+3))</formula>
    </cfRule>
    <cfRule type="expression" dxfId="5834" priority="7718" stopIfTrue="1">
      <formula>$B378="Tender Received"</formula>
    </cfRule>
  </conditionalFormatting>
  <conditionalFormatting sqref="C378:K378">
    <cfRule type="expression" dxfId="5833" priority="7715" stopIfTrue="1">
      <formula>AND($B378="Tender Received",$D378&lt;=(TODAY()+3))</formula>
    </cfRule>
    <cfRule type="expression" dxfId="5832" priority="7716" stopIfTrue="1">
      <formula>$B378="Tender Received"</formula>
    </cfRule>
  </conditionalFormatting>
  <conditionalFormatting sqref="C379:R379">
    <cfRule type="expression" dxfId="5831" priority="7713" stopIfTrue="1">
      <formula>AND($B379="Tender Received",$D379&lt;=(TODAY()+3))</formula>
    </cfRule>
    <cfRule type="expression" dxfId="5830" priority="7714" stopIfTrue="1">
      <formula>$B379="Tender Received"</formula>
    </cfRule>
  </conditionalFormatting>
  <conditionalFormatting sqref="L379:P379">
    <cfRule type="expression" dxfId="5829" priority="7711" stopIfTrue="1">
      <formula>AND($B379="Tender Received",$D379&lt;=(TODAY()+3))</formula>
    </cfRule>
    <cfRule type="expression" dxfId="5828" priority="7712" stopIfTrue="1">
      <formula>$B379="Tender Received"</formula>
    </cfRule>
  </conditionalFormatting>
  <conditionalFormatting sqref="C379:K379">
    <cfRule type="expression" dxfId="5827" priority="7709" stopIfTrue="1">
      <formula>AND($B379="Tender Received",$D379&lt;=(TODAY()+3))</formula>
    </cfRule>
    <cfRule type="expression" dxfId="5826" priority="7710" stopIfTrue="1">
      <formula>$B379="Tender Received"</formula>
    </cfRule>
  </conditionalFormatting>
  <conditionalFormatting sqref="C380:R381">
    <cfRule type="expression" dxfId="5825" priority="7707" stopIfTrue="1">
      <formula>AND($B380="Tender Received",$D380&lt;=(TODAY()+3))</formula>
    </cfRule>
    <cfRule type="expression" dxfId="5824" priority="7708" stopIfTrue="1">
      <formula>$B380="Tender Received"</formula>
    </cfRule>
  </conditionalFormatting>
  <conditionalFormatting sqref="L380:P381">
    <cfRule type="expression" dxfId="5823" priority="7705" stopIfTrue="1">
      <formula>AND($B380="Tender Received",$D380&lt;=(TODAY()+3))</formula>
    </cfRule>
    <cfRule type="expression" dxfId="5822" priority="7706" stopIfTrue="1">
      <formula>$B380="Tender Received"</formula>
    </cfRule>
  </conditionalFormatting>
  <conditionalFormatting sqref="C380:K381">
    <cfRule type="expression" dxfId="5821" priority="7703" stopIfTrue="1">
      <formula>AND($B380="Tender Received",$D380&lt;=(TODAY()+3))</formula>
    </cfRule>
    <cfRule type="expression" dxfId="5820" priority="7704" stopIfTrue="1">
      <formula>$B380="Tender Received"</formula>
    </cfRule>
  </conditionalFormatting>
  <conditionalFormatting sqref="C382:P382">
    <cfRule type="expression" dxfId="5819" priority="7701" stopIfTrue="1">
      <formula>AND($B382="Tender Received",$D382&lt;=(TODAY()+3))</formula>
    </cfRule>
    <cfRule type="expression" dxfId="5818" priority="7702" stopIfTrue="1">
      <formula>$B382="Tender Received"</formula>
    </cfRule>
  </conditionalFormatting>
  <conditionalFormatting sqref="L382:P382">
    <cfRule type="expression" dxfId="5817" priority="7699" stopIfTrue="1">
      <formula>AND($B382="Tender Received",$D382&lt;=(TODAY()+3))</formula>
    </cfRule>
    <cfRule type="expression" dxfId="5816" priority="7700" stopIfTrue="1">
      <formula>$B382="Tender Received"</formula>
    </cfRule>
  </conditionalFormatting>
  <conditionalFormatting sqref="C382:K382">
    <cfRule type="expression" dxfId="5815" priority="7697" stopIfTrue="1">
      <formula>AND($B382="Tender Received",$D382&lt;=(TODAY()+3))</formula>
    </cfRule>
    <cfRule type="expression" dxfId="5814" priority="7698" stopIfTrue="1">
      <formula>$B382="Tender Received"</formula>
    </cfRule>
  </conditionalFormatting>
  <conditionalFormatting sqref="C383:P383">
    <cfRule type="expression" dxfId="5813" priority="7695" stopIfTrue="1">
      <formula>AND($B383="Tender Received",$D383&lt;=(TODAY()+3))</formula>
    </cfRule>
    <cfRule type="expression" dxfId="5812" priority="7696" stopIfTrue="1">
      <formula>$B383="Tender Received"</formula>
    </cfRule>
  </conditionalFormatting>
  <conditionalFormatting sqref="L383:P383">
    <cfRule type="expression" dxfId="5811" priority="7693" stopIfTrue="1">
      <formula>AND($B383="Tender Received",$D383&lt;=(TODAY()+3))</formula>
    </cfRule>
    <cfRule type="expression" dxfId="5810" priority="7694" stopIfTrue="1">
      <formula>$B383="Tender Received"</formula>
    </cfRule>
  </conditionalFormatting>
  <conditionalFormatting sqref="C383:K383">
    <cfRule type="expression" dxfId="5809" priority="7691" stopIfTrue="1">
      <formula>AND($B383="Tender Received",$D383&lt;=(TODAY()+3))</formula>
    </cfRule>
    <cfRule type="expression" dxfId="5808" priority="7692" stopIfTrue="1">
      <formula>$B383="Tender Received"</formula>
    </cfRule>
  </conditionalFormatting>
  <conditionalFormatting sqref="C384:P384">
    <cfRule type="expression" dxfId="5807" priority="7689" stopIfTrue="1">
      <formula>AND($B384="Tender Received",$D384&lt;=(TODAY()+3))</formula>
    </cfRule>
    <cfRule type="expression" dxfId="5806" priority="7690" stopIfTrue="1">
      <formula>$B384="Tender Received"</formula>
    </cfRule>
  </conditionalFormatting>
  <conditionalFormatting sqref="L384:P384">
    <cfRule type="expression" dxfId="5805" priority="7687" stopIfTrue="1">
      <formula>AND($B384="Tender Received",$D384&lt;=(TODAY()+3))</formula>
    </cfRule>
    <cfRule type="expression" dxfId="5804" priority="7688" stopIfTrue="1">
      <formula>$B384="Tender Received"</formula>
    </cfRule>
  </conditionalFormatting>
  <conditionalFormatting sqref="C384:K384">
    <cfRule type="expression" dxfId="5803" priority="7685" stopIfTrue="1">
      <formula>AND($B384="Tender Received",$D384&lt;=(TODAY()+3))</formula>
    </cfRule>
    <cfRule type="expression" dxfId="5802" priority="7686" stopIfTrue="1">
      <formula>$B384="Tender Received"</formula>
    </cfRule>
  </conditionalFormatting>
  <conditionalFormatting sqref="C393:P394">
    <cfRule type="expression" dxfId="5801" priority="7683" stopIfTrue="1">
      <formula>AND($B393="Tender Received",$D393&lt;=(TODAY()+3))</formula>
    </cfRule>
    <cfRule type="expression" dxfId="5800" priority="7684" stopIfTrue="1">
      <formula>$B393="Tender Received"</formula>
    </cfRule>
  </conditionalFormatting>
  <conditionalFormatting sqref="L393:P394">
    <cfRule type="expression" dxfId="5799" priority="7681" stopIfTrue="1">
      <formula>AND($B393="Tender Received",$D393&lt;=(TODAY()+3))</formula>
    </cfRule>
    <cfRule type="expression" dxfId="5798" priority="7682" stopIfTrue="1">
      <formula>$B393="Tender Received"</formula>
    </cfRule>
  </conditionalFormatting>
  <conditionalFormatting sqref="C393:K394">
    <cfRule type="expression" dxfId="5797" priority="7679" stopIfTrue="1">
      <formula>AND($B393="Tender Received",$D393&lt;=(TODAY()+3))</formula>
    </cfRule>
    <cfRule type="expression" dxfId="5796" priority="7680" stopIfTrue="1">
      <formula>$B393="Tender Received"</formula>
    </cfRule>
  </conditionalFormatting>
  <conditionalFormatting sqref="C395:P397">
    <cfRule type="expression" dxfId="5795" priority="7677" stopIfTrue="1">
      <formula>AND($B395="Tender Received",$D395&lt;=(TODAY()+3))</formula>
    </cfRule>
    <cfRule type="expression" dxfId="5794" priority="7678" stopIfTrue="1">
      <formula>$B395="Tender Received"</formula>
    </cfRule>
  </conditionalFormatting>
  <conditionalFormatting sqref="L395:P397">
    <cfRule type="expression" dxfId="5793" priority="7675" stopIfTrue="1">
      <formula>AND($B395="Tender Received",$D395&lt;=(TODAY()+3))</formula>
    </cfRule>
    <cfRule type="expression" dxfId="5792" priority="7676" stopIfTrue="1">
      <formula>$B395="Tender Received"</formula>
    </cfRule>
  </conditionalFormatting>
  <conditionalFormatting sqref="C395:K397">
    <cfRule type="expression" dxfId="5791" priority="7673" stopIfTrue="1">
      <formula>AND($B395="Tender Received",$D395&lt;=(TODAY()+3))</formula>
    </cfRule>
    <cfRule type="expression" dxfId="5790" priority="7674" stopIfTrue="1">
      <formula>$B395="Tender Received"</formula>
    </cfRule>
  </conditionalFormatting>
  <conditionalFormatting sqref="C398:P398">
    <cfRule type="expression" dxfId="5789" priority="7671" stopIfTrue="1">
      <formula>AND($B398="Tender Received",$D398&lt;=(TODAY()+3))</formula>
    </cfRule>
    <cfRule type="expression" dxfId="5788" priority="7672" stopIfTrue="1">
      <formula>$B398="Tender Received"</formula>
    </cfRule>
  </conditionalFormatting>
  <conditionalFormatting sqref="L398:P398">
    <cfRule type="expression" dxfId="5787" priority="7669" stopIfTrue="1">
      <formula>AND($B398="Tender Received",$D398&lt;=(TODAY()+3))</formula>
    </cfRule>
    <cfRule type="expression" dxfId="5786" priority="7670" stopIfTrue="1">
      <formula>$B398="Tender Received"</formula>
    </cfRule>
  </conditionalFormatting>
  <conditionalFormatting sqref="C398:K398">
    <cfRule type="expression" dxfId="5785" priority="7667" stopIfTrue="1">
      <formula>AND($B398="Tender Received",$D398&lt;=(TODAY()+3))</formula>
    </cfRule>
    <cfRule type="expression" dxfId="5784" priority="7668" stopIfTrue="1">
      <formula>$B398="Tender Received"</formula>
    </cfRule>
  </conditionalFormatting>
  <conditionalFormatting sqref="C399:P400">
    <cfRule type="expression" dxfId="5783" priority="7665" stopIfTrue="1">
      <formula>AND($B399="Tender Received",$D399&lt;=(TODAY()+3))</formula>
    </cfRule>
    <cfRule type="expression" dxfId="5782" priority="7666" stopIfTrue="1">
      <formula>$B399="Tender Received"</formula>
    </cfRule>
  </conditionalFormatting>
  <conditionalFormatting sqref="L399:P400">
    <cfRule type="expression" dxfId="5781" priority="7663" stopIfTrue="1">
      <formula>AND($B399="Tender Received",$D399&lt;=(TODAY()+3))</formula>
    </cfRule>
    <cfRule type="expression" dxfId="5780" priority="7664" stopIfTrue="1">
      <formula>$B399="Tender Received"</formula>
    </cfRule>
  </conditionalFormatting>
  <conditionalFormatting sqref="C399:K400">
    <cfRule type="expression" dxfId="5779" priority="7661" stopIfTrue="1">
      <formula>AND($B399="Tender Received",$D399&lt;=(TODAY()+3))</formula>
    </cfRule>
    <cfRule type="expression" dxfId="5778" priority="7662" stopIfTrue="1">
      <formula>$B399="Tender Received"</formula>
    </cfRule>
  </conditionalFormatting>
  <conditionalFormatting sqref="C401:P401">
    <cfRule type="expression" dxfId="5777" priority="7659" stopIfTrue="1">
      <formula>AND($B401="Tender Received",$D401&lt;=(TODAY()+3))</formula>
    </cfRule>
    <cfRule type="expression" dxfId="5776" priority="7660" stopIfTrue="1">
      <formula>$B401="Tender Received"</formula>
    </cfRule>
  </conditionalFormatting>
  <conditionalFormatting sqref="L401:P401">
    <cfRule type="expression" dxfId="5775" priority="7657" stopIfTrue="1">
      <formula>AND($B401="Tender Received",$D401&lt;=(TODAY()+3))</formula>
    </cfRule>
    <cfRule type="expression" dxfId="5774" priority="7658" stopIfTrue="1">
      <formula>$B401="Tender Received"</formula>
    </cfRule>
  </conditionalFormatting>
  <conditionalFormatting sqref="C401:K401">
    <cfRule type="expression" dxfId="5773" priority="7655" stopIfTrue="1">
      <formula>AND($B401="Tender Received",$D401&lt;=(TODAY()+3))</formula>
    </cfRule>
    <cfRule type="expression" dxfId="5772" priority="7656" stopIfTrue="1">
      <formula>$B401="Tender Received"</formula>
    </cfRule>
  </conditionalFormatting>
  <conditionalFormatting sqref="C402:P402">
    <cfRule type="expression" dxfId="5771" priority="7653" stopIfTrue="1">
      <formula>AND($B402="Tender Received",$D402&lt;=(TODAY()+3))</formula>
    </cfRule>
    <cfRule type="expression" dxfId="5770" priority="7654" stopIfTrue="1">
      <formula>$B402="Tender Received"</formula>
    </cfRule>
  </conditionalFormatting>
  <conditionalFormatting sqref="L402:P402">
    <cfRule type="expression" dxfId="5769" priority="7651" stopIfTrue="1">
      <formula>AND($B402="Tender Received",$D402&lt;=(TODAY()+3))</formula>
    </cfRule>
    <cfRule type="expression" dxfId="5768" priority="7652" stopIfTrue="1">
      <formula>$B402="Tender Received"</formula>
    </cfRule>
  </conditionalFormatting>
  <conditionalFormatting sqref="C402:K402">
    <cfRule type="expression" dxfId="5767" priority="7649" stopIfTrue="1">
      <formula>AND($B402="Tender Received",$D402&lt;=(TODAY()+3))</formula>
    </cfRule>
    <cfRule type="expression" dxfId="5766" priority="7650" stopIfTrue="1">
      <formula>$B402="Tender Received"</formula>
    </cfRule>
  </conditionalFormatting>
  <conditionalFormatting sqref="C403:P403">
    <cfRule type="expression" dxfId="5765" priority="7647" stopIfTrue="1">
      <formula>AND($B403="Tender Received",$D403&lt;=(TODAY()+3))</formula>
    </cfRule>
    <cfRule type="expression" dxfId="5764" priority="7648" stopIfTrue="1">
      <formula>$B403="Tender Received"</formula>
    </cfRule>
  </conditionalFormatting>
  <conditionalFormatting sqref="L403:P403">
    <cfRule type="expression" dxfId="5763" priority="7645" stopIfTrue="1">
      <formula>AND($B403="Tender Received",$D403&lt;=(TODAY()+3))</formula>
    </cfRule>
    <cfRule type="expression" dxfId="5762" priority="7646" stopIfTrue="1">
      <formula>$B403="Tender Received"</formula>
    </cfRule>
  </conditionalFormatting>
  <conditionalFormatting sqref="C403:K403">
    <cfRule type="expression" dxfId="5761" priority="7643" stopIfTrue="1">
      <formula>AND($B403="Tender Received",$D403&lt;=(TODAY()+3))</formula>
    </cfRule>
    <cfRule type="expression" dxfId="5760" priority="7644" stopIfTrue="1">
      <formula>$B403="Tender Received"</formula>
    </cfRule>
  </conditionalFormatting>
  <conditionalFormatting sqref="C404:P404">
    <cfRule type="expression" dxfId="5759" priority="7641" stopIfTrue="1">
      <formula>AND($B404="Tender Received",$D404&lt;=(TODAY()+3))</formula>
    </cfRule>
    <cfRule type="expression" dxfId="5758" priority="7642" stopIfTrue="1">
      <formula>$B404="Tender Received"</formula>
    </cfRule>
  </conditionalFormatting>
  <conditionalFormatting sqref="L404:P404">
    <cfRule type="expression" dxfId="5757" priority="7639" stopIfTrue="1">
      <formula>AND($B404="Tender Received",$D404&lt;=(TODAY()+3))</formula>
    </cfRule>
    <cfRule type="expression" dxfId="5756" priority="7640" stopIfTrue="1">
      <formula>$B404="Tender Received"</formula>
    </cfRule>
  </conditionalFormatting>
  <conditionalFormatting sqref="C404:K404">
    <cfRule type="expression" dxfId="5755" priority="7637" stopIfTrue="1">
      <formula>AND($B404="Tender Received",$D404&lt;=(TODAY()+3))</formula>
    </cfRule>
    <cfRule type="expression" dxfId="5754" priority="7638" stopIfTrue="1">
      <formula>$B404="Tender Received"</formula>
    </cfRule>
  </conditionalFormatting>
  <conditionalFormatting sqref="C405:P405">
    <cfRule type="expression" dxfId="5753" priority="7635" stopIfTrue="1">
      <formula>AND($B405="Tender Received",$D405&lt;=(TODAY()+3))</formula>
    </cfRule>
    <cfRule type="expression" dxfId="5752" priority="7636" stopIfTrue="1">
      <formula>$B405="Tender Received"</formula>
    </cfRule>
  </conditionalFormatting>
  <conditionalFormatting sqref="L405:P405">
    <cfRule type="expression" dxfId="5751" priority="7633" stopIfTrue="1">
      <formula>AND($B405="Tender Received",$D405&lt;=(TODAY()+3))</formula>
    </cfRule>
    <cfRule type="expression" dxfId="5750" priority="7634" stopIfTrue="1">
      <formula>$B405="Tender Received"</formula>
    </cfRule>
  </conditionalFormatting>
  <conditionalFormatting sqref="C405:K405">
    <cfRule type="expression" dxfId="5749" priority="7631" stopIfTrue="1">
      <formula>AND($B405="Tender Received",$D405&lt;=(TODAY()+3))</formula>
    </cfRule>
    <cfRule type="expression" dxfId="5748" priority="7632" stopIfTrue="1">
      <formula>$B405="Tender Received"</formula>
    </cfRule>
  </conditionalFormatting>
  <conditionalFormatting sqref="C406:P406">
    <cfRule type="expression" dxfId="5747" priority="7629" stopIfTrue="1">
      <formula>AND($B406="Tender Received",$D406&lt;=(TODAY()+3))</formula>
    </cfRule>
    <cfRule type="expression" dxfId="5746" priority="7630" stopIfTrue="1">
      <formula>$B406="Tender Received"</formula>
    </cfRule>
  </conditionalFormatting>
  <conditionalFormatting sqref="L406:P406">
    <cfRule type="expression" dxfId="5745" priority="7627" stopIfTrue="1">
      <formula>AND($B406="Tender Received",$D406&lt;=(TODAY()+3))</formula>
    </cfRule>
    <cfRule type="expression" dxfId="5744" priority="7628" stopIfTrue="1">
      <formula>$B406="Tender Received"</formula>
    </cfRule>
  </conditionalFormatting>
  <conditionalFormatting sqref="C406:K406">
    <cfRule type="expression" dxfId="5743" priority="7625" stopIfTrue="1">
      <formula>AND($B406="Tender Received",$D406&lt;=(TODAY()+3))</formula>
    </cfRule>
    <cfRule type="expression" dxfId="5742" priority="7626" stopIfTrue="1">
      <formula>$B406="Tender Received"</formula>
    </cfRule>
  </conditionalFormatting>
  <conditionalFormatting sqref="C407:P408">
    <cfRule type="expression" dxfId="5741" priority="7623" stopIfTrue="1">
      <formula>AND($B407="Tender Received",$D407&lt;=(TODAY()+3))</formula>
    </cfRule>
    <cfRule type="expression" dxfId="5740" priority="7624" stopIfTrue="1">
      <formula>$B407="Tender Received"</formula>
    </cfRule>
  </conditionalFormatting>
  <conditionalFormatting sqref="L407:P408">
    <cfRule type="expression" dxfId="5739" priority="7621" stopIfTrue="1">
      <formula>AND($B407="Tender Received",$D407&lt;=(TODAY()+3))</formula>
    </cfRule>
    <cfRule type="expression" dxfId="5738" priority="7622" stopIfTrue="1">
      <formula>$B407="Tender Received"</formula>
    </cfRule>
  </conditionalFormatting>
  <conditionalFormatting sqref="C407:K408">
    <cfRule type="expression" dxfId="5737" priority="7619" stopIfTrue="1">
      <formula>AND($B407="Tender Received",$D407&lt;=(TODAY()+3))</formula>
    </cfRule>
    <cfRule type="expression" dxfId="5736" priority="7620" stopIfTrue="1">
      <formula>$B407="Tender Received"</formula>
    </cfRule>
  </conditionalFormatting>
  <conditionalFormatting sqref="C409:H409 J409:K409 O409:R409">
    <cfRule type="expression" dxfId="5735" priority="7617" stopIfTrue="1">
      <formula>AND($B409="Tender Received",$D409&lt;=(TODAY()+3))</formula>
    </cfRule>
    <cfRule type="expression" dxfId="5734" priority="7618" stopIfTrue="1">
      <formula>$B409="Tender Received"</formula>
    </cfRule>
  </conditionalFormatting>
  <conditionalFormatting sqref="I409">
    <cfRule type="expression" dxfId="5733" priority="7615" stopIfTrue="1">
      <formula>AND($B409="Tender Received",$D409&lt;=(TODAY()+3))</formula>
    </cfRule>
    <cfRule type="expression" dxfId="5732" priority="7616" stopIfTrue="1">
      <formula>$B409="Tender Received"</formula>
    </cfRule>
  </conditionalFormatting>
  <conditionalFormatting sqref="M409:N409">
    <cfRule type="expression" dxfId="5731" priority="7613" stopIfTrue="1">
      <formula>AND($B409="Tender Received",$D409&lt;=(TODAY()+3))</formula>
    </cfRule>
    <cfRule type="expression" dxfId="5730" priority="7614" stopIfTrue="1">
      <formula>$B409="Tender Received"</formula>
    </cfRule>
  </conditionalFormatting>
  <conditionalFormatting sqref="L409">
    <cfRule type="expression" dxfId="5729" priority="7611" stopIfTrue="1">
      <formula>AND($B409="Tender Received",$D409&lt;=(TODAY()+3))</formula>
    </cfRule>
    <cfRule type="expression" dxfId="5728" priority="7612" stopIfTrue="1">
      <formula>$B409="Tender Received"</formula>
    </cfRule>
  </conditionalFormatting>
  <conditionalFormatting sqref="J410:K411 O410:R411 C410:H411">
    <cfRule type="expression" dxfId="5727" priority="7609" stopIfTrue="1">
      <formula>AND($B410="Tender Received",$D410&lt;=(TODAY()+3))</formula>
    </cfRule>
    <cfRule type="expression" dxfId="5726" priority="7610" stopIfTrue="1">
      <formula>$B410="Tender Received"</formula>
    </cfRule>
  </conditionalFormatting>
  <conditionalFormatting sqref="I410:I411">
    <cfRule type="expression" dxfId="5725" priority="7607" stopIfTrue="1">
      <formula>AND($B410="Tender Received",$D410&lt;=(TODAY()+3))</formula>
    </cfRule>
    <cfRule type="expression" dxfId="5724" priority="7608" stopIfTrue="1">
      <formula>$B410="Tender Received"</formula>
    </cfRule>
  </conditionalFormatting>
  <conditionalFormatting sqref="M410:N411">
    <cfRule type="expression" dxfId="5723" priority="7605" stopIfTrue="1">
      <formula>AND($B410="Tender Received",$D410&lt;=(TODAY()+3))</formula>
    </cfRule>
    <cfRule type="expression" dxfId="5722" priority="7606" stopIfTrue="1">
      <formula>$B410="Tender Received"</formula>
    </cfRule>
  </conditionalFormatting>
  <conditionalFormatting sqref="L410:L411">
    <cfRule type="expression" dxfId="5721" priority="7603" stopIfTrue="1">
      <formula>AND($B410="Tender Received",$D410&lt;=(TODAY()+3))</formula>
    </cfRule>
    <cfRule type="expression" dxfId="5720" priority="7604" stopIfTrue="1">
      <formula>$B410="Tender Received"</formula>
    </cfRule>
  </conditionalFormatting>
  <conditionalFormatting sqref="O412:R413 J412:K413 C412:H413">
    <cfRule type="expression" dxfId="5719" priority="7601" stopIfTrue="1">
      <formula>AND($B412="Tender Received",$D412&lt;=(TODAY()+3))</formula>
    </cfRule>
    <cfRule type="expression" dxfId="5718" priority="7602" stopIfTrue="1">
      <formula>$B412="Tender Received"</formula>
    </cfRule>
  </conditionalFormatting>
  <conditionalFormatting sqref="I412:I413">
    <cfRule type="expression" dxfId="5717" priority="7599" stopIfTrue="1">
      <formula>AND($B412="Tender Received",$D412&lt;=(TODAY()+3))</formula>
    </cfRule>
    <cfRule type="expression" dxfId="5716" priority="7600" stopIfTrue="1">
      <formula>$B412="Tender Received"</formula>
    </cfRule>
  </conditionalFormatting>
  <conditionalFormatting sqref="M412:N413">
    <cfRule type="expression" dxfId="5715" priority="7597" stopIfTrue="1">
      <formula>AND($B412="Tender Received",$D412&lt;=(TODAY()+3))</formula>
    </cfRule>
    <cfRule type="expression" dxfId="5714" priority="7598" stopIfTrue="1">
      <formula>$B412="Tender Received"</formula>
    </cfRule>
  </conditionalFormatting>
  <conditionalFormatting sqref="L412:L413">
    <cfRule type="expression" dxfId="5713" priority="7595" stopIfTrue="1">
      <formula>AND($B412="Tender Received",$D412&lt;=(TODAY()+3))</formula>
    </cfRule>
    <cfRule type="expression" dxfId="5712" priority="7596" stopIfTrue="1">
      <formula>$B412="Tender Received"</formula>
    </cfRule>
  </conditionalFormatting>
  <conditionalFormatting sqref="O414:R415 C414:H415 J414:K415">
    <cfRule type="expression" dxfId="5711" priority="7593" stopIfTrue="1">
      <formula>AND($B414="Tender Received",$D414&lt;=(TODAY()+3))</formula>
    </cfRule>
    <cfRule type="expression" dxfId="5710" priority="7594" stopIfTrue="1">
      <formula>$B414="Tender Received"</formula>
    </cfRule>
  </conditionalFormatting>
  <conditionalFormatting sqref="I414:I415">
    <cfRule type="expression" dxfId="5709" priority="7591" stopIfTrue="1">
      <formula>AND($B414="Tender Received",$D414&lt;=(TODAY()+3))</formula>
    </cfRule>
    <cfRule type="expression" dxfId="5708" priority="7592" stopIfTrue="1">
      <formula>$B414="Tender Received"</formula>
    </cfRule>
  </conditionalFormatting>
  <conditionalFormatting sqref="M414:N415">
    <cfRule type="expression" dxfId="5707" priority="7589" stopIfTrue="1">
      <formula>AND($B414="Tender Received",$D414&lt;=(TODAY()+3))</formula>
    </cfRule>
    <cfRule type="expression" dxfId="5706" priority="7590" stopIfTrue="1">
      <formula>$B414="Tender Received"</formula>
    </cfRule>
  </conditionalFormatting>
  <conditionalFormatting sqref="L414:L415">
    <cfRule type="expression" dxfId="5705" priority="7587" stopIfTrue="1">
      <formula>AND($B414="Tender Received",$D414&lt;=(TODAY()+3))</formula>
    </cfRule>
    <cfRule type="expression" dxfId="5704" priority="7588" stopIfTrue="1">
      <formula>$B414="Tender Received"</formula>
    </cfRule>
  </conditionalFormatting>
  <conditionalFormatting sqref="O416:R416 C416:H416 J416:K416">
    <cfRule type="expression" dxfId="5703" priority="7585" stopIfTrue="1">
      <formula>AND($B416="Tender Received",$D416&lt;=(TODAY()+3))</formula>
    </cfRule>
    <cfRule type="expression" dxfId="5702" priority="7586" stopIfTrue="1">
      <formula>$B416="Tender Received"</formula>
    </cfRule>
  </conditionalFormatting>
  <conditionalFormatting sqref="I416">
    <cfRule type="expression" dxfId="5701" priority="7583" stopIfTrue="1">
      <formula>AND($B416="Tender Received",$D416&lt;=(TODAY()+3))</formula>
    </cfRule>
    <cfRule type="expression" dxfId="5700" priority="7584" stopIfTrue="1">
      <formula>$B416="Tender Received"</formula>
    </cfRule>
  </conditionalFormatting>
  <conditionalFormatting sqref="M416:N416">
    <cfRule type="expression" dxfId="5699" priority="7581" stopIfTrue="1">
      <formula>AND($B416="Tender Received",$D416&lt;=(TODAY()+3))</formula>
    </cfRule>
    <cfRule type="expression" dxfId="5698" priority="7582" stopIfTrue="1">
      <formula>$B416="Tender Received"</formula>
    </cfRule>
  </conditionalFormatting>
  <conditionalFormatting sqref="L416">
    <cfRule type="expression" dxfId="5697" priority="7579" stopIfTrue="1">
      <formula>AND($B416="Tender Received",$D416&lt;=(TODAY()+3))</formula>
    </cfRule>
    <cfRule type="expression" dxfId="5696" priority="7580" stopIfTrue="1">
      <formula>$B416="Tender Received"</formula>
    </cfRule>
  </conditionalFormatting>
  <conditionalFormatting sqref="O417:R417 E417:H417 J417:K417">
    <cfRule type="expression" dxfId="5695" priority="7577" stopIfTrue="1">
      <formula>AND($B417="Tender Received",$D417&lt;=(TODAY()+3))</formula>
    </cfRule>
    <cfRule type="expression" dxfId="5694" priority="7578" stopIfTrue="1">
      <formula>$B417="Tender Received"</formula>
    </cfRule>
  </conditionalFormatting>
  <conditionalFormatting sqref="I417">
    <cfRule type="expression" dxfId="5693" priority="7575" stopIfTrue="1">
      <formula>AND($B417="Tender Received",$D417&lt;=(TODAY()+3))</formula>
    </cfRule>
    <cfRule type="expression" dxfId="5692" priority="7576" stopIfTrue="1">
      <formula>$B417="Tender Received"</formula>
    </cfRule>
  </conditionalFormatting>
  <conditionalFormatting sqref="M417:N417">
    <cfRule type="expression" dxfId="5691" priority="7573" stopIfTrue="1">
      <formula>AND($B417="Tender Received",$D417&lt;=(TODAY()+3))</formula>
    </cfRule>
    <cfRule type="expression" dxfId="5690" priority="7574" stopIfTrue="1">
      <formula>$B417="Tender Received"</formula>
    </cfRule>
  </conditionalFormatting>
  <conditionalFormatting sqref="L417">
    <cfRule type="expression" dxfId="5689" priority="7571" stopIfTrue="1">
      <formula>AND($B417="Tender Received",$D417&lt;=(TODAY()+3))</formula>
    </cfRule>
    <cfRule type="expression" dxfId="5688" priority="7572" stopIfTrue="1">
      <formula>$B417="Tender Received"</formula>
    </cfRule>
  </conditionalFormatting>
  <conditionalFormatting sqref="C417:D417">
    <cfRule type="expression" dxfId="5687" priority="7569" stopIfTrue="1">
      <formula>AND($B417="Tender Received",$D417&lt;=(TODAY()+3))</formula>
    </cfRule>
    <cfRule type="expression" dxfId="5686" priority="7570" stopIfTrue="1">
      <formula>$B417="Tender Received"</formula>
    </cfRule>
  </conditionalFormatting>
  <conditionalFormatting sqref="O418:R418 E418:H418 J418:K418">
    <cfRule type="expression" dxfId="5685" priority="7567" stopIfTrue="1">
      <formula>AND($B418="Tender Received",$D418&lt;=(TODAY()+3))</formula>
    </cfRule>
    <cfRule type="expression" dxfId="5684" priority="7568" stopIfTrue="1">
      <formula>$B418="Tender Received"</formula>
    </cfRule>
  </conditionalFormatting>
  <conditionalFormatting sqref="I418">
    <cfRule type="expression" dxfId="5683" priority="7565" stopIfTrue="1">
      <formula>AND($B418="Tender Received",$D418&lt;=(TODAY()+3))</formula>
    </cfRule>
    <cfRule type="expression" dxfId="5682" priority="7566" stopIfTrue="1">
      <formula>$B418="Tender Received"</formula>
    </cfRule>
  </conditionalFormatting>
  <conditionalFormatting sqref="M418:N418">
    <cfRule type="expression" dxfId="5681" priority="7563" stopIfTrue="1">
      <formula>AND($B418="Tender Received",$D418&lt;=(TODAY()+3))</formula>
    </cfRule>
    <cfRule type="expression" dxfId="5680" priority="7564" stopIfTrue="1">
      <formula>$B418="Tender Received"</formula>
    </cfRule>
  </conditionalFormatting>
  <conditionalFormatting sqref="L418">
    <cfRule type="expression" dxfId="5679" priority="7561" stopIfTrue="1">
      <formula>AND($B418="Tender Received",$D418&lt;=(TODAY()+3))</formula>
    </cfRule>
    <cfRule type="expression" dxfId="5678" priority="7562" stopIfTrue="1">
      <formula>$B418="Tender Received"</formula>
    </cfRule>
  </conditionalFormatting>
  <conditionalFormatting sqref="C418:D418">
    <cfRule type="expression" dxfId="5677" priority="7559" stopIfTrue="1">
      <formula>AND($B418="Tender Received",$D418&lt;=(TODAY()+3))</formula>
    </cfRule>
    <cfRule type="expression" dxfId="5676" priority="7560" stopIfTrue="1">
      <formula>$B418="Tender Received"</formula>
    </cfRule>
  </conditionalFormatting>
  <conditionalFormatting sqref="O419:R419 E419:H419 J419:K419">
    <cfRule type="expression" dxfId="5675" priority="7557" stopIfTrue="1">
      <formula>AND($B419="Tender Received",$D419&lt;=(TODAY()+3))</formula>
    </cfRule>
    <cfRule type="expression" dxfId="5674" priority="7558" stopIfTrue="1">
      <formula>$B419="Tender Received"</formula>
    </cfRule>
  </conditionalFormatting>
  <conditionalFormatting sqref="I419">
    <cfRule type="expression" dxfId="5673" priority="7555" stopIfTrue="1">
      <formula>AND($B419="Tender Received",$D419&lt;=(TODAY()+3))</formula>
    </cfRule>
    <cfRule type="expression" dxfId="5672" priority="7556" stopIfTrue="1">
      <formula>$B419="Tender Received"</formula>
    </cfRule>
  </conditionalFormatting>
  <conditionalFormatting sqref="M419:N419">
    <cfRule type="expression" dxfId="5671" priority="7553" stopIfTrue="1">
      <formula>AND($B419="Tender Received",$D419&lt;=(TODAY()+3))</formula>
    </cfRule>
    <cfRule type="expression" dxfId="5670" priority="7554" stopIfTrue="1">
      <formula>$B419="Tender Received"</formula>
    </cfRule>
  </conditionalFormatting>
  <conditionalFormatting sqref="L419">
    <cfRule type="expression" dxfId="5669" priority="7551" stopIfTrue="1">
      <formula>AND($B419="Tender Received",$D419&lt;=(TODAY()+3))</formula>
    </cfRule>
    <cfRule type="expression" dxfId="5668" priority="7552" stopIfTrue="1">
      <formula>$B419="Tender Received"</formula>
    </cfRule>
  </conditionalFormatting>
  <conditionalFormatting sqref="C419:D419">
    <cfRule type="expression" dxfId="5667" priority="7549" stopIfTrue="1">
      <formula>AND($B419="Tender Received",$D419&lt;=(TODAY()+3))</formula>
    </cfRule>
    <cfRule type="expression" dxfId="5666" priority="7550" stopIfTrue="1">
      <formula>$B419="Tender Received"</formula>
    </cfRule>
  </conditionalFormatting>
  <conditionalFormatting sqref="O420:R420 E420:H420 J420:K420">
    <cfRule type="expression" dxfId="5665" priority="7547" stopIfTrue="1">
      <formula>AND($B420="Tender Received",$D420&lt;=(TODAY()+3))</formula>
    </cfRule>
    <cfRule type="expression" dxfId="5664" priority="7548" stopIfTrue="1">
      <formula>$B420="Tender Received"</formula>
    </cfRule>
  </conditionalFormatting>
  <conditionalFormatting sqref="I420">
    <cfRule type="expression" dxfId="5663" priority="7545" stopIfTrue="1">
      <formula>AND($B420="Tender Received",$D420&lt;=(TODAY()+3))</formula>
    </cfRule>
    <cfRule type="expression" dxfId="5662" priority="7546" stopIfTrue="1">
      <formula>$B420="Tender Received"</formula>
    </cfRule>
  </conditionalFormatting>
  <conditionalFormatting sqref="M420:N420">
    <cfRule type="expression" dxfId="5661" priority="7543" stopIfTrue="1">
      <formula>AND($B420="Tender Received",$D420&lt;=(TODAY()+3))</formula>
    </cfRule>
    <cfRule type="expression" dxfId="5660" priority="7544" stopIfTrue="1">
      <formula>$B420="Tender Received"</formula>
    </cfRule>
  </conditionalFormatting>
  <conditionalFormatting sqref="L420">
    <cfRule type="expression" dxfId="5659" priority="7541" stopIfTrue="1">
      <formula>AND($B420="Tender Received",$D420&lt;=(TODAY()+3))</formula>
    </cfRule>
    <cfRule type="expression" dxfId="5658" priority="7542" stopIfTrue="1">
      <formula>$B420="Tender Received"</formula>
    </cfRule>
  </conditionalFormatting>
  <conditionalFormatting sqref="C420:D420">
    <cfRule type="expression" dxfId="5657" priority="7539" stopIfTrue="1">
      <formula>AND($B420="Tender Received",$D420&lt;=(TODAY()+3))</formula>
    </cfRule>
    <cfRule type="expression" dxfId="5656" priority="7540" stopIfTrue="1">
      <formula>$B420="Tender Received"</formula>
    </cfRule>
  </conditionalFormatting>
  <conditionalFormatting sqref="O421:R421 J421:K421">
    <cfRule type="expression" dxfId="5655" priority="7537" stopIfTrue="1">
      <formula>AND($B421="Tender Received",$D421&lt;=(TODAY()+3))</formula>
    </cfRule>
    <cfRule type="expression" dxfId="5654" priority="7538" stopIfTrue="1">
      <formula>$B421="Tender Received"</formula>
    </cfRule>
  </conditionalFormatting>
  <conditionalFormatting sqref="I421">
    <cfRule type="expression" dxfId="5653" priority="7535" stopIfTrue="1">
      <formula>AND($B421="Tender Received",$D421&lt;=(TODAY()+3))</formula>
    </cfRule>
    <cfRule type="expression" dxfId="5652" priority="7536" stopIfTrue="1">
      <formula>$B421="Tender Received"</formula>
    </cfRule>
  </conditionalFormatting>
  <conditionalFormatting sqref="M421:N421">
    <cfRule type="expression" dxfId="5651" priority="7533" stopIfTrue="1">
      <formula>AND($B421="Tender Received",$D421&lt;=(TODAY()+3))</formula>
    </cfRule>
    <cfRule type="expression" dxfId="5650" priority="7534" stopIfTrue="1">
      <formula>$B421="Tender Received"</formula>
    </cfRule>
  </conditionalFormatting>
  <conditionalFormatting sqref="L421">
    <cfRule type="expression" dxfId="5649" priority="7531" stopIfTrue="1">
      <formula>AND($B421="Tender Received",$D421&lt;=(TODAY()+3))</formula>
    </cfRule>
    <cfRule type="expression" dxfId="5648" priority="7532" stopIfTrue="1">
      <formula>$B421="Tender Received"</formula>
    </cfRule>
  </conditionalFormatting>
  <conditionalFormatting sqref="C421:D421">
    <cfRule type="expression" dxfId="5647" priority="7529" stopIfTrue="1">
      <formula>AND($B421="Tender Received",$D421&lt;=(TODAY()+3))</formula>
    </cfRule>
    <cfRule type="expression" dxfId="5646" priority="7530" stopIfTrue="1">
      <formula>$B421="Tender Received"</formula>
    </cfRule>
  </conditionalFormatting>
  <conditionalFormatting sqref="B422 E422:G422">
    <cfRule type="expression" dxfId="5645" priority="7527" stopIfTrue="1">
      <formula>AND($B422="Tender Received",$D422&lt;=(TODAY()+3))</formula>
    </cfRule>
    <cfRule type="expression" dxfId="5644" priority="7528" stopIfTrue="1">
      <formula>$B422="Tender Received"</formula>
    </cfRule>
  </conditionalFormatting>
  <conditionalFormatting sqref="O422:R422 J422:K422">
    <cfRule type="expression" dxfId="5643" priority="7525" stopIfTrue="1">
      <formula>AND($B422="Tender Received",$D422&lt;=(TODAY()+3))</formula>
    </cfRule>
    <cfRule type="expression" dxfId="5642" priority="7526" stopIfTrue="1">
      <formula>$B422="Tender Received"</formula>
    </cfRule>
  </conditionalFormatting>
  <conditionalFormatting sqref="I422">
    <cfRule type="expression" dxfId="5641" priority="7523" stopIfTrue="1">
      <formula>AND($B422="Tender Received",$D422&lt;=(TODAY()+3))</formula>
    </cfRule>
    <cfRule type="expression" dxfId="5640" priority="7524" stopIfTrue="1">
      <formula>$B422="Tender Received"</formula>
    </cfRule>
  </conditionalFormatting>
  <conditionalFormatting sqref="M422:N422">
    <cfRule type="expression" dxfId="5639" priority="7521" stopIfTrue="1">
      <formula>AND($B422="Tender Received",$D422&lt;=(TODAY()+3))</formula>
    </cfRule>
    <cfRule type="expression" dxfId="5638" priority="7522" stopIfTrue="1">
      <formula>$B422="Tender Received"</formula>
    </cfRule>
  </conditionalFormatting>
  <conditionalFormatting sqref="L422">
    <cfRule type="expression" dxfId="5637" priority="7519" stopIfTrue="1">
      <formula>AND($B422="Tender Received",$D422&lt;=(TODAY()+3))</formula>
    </cfRule>
    <cfRule type="expression" dxfId="5636" priority="7520" stopIfTrue="1">
      <formula>$B422="Tender Received"</formula>
    </cfRule>
  </conditionalFormatting>
  <conditionalFormatting sqref="C422:D422">
    <cfRule type="expression" dxfId="5635" priority="7517" stopIfTrue="1">
      <formula>AND($B422="Tender Received",$D422&lt;=(TODAY()+3))</formula>
    </cfRule>
    <cfRule type="expression" dxfId="5634" priority="7518" stopIfTrue="1">
      <formula>$B422="Tender Received"</formula>
    </cfRule>
  </conditionalFormatting>
  <conditionalFormatting sqref="H422">
    <cfRule type="expression" dxfId="5633" priority="7515" stopIfTrue="1">
      <formula>AND($B422="Tender Received",$D422&lt;=(TODAY()+3))</formula>
    </cfRule>
    <cfRule type="expression" dxfId="5632" priority="7516" stopIfTrue="1">
      <formula>$B422="Tender Received"</formula>
    </cfRule>
  </conditionalFormatting>
  <conditionalFormatting sqref="H421">
    <cfRule type="expression" dxfId="5631" priority="7513" stopIfTrue="1">
      <formula>AND($B421="Tender Received",$D421&lt;=(TODAY()+3))</formula>
    </cfRule>
    <cfRule type="expression" dxfId="5630" priority="7514" stopIfTrue="1">
      <formula>$B421="Tender Received"</formula>
    </cfRule>
  </conditionalFormatting>
  <conditionalFormatting sqref="E423:G423">
    <cfRule type="expression" dxfId="5629" priority="7511" stopIfTrue="1">
      <formula>AND($B423="Tender Received",$D423&lt;=(TODAY()+3))</formula>
    </cfRule>
    <cfRule type="expression" dxfId="5628" priority="7512" stopIfTrue="1">
      <formula>$B423="Tender Received"</formula>
    </cfRule>
  </conditionalFormatting>
  <conditionalFormatting sqref="O423:R423 J423:K423">
    <cfRule type="expression" dxfId="5627" priority="7509" stopIfTrue="1">
      <formula>AND($B423="Tender Received",$D423&lt;=(TODAY()+3))</formula>
    </cfRule>
    <cfRule type="expression" dxfId="5626" priority="7510" stopIfTrue="1">
      <formula>$B423="Tender Received"</formula>
    </cfRule>
  </conditionalFormatting>
  <conditionalFormatting sqref="I423">
    <cfRule type="expression" dxfId="5625" priority="7507" stopIfTrue="1">
      <formula>AND($B423="Tender Received",$D423&lt;=(TODAY()+3))</formula>
    </cfRule>
    <cfRule type="expression" dxfId="5624" priority="7508" stopIfTrue="1">
      <formula>$B423="Tender Received"</formula>
    </cfRule>
  </conditionalFormatting>
  <conditionalFormatting sqref="M423:N423">
    <cfRule type="expression" dxfId="5623" priority="7505" stopIfTrue="1">
      <formula>AND($B423="Tender Received",$D423&lt;=(TODAY()+3))</formula>
    </cfRule>
    <cfRule type="expression" dxfId="5622" priority="7506" stopIfTrue="1">
      <formula>$B423="Tender Received"</formula>
    </cfRule>
  </conditionalFormatting>
  <conditionalFormatting sqref="L423">
    <cfRule type="expression" dxfId="5621" priority="7503" stopIfTrue="1">
      <formula>AND($B423="Tender Received",$D423&lt;=(TODAY()+3))</formula>
    </cfRule>
    <cfRule type="expression" dxfId="5620" priority="7504" stopIfTrue="1">
      <formula>$B423="Tender Received"</formula>
    </cfRule>
  </conditionalFormatting>
  <conditionalFormatting sqref="C423:D423">
    <cfRule type="expression" dxfId="5619" priority="7501" stopIfTrue="1">
      <formula>AND($B423="Tender Received",$D423&lt;=(TODAY()+3))</formula>
    </cfRule>
    <cfRule type="expression" dxfId="5618" priority="7502" stopIfTrue="1">
      <formula>$B423="Tender Received"</formula>
    </cfRule>
  </conditionalFormatting>
  <conditionalFormatting sqref="H423">
    <cfRule type="expression" dxfId="5617" priority="7499" stopIfTrue="1">
      <formula>AND($B423="Tender Received",$D423&lt;=(TODAY()+3))</formula>
    </cfRule>
    <cfRule type="expression" dxfId="5616" priority="7500" stopIfTrue="1">
      <formula>$B423="Tender Received"</formula>
    </cfRule>
  </conditionalFormatting>
  <conditionalFormatting sqref="E424:G424">
    <cfRule type="expression" dxfId="5615" priority="7497" stopIfTrue="1">
      <formula>AND($B424="Tender Received",$D424&lt;=(TODAY()+3))</formula>
    </cfRule>
    <cfRule type="expression" dxfId="5614" priority="7498" stopIfTrue="1">
      <formula>$B424="Tender Received"</formula>
    </cfRule>
  </conditionalFormatting>
  <conditionalFormatting sqref="O424:R424 J424:K424">
    <cfRule type="expression" dxfId="5613" priority="7495" stopIfTrue="1">
      <formula>AND($B424="Tender Received",$D424&lt;=(TODAY()+3))</formula>
    </cfRule>
    <cfRule type="expression" dxfId="5612" priority="7496" stopIfTrue="1">
      <formula>$B424="Tender Received"</formula>
    </cfRule>
  </conditionalFormatting>
  <conditionalFormatting sqref="I424">
    <cfRule type="expression" dxfId="5611" priority="7493" stopIfTrue="1">
      <formula>AND($B424="Tender Received",$D424&lt;=(TODAY()+3))</formula>
    </cfRule>
    <cfRule type="expression" dxfId="5610" priority="7494" stopIfTrue="1">
      <formula>$B424="Tender Received"</formula>
    </cfRule>
  </conditionalFormatting>
  <conditionalFormatting sqref="M424:N424">
    <cfRule type="expression" dxfId="5609" priority="7491" stopIfTrue="1">
      <formula>AND($B424="Tender Received",$D424&lt;=(TODAY()+3))</formula>
    </cfRule>
    <cfRule type="expression" dxfId="5608" priority="7492" stopIfTrue="1">
      <formula>$B424="Tender Received"</formula>
    </cfRule>
  </conditionalFormatting>
  <conditionalFormatting sqref="L424">
    <cfRule type="expression" dxfId="5607" priority="7489" stopIfTrue="1">
      <formula>AND($B424="Tender Received",$D424&lt;=(TODAY()+3))</formula>
    </cfRule>
    <cfRule type="expression" dxfId="5606" priority="7490" stopIfTrue="1">
      <formula>$B424="Tender Received"</formula>
    </cfRule>
  </conditionalFormatting>
  <conditionalFormatting sqref="C424:D424">
    <cfRule type="expression" dxfId="5605" priority="7487" stopIfTrue="1">
      <formula>AND($B424="Tender Received",$D424&lt;=(TODAY()+3))</formula>
    </cfRule>
    <cfRule type="expression" dxfId="5604" priority="7488" stopIfTrue="1">
      <formula>$B424="Tender Received"</formula>
    </cfRule>
  </conditionalFormatting>
  <conditionalFormatting sqref="H424">
    <cfRule type="expression" dxfId="5603" priority="7485" stopIfTrue="1">
      <formula>AND($B424="Tender Received",$D424&lt;=(TODAY()+3))</formula>
    </cfRule>
    <cfRule type="expression" dxfId="5602" priority="7486" stopIfTrue="1">
      <formula>$B424="Tender Received"</formula>
    </cfRule>
  </conditionalFormatting>
  <conditionalFormatting sqref="E425:G425">
    <cfRule type="expression" dxfId="5601" priority="7483" stopIfTrue="1">
      <formula>AND($B425="Tender Received",$D425&lt;=(TODAY()+3))</formula>
    </cfRule>
    <cfRule type="expression" dxfId="5600" priority="7484" stopIfTrue="1">
      <formula>$B425="Tender Received"</formula>
    </cfRule>
  </conditionalFormatting>
  <conditionalFormatting sqref="O425:R425 J425:K425">
    <cfRule type="expression" dxfId="5599" priority="7481" stopIfTrue="1">
      <formula>AND($B425="Tender Received",$D425&lt;=(TODAY()+3))</formula>
    </cfRule>
    <cfRule type="expression" dxfId="5598" priority="7482" stopIfTrue="1">
      <formula>$B425="Tender Received"</formula>
    </cfRule>
  </conditionalFormatting>
  <conditionalFormatting sqref="I425">
    <cfRule type="expression" dxfId="5597" priority="7479" stopIfTrue="1">
      <formula>AND($B425="Tender Received",$D425&lt;=(TODAY()+3))</formula>
    </cfRule>
    <cfRule type="expression" dxfId="5596" priority="7480" stopIfTrue="1">
      <formula>$B425="Tender Received"</formula>
    </cfRule>
  </conditionalFormatting>
  <conditionalFormatting sqref="M425:N425">
    <cfRule type="expression" dxfId="5595" priority="7477" stopIfTrue="1">
      <formula>AND($B425="Tender Received",$D425&lt;=(TODAY()+3))</formula>
    </cfRule>
    <cfRule type="expression" dxfId="5594" priority="7478" stopIfTrue="1">
      <formula>$B425="Tender Received"</formula>
    </cfRule>
  </conditionalFormatting>
  <conditionalFormatting sqref="L425">
    <cfRule type="expression" dxfId="5593" priority="7475" stopIfTrue="1">
      <formula>AND($B425="Tender Received",$D425&lt;=(TODAY()+3))</formula>
    </cfRule>
    <cfRule type="expression" dxfId="5592" priority="7476" stopIfTrue="1">
      <formula>$B425="Tender Received"</formula>
    </cfRule>
  </conditionalFormatting>
  <conditionalFormatting sqref="C425:D425">
    <cfRule type="expression" dxfId="5591" priority="7473" stopIfTrue="1">
      <formula>AND($B425="Tender Received",$D425&lt;=(TODAY()+3))</formula>
    </cfRule>
    <cfRule type="expression" dxfId="5590" priority="7474" stopIfTrue="1">
      <formula>$B425="Tender Received"</formula>
    </cfRule>
  </conditionalFormatting>
  <conditionalFormatting sqref="H425">
    <cfRule type="expression" dxfId="5589" priority="7471" stopIfTrue="1">
      <formula>AND($B425="Tender Received",$D425&lt;=(TODAY()+3))</formula>
    </cfRule>
    <cfRule type="expression" dxfId="5588" priority="7472" stopIfTrue="1">
      <formula>$B425="Tender Received"</formula>
    </cfRule>
  </conditionalFormatting>
  <conditionalFormatting sqref="E426:G426">
    <cfRule type="expression" dxfId="5587" priority="7469" stopIfTrue="1">
      <formula>AND($B426="Tender Received",$D426&lt;=(TODAY()+3))</formula>
    </cfRule>
    <cfRule type="expression" dxfId="5586" priority="7470" stopIfTrue="1">
      <formula>$B426="Tender Received"</formula>
    </cfRule>
  </conditionalFormatting>
  <conditionalFormatting sqref="O426:R426 J426:K426">
    <cfRule type="expression" dxfId="5585" priority="7467" stopIfTrue="1">
      <formula>AND($B426="Tender Received",$D426&lt;=(TODAY()+3))</formula>
    </cfRule>
    <cfRule type="expression" dxfId="5584" priority="7468" stopIfTrue="1">
      <formula>$B426="Tender Received"</formula>
    </cfRule>
  </conditionalFormatting>
  <conditionalFormatting sqref="I426">
    <cfRule type="expression" dxfId="5583" priority="7465" stopIfTrue="1">
      <formula>AND($B426="Tender Received",$D426&lt;=(TODAY()+3))</formula>
    </cfRule>
    <cfRule type="expression" dxfId="5582" priority="7466" stopIfTrue="1">
      <formula>$B426="Tender Received"</formula>
    </cfRule>
  </conditionalFormatting>
  <conditionalFormatting sqref="M426:N426">
    <cfRule type="expression" dxfId="5581" priority="7463" stopIfTrue="1">
      <formula>AND($B426="Tender Received",$D426&lt;=(TODAY()+3))</formula>
    </cfRule>
    <cfRule type="expression" dxfId="5580" priority="7464" stopIfTrue="1">
      <formula>$B426="Tender Received"</formula>
    </cfRule>
  </conditionalFormatting>
  <conditionalFormatting sqref="L426">
    <cfRule type="expression" dxfId="5579" priority="7461" stopIfTrue="1">
      <formula>AND($B426="Tender Received",$D426&lt;=(TODAY()+3))</formula>
    </cfRule>
    <cfRule type="expression" dxfId="5578" priority="7462" stopIfTrue="1">
      <formula>$B426="Tender Received"</formula>
    </cfRule>
  </conditionalFormatting>
  <conditionalFormatting sqref="C426:D426">
    <cfRule type="expression" dxfId="5577" priority="7459" stopIfTrue="1">
      <formula>AND($B426="Tender Received",$D426&lt;=(TODAY()+3))</formula>
    </cfRule>
    <cfRule type="expression" dxfId="5576" priority="7460" stopIfTrue="1">
      <formula>$B426="Tender Received"</formula>
    </cfRule>
  </conditionalFormatting>
  <conditionalFormatting sqref="H426">
    <cfRule type="expression" dxfId="5575" priority="7457" stopIfTrue="1">
      <formula>AND($B426="Tender Received",$D426&lt;=(TODAY()+3))</formula>
    </cfRule>
    <cfRule type="expression" dxfId="5574" priority="7458" stopIfTrue="1">
      <formula>$B426="Tender Received"</formula>
    </cfRule>
  </conditionalFormatting>
  <conditionalFormatting sqref="J493">
    <cfRule type="expression" dxfId="5573" priority="7455" stopIfTrue="1">
      <formula>AND($B493="Tender Received",$D493&lt;=(TODAY()+3))</formula>
    </cfRule>
    <cfRule type="expression" dxfId="5572" priority="7456" stopIfTrue="1">
      <formula>$B493="Tender Received"</formula>
    </cfRule>
  </conditionalFormatting>
  <conditionalFormatting sqref="C494:I494 K494:R494">
    <cfRule type="expression" dxfId="5571" priority="7453" stopIfTrue="1">
      <formula>AND($B494="Tender Received",$D494&lt;=(TODAY()+3))</formula>
    </cfRule>
    <cfRule type="expression" dxfId="5570" priority="7454" stopIfTrue="1">
      <formula>$B494="Tender Received"</formula>
    </cfRule>
  </conditionalFormatting>
  <conditionalFormatting sqref="J494">
    <cfRule type="expression" dxfId="5569" priority="7451" stopIfTrue="1">
      <formula>AND($B494="Tender Received",$D494&lt;=(TODAY()+3))</formula>
    </cfRule>
    <cfRule type="expression" dxfId="5568" priority="7452" stopIfTrue="1">
      <formula>$B494="Tender Received"</formula>
    </cfRule>
  </conditionalFormatting>
  <conditionalFormatting sqref="C495:I495 K495:R495">
    <cfRule type="expression" dxfId="5567" priority="7449" stopIfTrue="1">
      <formula>AND($B495="Tender Received",$D495&lt;=(TODAY()+3))</formula>
    </cfRule>
    <cfRule type="expression" dxfId="5566" priority="7450" stopIfTrue="1">
      <formula>$B495="Tender Received"</formula>
    </cfRule>
  </conditionalFormatting>
  <conditionalFormatting sqref="J495">
    <cfRule type="expression" dxfId="5565" priority="7447" stopIfTrue="1">
      <formula>AND($B495="Tender Received",$D495&lt;=(TODAY()+3))</formula>
    </cfRule>
    <cfRule type="expression" dxfId="5564" priority="7448" stopIfTrue="1">
      <formula>$B495="Tender Received"</formula>
    </cfRule>
  </conditionalFormatting>
  <conditionalFormatting sqref="C496:I496 K496:R496">
    <cfRule type="expression" dxfId="5563" priority="7445" stopIfTrue="1">
      <formula>AND($B496="Tender Received",$D496&lt;=(TODAY()+3))</formula>
    </cfRule>
    <cfRule type="expression" dxfId="5562" priority="7446" stopIfTrue="1">
      <formula>$B496="Tender Received"</formula>
    </cfRule>
  </conditionalFormatting>
  <conditionalFormatting sqref="J496">
    <cfRule type="expression" dxfId="5561" priority="7443" stopIfTrue="1">
      <formula>AND($B496="Tender Received",$D496&lt;=(TODAY()+3))</formula>
    </cfRule>
    <cfRule type="expression" dxfId="5560" priority="7444" stopIfTrue="1">
      <formula>$B496="Tender Received"</formula>
    </cfRule>
  </conditionalFormatting>
  <conditionalFormatting sqref="C497:I497 K497:R497">
    <cfRule type="expression" dxfId="5559" priority="7441" stopIfTrue="1">
      <formula>AND($B497="Tender Received",$D497&lt;=(TODAY()+3))</formula>
    </cfRule>
    <cfRule type="expression" dxfId="5558" priority="7442" stopIfTrue="1">
      <formula>$B497="Tender Received"</formula>
    </cfRule>
  </conditionalFormatting>
  <conditionalFormatting sqref="J497">
    <cfRule type="expression" dxfId="5557" priority="7439" stopIfTrue="1">
      <formula>AND($B497="Tender Received",$D497&lt;=(TODAY()+3))</formula>
    </cfRule>
    <cfRule type="expression" dxfId="5556" priority="7440" stopIfTrue="1">
      <formula>$B497="Tender Received"</formula>
    </cfRule>
  </conditionalFormatting>
  <conditionalFormatting sqref="C498:I498 K498:R498">
    <cfRule type="expression" dxfId="5555" priority="7437" stopIfTrue="1">
      <formula>AND($B498="Tender Received",$D498&lt;=(TODAY()+3))</formula>
    </cfRule>
    <cfRule type="expression" dxfId="5554" priority="7438" stopIfTrue="1">
      <formula>$B498="Tender Received"</formula>
    </cfRule>
  </conditionalFormatting>
  <conditionalFormatting sqref="J498">
    <cfRule type="expression" dxfId="5553" priority="7435" stopIfTrue="1">
      <formula>AND($B498="Tender Received",$D498&lt;=(TODAY()+3))</formula>
    </cfRule>
    <cfRule type="expression" dxfId="5552" priority="7436" stopIfTrue="1">
      <formula>$B498="Tender Received"</formula>
    </cfRule>
  </conditionalFormatting>
  <conditionalFormatting sqref="C499:I499 K499:R499">
    <cfRule type="expression" dxfId="5551" priority="7433" stopIfTrue="1">
      <formula>AND($B499="Tender Received",$D499&lt;=(TODAY()+3))</formula>
    </cfRule>
    <cfRule type="expression" dxfId="5550" priority="7434" stopIfTrue="1">
      <formula>$B499="Tender Received"</formula>
    </cfRule>
  </conditionalFormatting>
  <conditionalFormatting sqref="J499">
    <cfRule type="expression" dxfId="5549" priority="7431" stopIfTrue="1">
      <formula>AND($B499="Tender Received",$D499&lt;=(TODAY()+3))</formula>
    </cfRule>
    <cfRule type="expression" dxfId="5548" priority="7432" stopIfTrue="1">
      <formula>$B499="Tender Received"</formula>
    </cfRule>
  </conditionalFormatting>
  <conditionalFormatting sqref="C500:I500 K500:R500">
    <cfRule type="expression" dxfId="5547" priority="7429" stopIfTrue="1">
      <formula>AND($B500="Tender Received",$D500&lt;=(TODAY()+3))</formula>
    </cfRule>
    <cfRule type="expression" dxfId="5546" priority="7430" stopIfTrue="1">
      <formula>$B500="Tender Received"</formula>
    </cfRule>
  </conditionalFormatting>
  <conditionalFormatting sqref="J500">
    <cfRule type="expression" dxfId="5545" priority="7427" stopIfTrue="1">
      <formula>AND($B500="Tender Received",$D500&lt;=(TODAY()+3))</formula>
    </cfRule>
    <cfRule type="expression" dxfId="5544" priority="7428" stopIfTrue="1">
      <formula>$B500="Tender Received"</formula>
    </cfRule>
  </conditionalFormatting>
  <conditionalFormatting sqref="C501:I501 K501:R501">
    <cfRule type="expression" dxfId="5543" priority="7425" stopIfTrue="1">
      <formula>AND($B501="Tender Received",$D501&lt;=(TODAY()+3))</formula>
    </cfRule>
    <cfRule type="expression" dxfId="5542" priority="7426" stopIfTrue="1">
      <formula>$B501="Tender Received"</formula>
    </cfRule>
  </conditionalFormatting>
  <conditionalFormatting sqref="J501">
    <cfRule type="expression" dxfId="5541" priority="7423" stopIfTrue="1">
      <formula>AND($B501="Tender Received",$D501&lt;=(TODAY()+3))</formula>
    </cfRule>
    <cfRule type="expression" dxfId="5540" priority="7424" stopIfTrue="1">
      <formula>$B501="Tender Received"</formula>
    </cfRule>
  </conditionalFormatting>
  <conditionalFormatting sqref="C502:I502 K502:R502">
    <cfRule type="expression" dxfId="5539" priority="7421" stopIfTrue="1">
      <formula>AND($B502="Tender Received",$D502&lt;=(TODAY()+3))</formula>
    </cfRule>
    <cfRule type="expression" dxfId="5538" priority="7422" stopIfTrue="1">
      <formula>$B502="Tender Received"</formula>
    </cfRule>
  </conditionalFormatting>
  <conditionalFormatting sqref="J502">
    <cfRule type="expression" dxfId="5537" priority="7419" stopIfTrue="1">
      <formula>AND($B502="Tender Received",$D502&lt;=(TODAY()+3))</formula>
    </cfRule>
    <cfRule type="expression" dxfId="5536" priority="7420" stopIfTrue="1">
      <formula>$B502="Tender Received"</formula>
    </cfRule>
  </conditionalFormatting>
  <conditionalFormatting sqref="C503:I503 K503:R503">
    <cfRule type="expression" dxfId="5535" priority="7417" stopIfTrue="1">
      <formula>AND($B503="Tender Received",$D503&lt;=(TODAY()+3))</formula>
    </cfRule>
    <cfRule type="expression" dxfId="5534" priority="7418" stopIfTrue="1">
      <formula>$B503="Tender Received"</formula>
    </cfRule>
  </conditionalFormatting>
  <conditionalFormatting sqref="J503">
    <cfRule type="expression" dxfId="5533" priority="7415" stopIfTrue="1">
      <formula>AND($B503="Tender Received",$D503&lt;=(TODAY()+3))</formula>
    </cfRule>
    <cfRule type="expression" dxfId="5532" priority="7416" stopIfTrue="1">
      <formula>$B503="Tender Received"</formula>
    </cfRule>
  </conditionalFormatting>
  <conditionalFormatting sqref="C504:I504 K504:R504">
    <cfRule type="expression" dxfId="5531" priority="7413" stopIfTrue="1">
      <formula>AND($B504="Tender Received",$D504&lt;=(TODAY()+3))</formula>
    </cfRule>
    <cfRule type="expression" dxfId="5530" priority="7414" stopIfTrue="1">
      <formula>$B504="Tender Received"</formula>
    </cfRule>
  </conditionalFormatting>
  <conditionalFormatting sqref="J504">
    <cfRule type="expression" dxfId="5529" priority="7411" stopIfTrue="1">
      <formula>AND($B504="Tender Received",$D504&lt;=(TODAY()+3))</formula>
    </cfRule>
    <cfRule type="expression" dxfId="5528" priority="7412" stopIfTrue="1">
      <formula>$B504="Tender Received"</formula>
    </cfRule>
  </conditionalFormatting>
  <conditionalFormatting sqref="C505:I505 K505:R505">
    <cfRule type="expression" dxfId="5527" priority="7409" stopIfTrue="1">
      <formula>AND($B505="Tender Received",$D505&lt;=(TODAY()+3))</formula>
    </cfRule>
    <cfRule type="expression" dxfId="5526" priority="7410" stopIfTrue="1">
      <formula>$B505="Tender Received"</formula>
    </cfRule>
  </conditionalFormatting>
  <conditionalFormatting sqref="J505">
    <cfRule type="expression" dxfId="5525" priority="7407" stopIfTrue="1">
      <formula>AND($B505="Tender Received",$D505&lt;=(TODAY()+3))</formula>
    </cfRule>
    <cfRule type="expression" dxfId="5524" priority="7408" stopIfTrue="1">
      <formula>$B505="Tender Received"</formula>
    </cfRule>
  </conditionalFormatting>
  <conditionalFormatting sqref="C506:I506 K506:R506">
    <cfRule type="expression" dxfId="5523" priority="7405" stopIfTrue="1">
      <formula>AND($B506="Tender Received",$D506&lt;=(TODAY()+3))</formula>
    </cfRule>
    <cfRule type="expression" dxfId="5522" priority="7406" stopIfTrue="1">
      <formula>$B506="Tender Received"</formula>
    </cfRule>
  </conditionalFormatting>
  <conditionalFormatting sqref="J506">
    <cfRule type="expression" dxfId="5521" priority="7403" stopIfTrue="1">
      <formula>AND($B506="Tender Received",$D506&lt;=(TODAY()+3))</formula>
    </cfRule>
    <cfRule type="expression" dxfId="5520" priority="7404" stopIfTrue="1">
      <formula>$B506="Tender Received"</formula>
    </cfRule>
  </conditionalFormatting>
  <conditionalFormatting sqref="C507:I507 K507:R507">
    <cfRule type="expression" dxfId="5519" priority="7401" stopIfTrue="1">
      <formula>AND($B507="Tender Received",$D507&lt;=(TODAY()+3))</formula>
    </cfRule>
    <cfRule type="expression" dxfId="5518" priority="7402" stopIfTrue="1">
      <formula>$B507="Tender Received"</formula>
    </cfRule>
  </conditionalFormatting>
  <conditionalFormatting sqref="J507">
    <cfRule type="expression" dxfId="5517" priority="7399" stopIfTrue="1">
      <formula>AND($B507="Tender Received",$D507&lt;=(TODAY()+3))</formula>
    </cfRule>
    <cfRule type="expression" dxfId="5516" priority="7400" stopIfTrue="1">
      <formula>$B507="Tender Received"</formula>
    </cfRule>
  </conditionalFormatting>
  <conditionalFormatting sqref="C508:I508 K508:R508">
    <cfRule type="expression" dxfId="5515" priority="7397" stopIfTrue="1">
      <formula>AND($B508="Tender Received",$D508&lt;=(TODAY()+3))</formula>
    </cfRule>
    <cfRule type="expression" dxfId="5514" priority="7398" stopIfTrue="1">
      <formula>$B508="Tender Received"</formula>
    </cfRule>
  </conditionalFormatting>
  <conditionalFormatting sqref="J508">
    <cfRule type="expression" dxfId="5513" priority="7395" stopIfTrue="1">
      <formula>AND($B508="Tender Received",$D508&lt;=(TODAY()+3))</formula>
    </cfRule>
    <cfRule type="expression" dxfId="5512" priority="7396" stopIfTrue="1">
      <formula>$B508="Tender Received"</formula>
    </cfRule>
  </conditionalFormatting>
  <conditionalFormatting sqref="K509:R510 C509:I510">
    <cfRule type="expression" dxfId="5511" priority="7393" stopIfTrue="1">
      <formula>AND($B509="Tender Received",$D509&lt;=(TODAY()+3))</formula>
    </cfRule>
    <cfRule type="expression" dxfId="5510" priority="7394" stopIfTrue="1">
      <formula>$B509="Tender Received"</formula>
    </cfRule>
  </conditionalFormatting>
  <conditionalFormatting sqref="J509:J510">
    <cfRule type="expression" dxfId="5509" priority="7391" stopIfTrue="1">
      <formula>AND($B509="Tender Received",$D509&lt;=(TODAY()+3))</formula>
    </cfRule>
    <cfRule type="expression" dxfId="5508" priority="7392" stopIfTrue="1">
      <formula>$B509="Tender Received"</formula>
    </cfRule>
  </conditionalFormatting>
  <conditionalFormatting sqref="K511:R511 C511:I511">
    <cfRule type="expression" dxfId="5507" priority="7389" stopIfTrue="1">
      <formula>AND($B511="Tender Received",$D511&lt;=(TODAY()+3))</formula>
    </cfRule>
    <cfRule type="expression" dxfId="5506" priority="7390" stopIfTrue="1">
      <formula>$B511="Tender Received"</formula>
    </cfRule>
  </conditionalFormatting>
  <conditionalFormatting sqref="J511">
    <cfRule type="expression" dxfId="5505" priority="7387" stopIfTrue="1">
      <formula>AND($B511="Tender Received",$D511&lt;=(TODAY()+3))</formula>
    </cfRule>
    <cfRule type="expression" dxfId="5504" priority="7388" stopIfTrue="1">
      <formula>$B511="Tender Received"</formula>
    </cfRule>
  </conditionalFormatting>
  <conditionalFormatting sqref="K520:R520 C520:I520">
    <cfRule type="expression" dxfId="5503" priority="7383" stopIfTrue="1">
      <formula>AND($B520="Tender Received",$D520&lt;=(TODAY()+3))</formula>
    </cfRule>
    <cfRule type="expression" dxfId="5502" priority="7384" stopIfTrue="1">
      <formula>$B520="Tender Received"</formula>
    </cfRule>
  </conditionalFormatting>
  <conditionalFormatting sqref="J520">
    <cfRule type="expression" dxfId="5501" priority="7381" stopIfTrue="1">
      <formula>AND($B520="Tender Received",$D520&lt;=(TODAY()+3))</formula>
    </cfRule>
    <cfRule type="expression" dxfId="5500" priority="7382" stopIfTrue="1">
      <formula>$B520="Tender Received"</formula>
    </cfRule>
  </conditionalFormatting>
  <conditionalFormatting sqref="K521:R521 C521:I521">
    <cfRule type="expression" dxfId="5499" priority="7379" stopIfTrue="1">
      <formula>AND($B521="Tender Received",$D521&lt;=(TODAY()+3))</formula>
    </cfRule>
    <cfRule type="expression" dxfId="5498" priority="7380" stopIfTrue="1">
      <formula>$B521="Tender Received"</formula>
    </cfRule>
  </conditionalFormatting>
  <conditionalFormatting sqref="J521">
    <cfRule type="expression" dxfId="5497" priority="7377" stopIfTrue="1">
      <formula>AND($B521="Tender Received",$D521&lt;=(TODAY()+3))</formula>
    </cfRule>
    <cfRule type="expression" dxfId="5496" priority="7378" stopIfTrue="1">
      <formula>$B521="Tender Received"</formula>
    </cfRule>
  </conditionalFormatting>
  <conditionalFormatting sqref="M523:R523 O522:R522 B522:B523 D522:K523">
    <cfRule type="expression" dxfId="5495" priority="7375" stopIfTrue="1">
      <formula>AND($B522="Tender Received",$D522&lt;=(TODAY()+3))</formula>
    </cfRule>
    <cfRule type="expression" dxfId="5494" priority="7376" stopIfTrue="1">
      <formula>$B522="Tender Received"</formula>
    </cfRule>
  </conditionalFormatting>
  <conditionalFormatting sqref="M522:N522">
    <cfRule type="expression" dxfId="5493" priority="7373" stopIfTrue="1">
      <formula>AND($B522="Tender Received",$D522&lt;=(TODAY()+3))</formula>
    </cfRule>
    <cfRule type="expression" dxfId="5492" priority="7374" stopIfTrue="1">
      <formula>$B522="Tender Received"</formula>
    </cfRule>
  </conditionalFormatting>
  <conditionalFormatting sqref="L523">
    <cfRule type="expression" dxfId="5491" priority="7371" stopIfTrue="1">
      <formula>AND($B523="Tender Received",$D523&lt;=(TODAY()+3))</formula>
    </cfRule>
    <cfRule type="expression" dxfId="5490" priority="7372" stopIfTrue="1">
      <formula>$B523="Tender Received"</formula>
    </cfRule>
  </conditionalFormatting>
  <conditionalFormatting sqref="L522">
    <cfRule type="expression" dxfId="5489" priority="7369" stopIfTrue="1">
      <formula>AND($B522="Tender Received",$D522&lt;=(TODAY()+3))</formula>
    </cfRule>
    <cfRule type="expression" dxfId="5488" priority="7370" stopIfTrue="1">
      <formula>$B522="Tender Received"</formula>
    </cfRule>
  </conditionalFormatting>
  <conditionalFormatting sqref="C522:C523">
    <cfRule type="expression" dxfId="5487" priority="7367" stopIfTrue="1">
      <formula>AND($B522="Tender Received",$D522&lt;=(TODAY()+3))</formula>
    </cfRule>
    <cfRule type="expression" dxfId="5486" priority="7368" stopIfTrue="1">
      <formula>$B522="Tender Received"</formula>
    </cfRule>
  </conditionalFormatting>
  <conditionalFormatting sqref="I527">
    <cfRule type="expression" dxfId="5485" priority="7365" stopIfTrue="1">
      <formula>AND($B527="Tender Received",$D527&lt;=(TODAY()+3))</formula>
    </cfRule>
    <cfRule type="expression" dxfId="5484" priority="7366" stopIfTrue="1">
      <formula>$B527="Tender Received"</formula>
    </cfRule>
  </conditionalFormatting>
  <conditionalFormatting sqref="L525 L527">
    <cfRule type="expression" dxfId="5483" priority="7363" stopIfTrue="1">
      <formula>AND($B525="Tender Received",$D525&lt;=(TODAY()+3))</formula>
    </cfRule>
    <cfRule type="expression" dxfId="5482" priority="7364" stopIfTrue="1">
      <formula>$B525="Tender Received"</formula>
    </cfRule>
  </conditionalFormatting>
  <conditionalFormatting sqref="L524">
    <cfRule type="expression" dxfId="5481" priority="7361" stopIfTrue="1">
      <formula>AND($B524="Tender Received",$D524&lt;=(TODAY()+3))</formula>
    </cfRule>
    <cfRule type="expression" dxfId="5480" priority="7362" stopIfTrue="1">
      <formula>$B524="Tender Received"</formula>
    </cfRule>
  </conditionalFormatting>
  <conditionalFormatting sqref="L526">
    <cfRule type="expression" dxfId="5479" priority="7359" stopIfTrue="1">
      <formula>AND($B526="Tender Received",$D526&lt;=(TODAY()+3))</formula>
    </cfRule>
    <cfRule type="expression" dxfId="5478" priority="7360" stopIfTrue="1">
      <formula>$B526="Tender Received"</formula>
    </cfRule>
  </conditionalFormatting>
  <conditionalFormatting sqref="I524">
    <cfRule type="expression" dxfId="5477" priority="7357" stopIfTrue="1">
      <formula>AND($B524="Tender Received",$D524&lt;=(TODAY()+3))</formula>
    </cfRule>
    <cfRule type="expression" dxfId="5476" priority="7358" stopIfTrue="1">
      <formula>$B524="Tender Received"</formula>
    </cfRule>
  </conditionalFormatting>
  <conditionalFormatting sqref="B524">
    <cfRule type="expression" dxfId="5475" priority="7355" stopIfTrue="1">
      <formula>AND($B524="Tender Received",$D524&lt;=(TODAY()+3))</formula>
    </cfRule>
    <cfRule type="expression" dxfId="5474" priority="7356" stopIfTrue="1">
      <formula>$B524="Tender Received"</formula>
    </cfRule>
  </conditionalFormatting>
  <conditionalFormatting sqref="B525">
    <cfRule type="expression" dxfId="5473" priority="7353" stopIfTrue="1">
      <formula>AND($B525="Tender Received",$D525&lt;=(TODAY()+3))</formula>
    </cfRule>
    <cfRule type="expression" dxfId="5472" priority="7354" stopIfTrue="1">
      <formula>$B525="Tender Received"</formula>
    </cfRule>
  </conditionalFormatting>
  <conditionalFormatting sqref="B526">
    <cfRule type="expression" dxfId="5471" priority="7351" stopIfTrue="1">
      <formula>AND($B526="Tender Received",$D526&lt;=(TODAY()+3))</formula>
    </cfRule>
    <cfRule type="expression" dxfId="5470" priority="7352" stopIfTrue="1">
      <formula>$B526="Tender Received"</formula>
    </cfRule>
  </conditionalFormatting>
  <conditionalFormatting sqref="B527">
    <cfRule type="expression" dxfId="5469" priority="7349" stopIfTrue="1">
      <formula>AND($B527="Tender Received",$D527&lt;=(TODAY()+3))</formula>
    </cfRule>
    <cfRule type="expression" dxfId="5468" priority="7350" stopIfTrue="1">
      <formula>$B527="Tender Received"</formula>
    </cfRule>
  </conditionalFormatting>
  <conditionalFormatting sqref="O528:R528 B528 D528:H528 J528:K528">
    <cfRule type="expression" dxfId="5467" priority="7347" stopIfTrue="1">
      <formula>AND($B528="Tender Received",$D528&lt;=(TODAY()+3))</formula>
    </cfRule>
    <cfRule type="expression" dxfId="5466" priority="7348" stopIfTrue="1">
      <formula>$B528="Tender Received"</formula>
    </cfRule>
  </conditionalFormatting>
  <conditionalFormatting sqref="I528">
    <cfRule type="expression" dxfId="5465" priority="7345" stopIfTrue="1">
      <formula>AND($B528="Tender Received",$D528&lt;=(TODAY()+3))</formula>
    </cfRule>
    <cfRule type="expression" dxfId="5464" priority="7346" stopIfTrue="1">
      <formula>$B528="Tender Received"</formula>
    </cfRule>
  </conditionalFormatting>
  <conditionalFormatting sqref="M528:N528">
    <cfRule type="expression" dxfId="5463" priority="7343" stopIfTrue="1">
      <formula>AND($B528="Tender Received",$D528&lt;=(TODAY()+3))</formula>
    </cfRule>
    <cfRule type="expression" dxfId="5462" priority="7344" stopIfTrue="1">
      <formula>$B528="Tender Received"</formula>
    </cfRule>
  </conditionalFormatting>
  <conditionalFormatting sqref="C528">
    <cfRule type="expression" dxfId="5461" priority="7341" stopIfTrue="1">
      <formula>AND($B528="Tender Received",$D528&lt;=(TODAY()+3))</formula>
    </cfRule>
    <cfRule type="expression" dxfId="5460" priority="7342" stopIfTrue="1">
      <formula>$B528="Tender Received"</formula>
    </cfRule>
  </conditionalFormatting>
  <conditionalFormatting sqref="L528">
    <cfRule type="expression" dxfId="5459" priority="7339" stopIfTrue="1">
      <formula>AND($B528="Tender Received",$D528&lt;=(TODAY()+3))</formula>
    </cfRule>
    <cfRule type="expression" dxfId="5458" priority="7340" stopIfTrue="1">
      <formula>$B528="Tender Received"</formula>
    </cfRule>
  </conditionalFormatting>
  <conditionalFormatting sqref="J530:K530 O529:R531 D529:K529 B529:B531 D531:K531 D530:H530">
    <cfRule type="expression" dxfId="5457" priority="7337" stopIfTrue="1">
      <formula>AND($B529="Tender Received",$D529&lt;=(TODAY()+3))</formula>
    </cfRule>
    <cfRule type="expression" dxfId="5456" priority="7338" stopIfTrue="1">
      <formula>$B529="Tender Received"</formula>
    </cfRule>
  </conditionalFormatting>
  <conditionalFormatting sqref="I530">
    <cfRule type="expression" dxfId="5455" priority="7335" stopIfTrue="1">
      <formula>AND($B530="Tender Received",$D530&lt;=(TODAY()+3))</formula>
    </cfRule>
    <cfRule type="expression" dxfId="5454" priority="7336" stopIfTrue="1">
      <formula>$B530="Tender Received"</formula>
    </cfRule>
  </conditionalFormatting>
  <conditionalFormatting sqref="M529:N531">
    <cfRule type="expression" dxfId="5453" priority="7333" stopIfTrue="1">
      <formula>AND($B529="Tender Received",$D529&lt;=(TODAY()+3))</formula>
    </cfRule>
    <cfRule type="expression" dxfId="5452" priority="7334" stopIfTrue="1">
      <formula>$B529="Tender Received"</formula>
    </cfRule>
  </conditionalFormatting>
  <conditionalFormatting sqref="L530">
    <cfRule type="expression" dxfId="5451" priority="7331" stopIfTrue="1">
      <formula>AND($B530="Tender Received",$D530&lt;=(TODAY()+3))</formula>
    </cfRule>
    <cfRule type="expression" dxfId="5450" priority="7332" stopIfTrue="1">
      <formula>$B530="Tender Received"</formula>
    </cfRule>
  </conditionalFormatting>
  <conditionalFormatting sqref="L529">
    <cfRule type="expression" dxfId="5449" priority="7329" stopIfTrue="1">
      <formula>AND($B529="Tender Received",$D529&lt;=(TODAY()+3))</formula>
    </cfRule>
    <cfRule type="expression" dxfId="5448" priority="7330" stopIfTrue="1">
      <formula>$B529="Tender Received"</formula>
    </cfRule>
  </conditionalFormatting>
  <conditionalFormatting sqref="L531">
    <cfRule type="expression" dxfId="5447" priority="7327" stopIfTrue="1">
      <formula>AND($B531="Tender Received",$D531&lt;=(TODAY()+3))</formula>
    </cfRule>
    <cfRule type="expression" dxfId="5446" priority="7328" stopIfTrue="1">
      <formula>$B531="Tender Received"</formula>
    </cfRule>
  </conditionalFormatting>
  <conditionalFormatting sqref="C529:C531">
    <cfRule type="expression" dxfId="5445" priority="7325" stopIfTrue="1">
      <formula>AND($B529="Tender Received",$D529&lt;=(TODAY()+3))</formula>
    </cfRule>
    <cfRule type="expression" dxfId="5444" priority="7326" stopIfTrue="1">
      <formula>$B529="Tender Received"</formula>
    </cfRule>
  </conditionalFormatting>
  <conditionalFormatting sqref="O532:R532 B532 D532:K532">
    <cfRule type="expression" dxfId="5443" priority="7323" stopIfTrue="1">
      <formula>AND($B532="Tender Received",$D532&lt;=(TODAY()+3))</formula>
    </cfRule>
    <cfRule type="expression" dxfId="5442" priority="7324" stopIfTrue="1">
      <formula>$B532="Tender Received"</formula>
    </cfRule>
  </conditionalFormatting>
  <conditionalFormatting sqref="M532:N532">
    <cfRule type="expression" dxfId="5441" priority="7321" stopIfTrue="1">
      <formula>AND($B532="Tender Received",$D532&lt;=(TODAY()+3))</formula>
    </cfRule>
    <cfRule type="expression" dxfId="5440" priority="7322" stopIfTrue="1">
      <formula>$B532="Tender Received"</formula>
    </cfRule>
  </conditionalFormatting>
  <conditionalFormatting sqref="L532">
    <cfRule type="expression" dxfId="5439" priority="7319" stopIfTrue="1">
      <formula>AND($B532="Tender Received",$D532&lt;=(TODAY()+3))</formula>
    </cfRule>
    <cfRule type="expression" dxfId="5438" priority="7320" stopIfTrue="1">
      <formula>$B532="Tender Received"</formula>
    </cfRule>
  </conditionalFormatting>
  <conditionalFormatting sqref="C532">
    <cfRule type="expression" dxfId="5437" priority="7317" stopIfTrue="1">
      <formula>AND($B532="Tender Received",$D532&lt;=(TODAY()+3))</formula>
    </cfRule>
    <cfRule type="expression" dxfId="5436" priority="7318" stopIfTrue="1">
      <formula>$B532="Tender Received"</formula>
    </cfRule>
  </conditionalFormatting>
  <conditionalFormatting sqref="B533:K533 O533:R533">
    <cfRule type="expression" dxfId="5435" priority="7315" stopIfTrue="1">
      <formula>AND($B533="Tender Received",$D533&lt;=(TODAY()+3))</formula>
    </cfRule>
    <cfRule type="expression" dxfId="5434" priority="7316" stopIfTrue="1">
      <formula>$B533="Tender Received"</formula>
    </cfRule>
  </conditionalFormatting>
  <conditionalFormatting sqref="M533:N533">
    <cfRule type="expression" dxfId="5433" priority="7313" stopIfTrue="1">
      <formula>AND($B533="Tender Received",$D533&lt;=(TODAY()+3))</formula>
    </cfRule>
    <cfRule type="expression" dxfId="5432" priority="7314" stopIfTrue="1">
      <formula>$B533="Tender Received"</formula>
    </cfRule>
  </conditionalFormatting>
  <conditionalFormatting sqref="L533">
    <cfRule type="expression" dxfId="5431" priority="7311" stopIfTrue="1">
      <formula>AND($B533="Tender Received",$D533&lt;=(TODAY()+3))</formula>
    </cfRule>
    <cfRule type="expression" dxfId="5430" priority="7312" stopIfTrue="1">
      <formula>$B533="Tender Received"</formula>
    </cfRule>
  </conditionalFormatting>
  <conditionalFormatting sqref="J534:K534 O534:R534 B534:H534">
    <cfRule type="expression" dxfId="5429" priority="7309" stopIfTrue="1">
      <formula>AND($B534="Tender Received",$D534&lt;=(TODAY()+3))</formula>
    </cfRule>
    <cfRule type="expression" dxfId="5428" priority="7310" stopIfTrue="1">
      <formula>$B534="Tender Received"</formula>
    </cfRule>
  </conditionalFormatting>
  <conditionalFormatting sqref="M534:N534">
    <cfRule type="expression" dxfId="5427" priority="7307" stopIfTrue="1">
      <formula>AND($B534="Tender Received",$D534&lt;=(TODAY()+3))</formula>
    </cfRule>
    <cfRule type="expression" dxfId="5426" priority="7308" stopIfTrue="1">
      <formula>$B534="Tender Received"</formula>
    </cfRule>
  </conditionalFormatting>
  <conditionalFormatting sqref="I534">
    <cfRule type="expression" dxfId="5425" priority="7305" stopIfTrue="1">
      <formula>AND($B534="Tender Received",$D534&lt;=(TODAY()+3))</formula>
    </cfRule>
    <cfRule type="expression" dxfId="5424" priority="7306" stopIfTrue="1">
      <formula>$B534="Tender Received"</formula>
    </cfRule>
  </conditionalFormatting>
  <conditionalFormatting sqref="L534">
    <cfRule type="expression" dxfId="5423" priority="7303" stopIfTrue="1">
      <formula>AND($B534="Tender Received",$D534&lt;=(TODAY()+3))</formula>
    </cfRule>
    <cfRule type="expression" dxfId="5422" priority="7304" stopIfTrue="1">
      <formula>$B534="Tender Received"</formula>
    </cfRule>
  </conditionalFormatting>
  <conditionalFormatting sqref="B536:K536 J535:K535 O535:R536 B535:H535">
    <cfRule type="expression" dxfId="5421" priority="7301" stopIfTrue="1">
      <formula>AND($B535="Tender Received",$D535&lt;=(TODAY()+3))</formula>
    </cfRule>
    <cfRule type="expression" dxfId="5420" priority="7302" stopIfTrue="1">
      <formula>$B535="Tender Received"</formula>
    </cfRule>
  </conditionalFormatting>
  <conditionalFormatting sqref="M535:N536">
    <cfRule type="expression" dxfId="5419" priority="7299" stopIfTrue="1">
      <formula>AND($B535="Tender Received",$D535&lt;=(TODAY()+3))</formula>
    </cfRule>
    <cfRule type="expression" dxfId="5418" priority="7300" stopIfTrue="1">
      <formula>$B535="Tender Received"</formula>
    </cfRule>
  </conditionalFormatting>
  <conditionalFormatting sqref="I535">
    <cfRule type="expression" dxfId="5417" priority="7297" stopIfTrue="1">
      <formula>AND($B535="Tender Received",$D535&lt;=(TODAY()+3))</formula>
    </cfRule>
    <cfRule type="expression" dxfId="5416" priority="7298" stopIfTrue="1">
      <formula>$B535="Tender Received"</formula>
    </cfRule>
  </conditionalFormatting>
  <conditionalFormatting sqref="L535">
    <cfRule type="expression" dxfId="5415" priority="7295" stopIfTrue="1">
      <formula>AND($B535="Tender Received",$D535&lt;=(TODAY()+3))</formula>
    </cfRule>
    <cfRule type="expression" dxfId="5414" priority="7296" stopIfTrue="1">
      <formula>$B535="Tender Received"</formula>
    </cfRule>
  </conditionalFormatting>
  <conditionalFormatting sqref="L536">
    <cfRule type="expression" dxfId="5413" priority="7293" stopIfTrue="1">
      <formula>AND($B536="Tender Received",$D536&lt;=(TODAY()+3))</formula>
    </cfRule>
    <cfRule type="expression" dxfId="5412" priority="7294" stopIfTrue="1">
      <formula>$B536="Tender Received"</formula>
    </cfRule>
  </conditionalFormatting>
  <conditionalFormatting sqref="I539">
    <cfRule type="expression" dxfId="5411" priority="7291" stopIfTrue="1">
      <formula>AND($B539="Tender Received",$D539&lt;=(TODAY()+3))</formula>
    </cfRule>
    <cfRule type="expression" dxfId="5410" priority="7292" stopIfTrue="1">
      <formula>$B539="Tender Received"</formula>
    </cfRule>
  </conditionalFormatting>
  <conditionalFormatting sqref="L537 L539">
    <cfRule type="expression" dxfId="5409" priority="7289" stopIfTrue="1">
      <formula>AND($B537="Tender Received",$D537&lt;=(TODAY()+3))</formula>
    </cfRule>
    <cfRule type="expression" dxfId="5408" priority="7290" stopIfTrue="1">
      <formula>$B537="Tender Received"</formula>
    </cfRule>
  </conditionalFormatting>
  <conditionalFormatting sqref="L538">
    <cfRule type="expression" dxfId="5407" priority="7287" stopIfTrue="1">
      <formula>AND($B538="Tender Received",$D538&lt;=(TODAY()+3))</formula>
    </cfRule>
    <cfRule type="expression" dxfId="5406" priority="7288" stopIfTrue="1">
      <formula>$B538="Tender Received"</formula>
    </cfRule>
  </conditionalFormatting>
  <conditionalFormatting sqref="L540">
    <cfRule type="expression" dxfId="5405" priority="7285" stopIfTrue="1">
      <formula>AND($B540="Tender Received",$D540&lt;=(TODAY()+3))</formula>
    </cfRule>
    <cfRule type="expression" dxfId="5404" priority="7286" stopIfTrue="1">
      <formula>$B540="Tender Received"</formula>
    </cfRule>
  </conditionalFormatting>
  <conditionalFormatting sqref="B540">
    <cfRule type="expression" dxfId="5403" priority="7283" stopIfTrue="1">
      <formula>AND($B540="Tender Received",$D540&lt;=(TODAY()+3))</formula>
    </cfRule>
    <cfRule type="expression" dxfId="5402" priority="7284" stopIfTrue="1">
      <formula>$B540="Tender Received"</formula>
    </cfRule>
  </conditionalFormatting>
  <conditionalFormatting sqref="I543">
    <cfRule type="expression" dxfId="5401" priority="7279" stopIfTrue="1">
      <formula>AND($B543="Tender Received",$D543&lt;=(TODAY()+3))</formula>
    </cfRule>
    <cfRule type="expression" dxfId="5400" priority="7280" stopIfTrue="1">
      <formula>$B543="Tender Received"</formula>
    </cfRule>
  </conditionalFormatting>
  <conditionalFormatting sqref="L541 L543">
    <cfRule type="expression" dxfId="5399" priority="7277" stopIfTrue="1">
      <formula>AND($B541="Tender Received",$D541&lt;=(TODAY()+3))</formula>
    </cfRule>
    <cfRule type="expression" dxfId="5398" priority="7278" stopIfTrue="1">
      <formula>$B541="Tender Received"</formula>
    </cfRule>
  </conditionalFormatting>
  <conditionalFormatting sqref="L542">
    <cfRule type="expression" dxfId="5397" priority="7275" stopIfTrue="1">
      <formula>AND($B542="Tender Received",$D542&lt;=(TODAY()+3))</formula>
    </cfRule>
    <cfRule type="expression" dxfId="5396" priority="7276" stopIfTrue="1">
      <formula>$B542="Tender Received"</formula>
    </cfRule>
  </conditionalFormatting>
  <conditionalFormatting sqref="L544">
    <cfRule type="expression" dxfId="5395" priority="7273" stopIfTrue="1">
      <formula>AND($B544="Tender Received",$D544&lt;=(TODAY()+3))</formula>
    </cfRule>
    <cfRule type="expression" dxfId="5394" priority="7274" stopIfTrue="1">
      <formula>$B544="Tender Received"</formula>
    </cfRule>
  </conditionalFormatting>
  <conditionalFormatting sqref="O545:R545 D545:K545">
    <cfRule type="expression" dxfId="5393" priority="7271" stopIfTrue="1">
      <formula>AND($B545="Tender Received",$D545&lt;=(TODAY()+3))</formula>
    </cfRule>
    <cfRule type="expression" dxfId="5392" priority="7272" stopIfTrue="1">
      <formula>$B545="Tender Received"</formula>
    </cfRule>
  </conditionalFormatting>
  <conditionalFormatting sqref="M545:N545">
    <cfRule type="expression" dxfId="5391" priority="7269" stopIfTrue="1">
      <formula>AND($B545="Tender Received",$D545&lt;=(TODAY()+3))</formula>
    </cfRule>
    <cfRule type="expression" dxfId="5390" priority="7270" stopIfTrue="1">
      <formula>$B545="Tender Received"</formula>
    </cfRule>
  </conditionalFormatting>
  <conditionalFormatting sqref="L545">
    <cfRule type="expression" dxfId="5389" priority="7267" stopIfTrue="1">
      <formula>AND($B545="Tender Received",$D545&lt;=(TODAY()+3))</formula>
    </cfRule>
    <cfRule type="expression" dxfId="5388" priority="7268" stopIfTrue="1">
      <formula>$B545="Tender Received"</formula>
    </cfRule>
  </conditionalFormatting>
  <conditionalFormatting sqref="C545">
    <cfRule type="expression" dxfId="5387" priority="7265" stopIfTrue="1">
      <formula>AND($B545="Tender Received",$D545&lt;=(TODAY()+3))</formula>
    </cfRule>
    <cfRule type="expression" dxfId="5386" priority="7266" stopIfTrue="1">
      <formula>$B545="Tender Received"</formula>
    </cfRule>
  </conditionalFormatting>
  <conditionalFormatting sqref="I86">
    <cfRule type="expression" dxfId="5385" priority="7263" stopIfTrue="1">
      <formula>AND($B86="Tender Received",$D86&lt;=(TODAY()+3))</formula>
    </cfRule>
    <cfRule type="expression" dxfId="5384" priority="7264" stopIfTrue="1">
      <formula>$B86="Tender Received"</formula>
    </cfRule>
  </conditionalFormatting>
  <conditionalFormatting sqref="O546:R546 D546:K546 B546">
    <cfRule type="expression" dxfId="5383" priority="7261" stopIfTrue="1">
      <formula>AND($B546="Tender Received",$D546&lt;=(TODAY()+3))</formula>
    </cfRule>
    <cfRule type="expression" dxfId="5382" priority="7262" stopIfTrue="1">
      <formula>$B546="Tender Received"</formula>
    </cfRule>
  </conditionalFormatting>
  <conditionalFormatting sqref="M546:N546">
    <cfRule type="expression" dxfId="5381" priority="7259" stopIfTrue="1">
      <formula>AND($B546="Tender Received",$D546&lt;=(TODAY()+3))</formula>
    </cfRule>
    <cfRule type="expression" dxfId="5380" priority="7260" stopIfTrue="1">
      <formula>$B546="Tender Received"</formula>
    </cfRule>
  </conditionalFormatting>
  <conditionalFormatting sqref="L546">
    <cfRule type="expression" dxfId="5379" priority="7257" stopIfTrue="1">
      <formula>AND($B546="Tender Received",$D546&lt;=(TODAY()+3))</formula>
    </cfRule>
    <cfRule type="expression" dxfId="5378" priority="7258" stopIfTrue="1">
      <formula>$B546="Tender Received"</formula>
    </cfRule>
  </conditionalFormatting>
  <conditionalFormatting sqref="C546">
    <cfRule type="expression" dxfId="5377" priority="7255" stopIfTrue="1">
      <formula>AND($B546="Tender Received",$D546&lt;=(TODAY()+3))</formula>
    </cfRule>
    <cfRule type="expression" dxfId="5376" priority="7256" stopIfTrue="1">
      <formula>$B546="Tender Received"</formula>
    </cfRule>
  </conditionalFormatting>
  <conditionalFormatting sqref="B547:K547 O547:R547">
    <cfRule type="expression" dxfId="5375" priority="7253" stopIfTrue="1">
      <formula>AND($B547="Tender Received",$D547&lt;=(TODAY()+3))</formula>
    </cfRule>
    <cfRule type="expression" dxfId="5374" priority="7254" stopIfTrue="1">
      <formula>$B547="Tender Received"</formula>
    </cfRule>
  </conditionalFormatting>
  <conditionalFormatting sqref="M547:N547">
    <cfRule type="expression" dxfId="5373" priority="7251" stopIfTrue="1">
      <formula>AND($B547="Tender Received",$D547&lt;=(TODAY()+3))</formula>
    </cfRule>
    <cfRule type="expression" dxfId="5372" priority="7252" stopIfTrue="1">
      <formula>$B547="Tender Received"</formula>
    </cfRule>
  </conditionalFormatting>
  <conditionalFormatting sqref="L547">
    <cfRule type="expression" dxfId="5371" priority="7249" stopIfTrue="1">
      <formula>AND($B547="Tender Received",$D547&lt;=(TODAY()+3))</formula>
    </cfRule>
    <cfRule type="expression" dxfId="5370" priority="7250" stopIfTrue="1">
      <formula>$B547="Tender Received"</formula>
    </cfRule>
  </conditionalFormatting>
  <conditionalFormatting sqref="O548:R549 D549:K549 D548:H548 J548:K548 B548:B549">
    <cfRule type="expression" dxfId="5369" priority="7247" stopIfTrue="1">
      <formula>AND($B548="Tender Received",$D548&lt;=(TODAY()+3))</formula>
    </cfRule>
    <cfRule type="expression" dxfId="5368" priority="7248" stopIfTrue="1">
      <formula>$B548="Tender Received"</formula>
    </cfRule>
  </conditionalFormatting>
  <conditionalFormatting sqref="M548:N549">
    <cfRule type="expression" dxfId="5367" priority="7245" stopIfTrue="1">
      <formula>AND($B548="Tender Received",$D548&lt;=(TODAY()+3))</formula>
    </cfRule>
    <cfRule type="expression" dxfId="5366" priority="7246" stopIfTrue="1">
      <formula>$B548="Tender Received"</formula>
    </cfRule>
  </conditionalFormatting>
  <conditionalFormatting sqref="L549">
    <cfRule type="expression" dxfId="5365" priority="7243" stopIfTrue="1">
      <formula>AND($B549="Tender Received",$D549&lt;=(TODAY()+3))</formula>
    </cfRule>
    <cfRule type="expression" dxfId="5364" priority="7244" stopIfTrue="1">
      <formula>$B549="Tender Received"</formula>
    </cfRule>
  </conditionalFormatting>
  <conditionalFormatting sqref="L548">
    <cfRule type="expression" dxfId="5363" priority="7241" stopIfTrue="1">
      <formula>AND($B548="Tender Received",$D548&lt;=(TODAY()+3))</formula>
    </cfRule>
    <cfRule type="expression" dxfId="5362" priority="7242" stopIfTrue="1">
      <formula>$B548="Tender Received"</formula>
    </cfRule>
  </conditionalFormatting>
  <conditionalFormatting sqref="C548:C549">
    <cfRule type="expression" dxfId="5361" priority="7239" stopIfTrue="1">
      <formula>AND($B548="Tender Received",$D548&lt;=(TODAY()+3))</formula>
    </cfRule>
    <cfRule type="expression" dxfId="5360" priority="7240" stopIfTrue="1">
      <formula>$B548="Tender Received"</formula>
    </cfRule>
  </conditionalFormatting>
  <conditionalFormatting sqref="I548">
    <cfRule type="expression" dxfId="5359" priority="7237" stopIfTrue="1">
      <formula>AND($B548="Tender Received",$D548&lt;=(TODAY()+3))</formula>
    </cfRule>
    <cfRule type="expression" dxfId="5358" priority="7238" stopIfTrue="1">
      <formula>$B548="Tender Received"</formula>
    </cfRule>
  </conditionalFormatting>
  <conditionalFormatting sqref="O550:R550 D550:H550 J550:K550 B550">
    <cfRule type="expression" dxfId="5357" priority="7235" stopIfTrue="1">
      <formula>AND($B550="Tender Received",$D550&lt;=(TODAY()+3))</formula>
    </cfRule>
    <cfRule type="expression" dxfId="5356" priority="7236" stopIfTrue="1">
      <formula>$B550="Tender Received"</formula>
    </cfRule>
  </conditionalFormatting>
  <conditionalFormatting sqref="I550">
    <cfRule type="expression" dxfId="5355" priority="7233" stopIfTrue="1">
      <formula>AND($B550="Tender Received",$D550&lt;=(TODAY()+3))</formula>
    </cfRule>
    <cfRule type="expression" dxfId="5354" priority="7234" stopIfTrue="1">
      <formula>$B550="Tender Received"</formula>
    </cfRule>
  </conditionalFormatting>
  <conditionalFormatting sqref="M550:N550">
    <cfRule type="expression" dxfId="5353" priority="7231" stopIfTrue="1">
      <formula>AND($B550="Tender Received",$D550&lt;=(TODAY()+3))</formula>
    </cfRule>
    <cfRule type="expression" dxfId="5352" priority="7232" stopIfTrue="1">
      <formula>$B550="Tender Received"</formula>
    </cfRule>
  </conditionalFormatting>
  <conditionalFormatting sqref="C550">
    <cfRule type="expression" dxfId="5351" priority="7229" stopIfTrue="1">
      <formula>AND($B550="Tender Received",$D550&lt;=(TODAY()+3))</formula>
    </cfRule>
    <cfRule type="expression" dxfId="5350" priority="7230" stopIfTrue="1">
      <formula>$B550="Tender Received"</formula>
    </cfRule>
  </conditionalFormatting>
  <conditionalFormatting sqref="L550">
    <cfRule type="expression" dxfId="5349" priority="7227" stopIfTrue="1">
      <formula>AND($B550="Tender Received",$D550&lt;=(TODAY()+3))</formula>
    </cfRule>
    <cfRule type="expression" dxfId="5348" priority="7228" stopIfTrue="1">
      <formula>$B550="Tender Received"</formula>
    </cfRule>
  </conditionalFormatting>
  <conditionalFormatting sqref="I557">
    <cfRule type="expression" dxfId="5347" priority="7225" stopIfTrue="1">
      <formula>AND($B557="Tender Received",$D557&lt;=(TODAY()+3))</formula>
    </cfRule>
    <cfRule type="expression" dxfId="5346" priority="7226" stopIfTrue="1">
      <formula>$B557="Tender Received"</formula>
    </cfRule>
  </conditionalFormatting>
  <conditionalFormatting sqref="I561">
    <cfRule type="expression" dxfId="5345" priority="7223" stopIfTrue="1">
      <formula>AND($B561="Tender Received",$D561&lt;=(TODAY()+3))</formula>
    </cfRule>
    <cfRule type="expression" dxfId="5344" priority="7224" stopIfTrue="1">
      <formula>$B561="Tender Received"</formula>
    </cfRule>
  </conditionalFormatting>
  <conditionalFormatting sqref="I551">
    <cfRule type="expression" dxfId="5343" priority="7221" stopIfTrue="1">
      <formula>AND($B551="Tender Received",$D551&lt;=(TODAY()+3))</formula>
    </cfRule>
    <cfRule type="expression" dxfId="5342" priority="7222" stopIfTrue="1">
      <formula>$B551="Tender Received"</formula>
    </cfRule>
  </conditionalFormatting>
  <conditionalFormatting sqref="I552">
    <cfRule type="expression" dxfId="5341" priority="7219" stopIfTrue="1">
      <formula>AND($B552="Tender Received",$D552&lt;=(TODAY()+3))</formula>
    </cfRule>
    <cfRule type="expression" dxfId="5340" priority="7220" stopIfTrue="1">
      <formula>$B552="Tender Received"</formula>
    </cfRule>
  </conditionalFormatting>
  <conditionalFormatting sqref="L559">
    <cfRule type="expression" dxfId="5339" priority="7217" stopIfTrue="1">
      <formula>AND($B559="Tender Received",$D559&lt;=(TODAY()+3))</formula>
    </cfRule>
    <cfRule type="expression" dxfId="5338" priority="7218" stopIfTrue="1">
      <formula>$B559="Tender Received"</formula>
    </cfRule>
  </conditionalFormatting>
  <conditionalFormatting sqref="L552">
    <cfRule type="expression" dxfId="5337" priority="7215" stopIfTrue="1">
      <formula>AND($B552="Tender Received",$D552&lt;=(TODAY()+3))</formula>
    </cfRule>
    <cfRule type="expression" dxfId="5336" priority="7216" stopIfTrue="1">
      <formula>$B552="Tender Received"</formula>
    </cfRule>
  </conditionalFormatting>
  <conditionalFormatting sqref="L554">
    <cfRule type="expression" dxfId="5335" priority="7213" stopIfTrue="1">
      <formula>AND($B554="Tender Received",$D554&lt;=(TODAY()+3))</formula>
    </cfRule>
    <cfRule type="expression" dxfId="5334" priority="7214" stopIfTrue="1">
      <formula>$B554="Tender Received"</formula>
    </cfRule>
  </conditionalFormatting>
  <conditionalFormatting sqref="L562">
    <cfRule type="expression" dxfId="5333" priority="7211" stopIfTrue="1">
      <formula>AND($B562="Tender Received",$D562&lt;=(TODAY()+3))</formula>
    </cfRule>
    <cfRule type="expression" dxfId="5332" priority="7212" stopIfTrue="1">
      <formula>$B562="Tender Received"</formula>
    </cfRule>
  </conditionalFormatting>
  <conditionalFormatting sqref="I558">
    <cfRule type="expression" dxfId="5331" priority="7209" stopIfTrue="1">
      <formula>AND($B558="Tender Received",$D558&lt;=(TODAY()+3))</formula>
    </cfRule>
    <cfRule type="expression" dxfId="5330" priority="7210" stopIfTrue="1">
      <formula>$B558="Tender Received"</formula>
    </cfRule>
  </conditionalFormatting>
  <conditionalFormatting sqref="O563:R563 B563 D563:K563">
    <cfRule type="expression" dxfId="5329" priority="7207" stopIfTrue="1">
      <formula>AND($B563="Tender Received",$D563&lt;=(TODAY()+3))</formula>
    </cfRule>
    <cfRule type="expression" dxfId="5328" priority="7208" stopIfTrue="1">
      <formula>$B563="Tender Received"</formula>
    </cfRule>
  </conditionalFormatting>
  <conditionalFormatting sqref="M563:N563">
    <cfRule type="expression" dxfId="5327" priority="7205" stopIfTrue="1">
      <formula>AND($B563="Tender Received",$D563&lt;=(TODAY()+3))</formula>
    </cfRule>
    <cfRule type="expression" dxfId="5326" priority="7206" stopIfTrue="1">
      <formula>$B563="Tender Received"</formula>
    </cfRule>
  </conditionalFormatting>
  <conditionalFormatting sqref="L563">
    <cfRule type="expression" dxfId="5325" priority="7203" stopIfTrue="1">
      <formula>AND($B563="Tender Received",$D563&lt;=(TODAY()+3))</formula>
    </cfRule>
    <cfRule type="expression" dxfId="5324" priority="7204" stopIfTrue="1">
      <formula>$B563="Tender Received"</formula>
    </cfRule>
  </conditionalFormatting>
  <conditionalFormatting sqref="C563">
    <cfRule type="expression" dxfId="5323" priority="7201" stopIfTrue="1">
      <formula>AND($B563="Tender Received",$D563&lt;=(TODAY()+3))</formula>
    </cfRule>
    <cfRule type="expression" dxfId="5322" priority="7202" stopIfTrue="1">
      <formula>$B563="Tender Received"</formula>
    </cfRule>
  </conditionalFormatting>
  <conditionalFormatting sqref="J551">
    <cfRule type="expression" dxfId="5321" priority="7199" stopIfTrue="1">
      <formula>AND($B551="Tender Received",$D551&lt;=(TODAY()+3))</formula>
    </cfRule>
    <cfRule type="expression" dxfId="5320" priority="7200" stopIfTrue="1">
      <formula>$B551="Tender Received"</formula>
    </cfRule>
  </conditionalFormatting>
  <conditionalFormatting sqref="L551">
    <cfRule type="expression" dxfId="5319" priority="7197" stopIfTrue="1">
      <formula>AND($B551="Tender Received",$D551&lt;=(TODAY()+3))</formula>
    </cfRule>
    <cfRule type="expression" dxfId="5318" priority="7198" stopIfTrue="1">
      <formula>$B551="Tender Received"</formula>
    </cfRule>
  </conditionalFormatting>
  <conditionalFormatting sqref="L555">
    <cfRule type="expression" dxfId="5317" priority="7195" stopIfTrue="1">
      <formula>AND($B555="Tender Received",$D555&lt;=(TODAY()+3))</formula>
    </cfRule>
    <cfRule type="expression" dxfId="5316" priority="7196" stopIfTrue="1">
      <formula>$B555="Tender Received"</formula>
    </cfRule>
  </conditionalFormatting>
  <conditionalFormatting sqref="L558">
    <cfRule type="expression" dxfId="5315" priority="7193" stopIfTrue="1">
      <formula>AND($B558="Tender Received",$D558&lt;=(TODAY()+3))</formula>
    </cfRule>
    <cfRule type="expression" dxfId="5314" priority="7194" stopIfTrue="1">
      <formula>$B558="Tender Received"</formula>
    </cfRule>
  </conditionalFormatting>
  <conditionalFormatting sqref="L557">
    <cfRule type="expression" dxfId="5313" priority="7191" stopIfTrue="1">
      <formula>AND($B557="Tender Received",$D557&lt;=(TODAY()+3))</formula>
    </cfRule>
    <cfRule type="expression" dxfId="5312" priority="7192" stopIfTrue="1">
      <formula>$B557="Tender Received"</formula>
    </cfRule>
  </conditionalFormatting>
  <conditionalFormatting sqref="L561">
    <cfRule type="expression" dxfId="5311" priority="7189" stopIfTrue="1">
      <formula>AND($B561="Tender Received",$D561&lt;=(TODAY()+3))</formula>
    </cfRule>
    <cfRule type="expression" dxfId="5310" priority="7190" stopIfTrue="1">
      <formula>$B561="Tender Received"</formula>
    </cfRule>
  </conditionalFormatting>
  <conditionalFormatting sqref="L553">
    <cfRule type="expression" dxfId="5309" priority="7187" stopIfTrue="1">
      <formula>AND($B553="Tender Received",$D553&lt;=(TODAY()+3))</formula>
    </cfRule>
    <cfRule type="expression" dxfId="5308" priority="7188" stopIfTrue="1">
      <formula>$B553="Tender Received"</formula>
    </cfRule>
  </conditionalFormatting>
  <conditionalFormatting sqref="L556">
    <cfRule type="expression" dxfId="5307" priority="7185" stopIfTrue="1">
      <formula>AND($B556="Tender Received",$D556&lt;=(TODAY()+3))</formula>
    </cfRule>
    <cfRule type="expression" dxfId="5306" priority="7186" stopIfTrue="1">
      <formula>$B556="Tender Received"</formula>
    </cfRule>
  </conditionalFormatting>
  <conditionalFormatting sqref="L560">
    <cfRule type="expression" dxfId="5305" priority="7183" stopIfTrue="1">
      <formula>AND($B560="Tender Received",$D560&lt;=(TODAY()+3))</formula>
    </cfRule>
    <cfRule type="expression" dxfId="5304" priority="7184" stopIfTrue="1">
      <formula>$B560="Tender Received"</formula>
    </cfRule>
  </conditionalFormatting>
  <conditionalFormatting sqref="C564:R565">
    <cfRule type="expression" dxfId="5303" priority="7181" stopIfTrue="1">
      <formula>AND($B564="Tender Received",$D564&lt;=(TODAY()+3))</formula>
    </cfRule>
    <cfRule type="expression" dxfId="5302" priority="7182" stopIfTrue="1">
      <formula>$B564="Tender Received"</formula>
    </cfRule>
  </conditionalFormatting>
  <conditionalFormatting sqref="B564:B565">
    <cfRule type="expression" dxfId="5301" priority="7179" stopIfTrue="1">
      <formula>AND($B564="Tender Received",$D564&lt;=(TODAY()+3))</formula>
    </cfRule>
    <cfRule type="expression" dxfId="5300" priority="7180" stopIfTrue="1">
      <formula>$B564="Tender Received"</formula>
    </cfRule>
  </conditionalFormatting>
  <conditionalFormatting sqref="B566:R567">
    <cfRule type="expression" dxfId="5299" priority="7177" stopIfTrue="1">
      <formula>AND($B566="Tender Received",$D566&lt;=(TODAY()+3))</formula>
    </cfRule>
    <cfRule type="expression" dxfId="5298" priority="7178" stopIfTrue="1">
      <formula>$B566="Tender Received"</formula>
    </cfRule>
  </conditionalFormatting>
  <conditionalFormatting sqref="N566:N567">
    <cfRule type="expression" dxfId="5297" priority="7175" stopIfTrue="1">
      <formula>AND($B566="Tender Received",$D566&lt;=(TODAY()+3))</formula>
    </cfRule>
    <cfRule type="expression" dxfId="5296" priority="7176" stopIfTrue="1">
      <formula>$B566="Tender Received"</formula>
    </cfRule>
  </conditionalFormatting>
  <conditionalFormatting sqref="P566:P567">
    <cfRule type="expression" dxfId="5295" priority="7173" stopIfTrue="1">
      <formula>AND($B566="Tender Received",$D566&lt;=(TODAY()+3))</formula>
    </cfRule>
    <cfRule type="expression" dxfId="5294" priority="7174" stopIfTrue="1">
      <formula>$B566="Tender Received"</formula>
    </cfRule>
  </conditionalFormatting>
  <conditionalFormatting sqref="B568:K568 O568:R568">
    <cfRule type="expression" dxfId="5293" priority="7171" stopIfTrue="1">
      <formula>AND($B568="Tender Received",$D568&lt;=(TODAY()+3))</formula>
    </cfRule>
    <cfRule type="expression" dxfId="5292" priority="7172" stopIfTrue="1">
      <formula>$B568="Tender Received"</formula>
    </cfRule>
  </conditionalFormatting>
  <conditionalFormatting sqref="M568:N568">
    <cfRule type="expression" dxfId="5291" priority="7169" stopIfTrue="1">
      <formula>AND($B568="Tender Received",$D568&lt;=(TODAY()+3))</formula>
    </cfRule>
    <cfRule type="expression" dxfId="5290" priority="7170" stopIfTrue="1">
      <formula>$B568="Tender Received"</formula>
    </cfRule>
  </conditionalFormatting>
  <conditionalFormatting sqref="L568">
    <cfRule type="expression" dxfId="5289" priority="7167" stopIfTrue="1">
      <formula>AND($B568="Tender Received",$D568&lt;=(TODAY()+3))</formula>
    </cfRule>
    <cfRule type="expression" dxfId="5288" priority="7168" stopIfTrue="1">
      <formula>$B568="Tender Received"</formula>
    </cfRule>
  </conditionalFormatting>
  <conditionalFormatting sqref="D574:R574">
    <cfRule type="expression" dxfId="5287" priority="7165" stopIfTrue="1">
      <formula>AND($B574="Tender Received",$D574&lt;=(TODAY()+3))</formula>
    </cfRule>
    <cfRule type="expression" dxfId="5286" priority="7166" stopIfTrue="1">
      <formula>$B574="Tender Received"</formula>
    </cfRule>
  </conditionalFormatting>
  <conditionalFormatting sqref="D575:R575">
    <cfRule type="expression" dxfId="5285" priority="7163" stopIfTrue="1">
      <formula>AND($B575="Tender Received",$D575&lt;=(TODAY()+3))</formula>
    </cfRule>
    <cfRule type="expression" dxfId="5284" priority="7164" stopIfTrue="1">
      <formula>$B575="Tender Received"</formula>
    </cfRule>
  </conditionalFormatting>
  <conditionalFormatting sqref="D576:P576">
    <cfRule type="expression" dxfId="5283" priority="7161" stopIfTrue="1">
      <formula>AND($B576="Tender Received",$D576&lt;=(TODAY()+3))</formula>
    </cfRule>
    <cfRule type="expression" dxfId="5282" priority="7162" stopIfTrue="1">
      <formula>$B576="Tender Received"</formula>
    </cfRule>
  </conditionalFormatting>
  <conditionalFormatting sqref="C575">
    <cfRule type="expression" dxfId="5281" priority="7159" stopIfTrue="1">
      <formula>AND($B575="Tender Received",$D575&lt;=(TODAY()+3))</formula>
    </cfRule>
    <cfRule type="expression" dxfId="5280" priority="7160" stopIfTrue="1">
      <formula>$B575="Tender Received"</formula>
    </cfRule>
  </conditionalFormatting>
  <conditionalFormatting sqref="C576">
    <cfRule type="expression" dxfId="5279" priority="7157" stopIfTrue="1">
      <formula>AND($B576="Tender Received",$D576&lt;=(TODAY()+3))</formula>
    </cfRule>
    <cfRule type="expression" dxfId="5278" priority="7158" stopIfTrue="1">
      <formula>$B576="Tender Received"</formula>
    </cfRule>
  </conditionalFormatting>
  <conditionalFormatting sqref="Q577:R579">
    <cfRule type="expression" dxfId="5277" priority="7155" stopIfTrue="1">
      <formula>AND($B577="Tender Received",$D577&lt;=(TODAY()+3))</formula>
    </cfRule>
    <cfRule type="expression" dxfId="5276" priority="7156" stopIfTrue="1">
      <formula>$B577="Tender Received"</formula>
    </cfRule>
  </conditionalFormatting>
  <conditionalFormatting sqref="D577:P579">
    <cfRule type="expression" dxfId="5275" priority="7153" stopIfTrue="1">
      <formula>AND($B577="Tender Received",$D577&lt;=(TODAY()+3))</formula>
    </cfRule>
    <cfRule type="expression" dxfId="5274" priority="7154" stopIfTrue="1">
      <formula>$B577="Tender Received"</formula>
    </cfRule>
  </conditionalFormatting>
  <conditionalFormatting sqref="C577:C579">
    <cfRule type="expression" dxfId="5273" priority="7151" stopIfTrue="1">
      <formula>AND($B577="Tender Received",$D577&lt;=(TODAY()+3))</formula>
    </cfRule>
    <cfRule type="expression" dxfId="5272" priority="7152" stopIfTrue="1">
      <formula>$B577="Tender Received"</formula>
    </cfRule>
  </conditionalFormatting>
  <conditionalFormatting sqref="Q580:R580">
    <cfRule type="expression" dxfId="5271" priority="7149" stopIfTrue="1">
      <formula>AND($B580="Tender Received",$D580&lt;=(TODAY()+3))</formula>
    </cfRule>
    <cfRule type="expression" dxfId="5270" priority="7150" stopIfTrue="1">
      <formula>$B580="Tender Received"</formula>
    </cfRule>
  </conditionalFormatting>
  <conditionalFormatting sqref="D580:I580 K580:P580">
    <cfRule type="expression" dxfId="5269" priority="7147" stopIfTrue="1">
      <formula>AND($B580="Tender Received",$D580&lt;=(TODAY()+3))</formula>
    </cfRule>
    <cfRule type="expression" dxfId="5268" priority="7148" stopIfTrue="1">
      <formula>$B580="Tender Received"</formula>
    </cfRule>
  </conditionalFormatting>
  <conditionalFormatting sqref="C580">
    <cfRule type="expression" dxfId="5267" priority="7145" stopIfTrue="1">
      <formula>AND($B580="Tender Received",$D580&lt;=(TODAY()+3))</formula>
    </cfRule>
    <cfRule type="expression" dxfId="5266" priority="7146" stopIfTrue="1">
      <formula>$B580="Tender Received"</formula>
    </cfRule>
  </conditionalFormatting>
  <conditionalFormatting sqref="J580">
    <cfRule type="expression" dxfId="5265" priority="7143" stopIfTrue="1">
      <formula>AND($B580="Tender Received",$D580&lt;=(TODAY()+3))</formula>
    </cfRule>
    <cfRule type="expression" dxfId="5264" priority="7144" stopIfTrue="1">
      <formula>$B580="Tender Received"</formula>
    </cfRule>
  </conditionalFormatting>
  <conditionalFormatting sqref="H86">
    <cfRule type="expression" dxfId="5263" priority="7141" stopIfTrue="1">
      <formula>AND($B86="Tender Received",$D86&lt;=(TODAY()+3))</formula>
    </cfRule>
    <cfRule type="expression" dxfId="5262" priority="7142" stopIfTrue="1">
      <formula>$B86="Tender Received"</formula>
    </cfRule>
  </conditionalFormatting>
  <conditionalFormatting sqref="H125:I125">
    <cfRule type="expression" dxfId="5261" priority="7137" stopIfTrue="1">
      <formula>AND($B125="Tender Received",$D125&lt;=(TODAY()+3))</formula>
    </cfRule>
    <cfRule type="expression" dxfId="5260" priority="7138" stopIfTrue="1">
      <formula>$B125="Tender Received"</formula>
    </cfRule>
  </conditionalFormatting>
  <conditionalFormatting sqref="Q125">
    <cfRule type="expression" dxfId="5259" priority="7135" stopIfTrue="1">
      <formula>AND($B125="Tender Received",$D125&lt;=(TODAY()+3))</formula>
    </cfRule>
    <cfRule type="expression" dxfId="5258" priority="7136" stopIfTrue="1">
      <formula>$B125="Tender Received"</formula>
    </cfRule>
  </conditionalFormatting>
  <conditionalFormatting sqref="Q61">
    <cfRule type="expression" dxfId="5257" priority="7133" stopIfTrue="1">
      <formula>AND($B61="Tender Received",$D61&lt;=(TODAY()+3))</formula>
    </cfRule>
    <cfRule type="expression" dxfId="5256" priority="7134" stopIfTrue="1">
      <formula>$B61="Tender Received"</formula>
    </cfRule>
  </conditionalFormatting>
  <conditionalFormatting sqref="B62:C62 E62:R62 B63:G64 I64:P64 R64 I63:R63">
    <cfRule type="expression" dxfId="5255" priority="7131" stopIfTrue="1">
      <formula>AND($B62="Tender Received",$D62&lt;=(TODAY()+3))</formula>
    </cfRule>
    <cfRule type="expression" dxfId="5254" priority="7132" stopIfTrue="1">
      <formula>$B62="Tender Received"</formula>
    </cfRule>
  </conditionalFormatting>
  <conditionalFormatting sqref="Q81">
    <cfRule type="expression" dxfId="5253" priority="7129" stopIfTrue="1">
      <formula>AND($B81="Tender Received",$D81&lt;=(TODAY()+3))</formula>
    </cfRule>
    <cfRule type="expression" dxfId="5252" priority="7130" stopIfTrue="1">
      <formula>$B81="Tender Received"</formula>
    </cfRule>
  </conditionalFormatting>
  <conditionalFormatting sqref="Q73">
    <cfRule type="expression" dxfId="5251" priority="7127" stopIfTrue="1">
      <formula>AND($B73="Tender Received",$D73&lt;=(TODAY()+3))</formula>
    </cfRule>
    <cfRule type="expression" dxfId="5250" priority="7128" stopIfTrue="1">
      <formula>$B73="Tender Received"</formula>
    </cfRule>
  </conditionalFormatting>
  <conditionalFormatting sqref="H73:I73">
    <cfRule type="expression" dxfId="5249" priority="7125" stopIfTrue="1">
      <formula>AND($B73="Tender Received",$D73&lt;=(TODAY()+3))</formula>
    </cfRule>
    <cfRule type="expression" dxfId="5248" priority="7126" stopIfTrue="1">
      <formula>$B73="Tender Received"</formula>
    </cfRule>
  </conditionalFormatting>
  <conditionalFormatting sqref="H93:I93">
    <cfRule type="expression" dxfId="5247" priority="7119" stopIfTrue="1">
      <formula>AND($B93="Tender Received",$D93&lt;=(TODAY()+3))</formula>
    </cfRule>
    <cfRule type="expression" dxfId="5246" priority="7120" stopIfTrue="1">
      <formula>$B93="Tender Received"</formula>
    </cfRule>
  </conditionalFormatting>
  <conditionalFormatting sqref="Q93">
    <cfRule type="expression" dxfId="5245" priority="7117" stopIfTrue="1">
      <formula>AND($B93="Tender Received",$D93&lt;=(TODAY()+3))</formula>
    </cfRule>
    <cfRule type="expression" dxfId="5244" priority="7118" stopIfTrue="1">
      <formula>$B93="Tender Received"</formula>
    </cfRule>
  </conditionalFormatting>
  <conditionalFormatting sqref="H103:I103">
    <cfRule type="expression" dxfId="5243" priority="7115" stopIfTrue="1">
      <formula>AND($B103="Tender Received",$D103&lt;=(TODAY()+3))</formula>
    </cfRule>
    <cfRule type="expression" dxfId="5242" priority="7116" stopIfTrue="1">
      <formula>$B103="Tender Received"</formula>
    </cfRule>
  </conditionalFormatting>
  <conditionalFormatting sqref="Q103">
    <cfRule type="expression" dxfId="5241" priority="7113" stopIfTrue="1">
      <formula>AND($B103="Tender Received",$D103&lt;=(TODAY()+3))</formula>
    </cfRule>
    <cfRule type="expression" dxfId="5240" priority="7114" stopIfTrue="1">
      <formula>$B103="Tender Received"</formula>
    </cfRule>
  </conditionalFormatting>
  <conditionalFormatting sqref="I154">
    <cfRule type="expression" dxfId="5239" priority="7107" stopIfTrue="1">
      <formula>AND($B154="Tender Received",$D154&lt;=(TODAY()+3))</formula>
    </cfRule>
    <cfRule type="expression" dxfId="5238" priority="7108" stopIfTrue="1">
      <formula>$B154="Tender Received"</formula>
    </cfRule>
  </conditionalFormatting>
  <conditionalFormatting sqref="Q154">
    <cfRule type="expression" dxfId="5237" priority="7105" stopIfTrue="1">
      <formula>AND($B154="Tender Received",$D154&lt;=(TODAY()+3))</formula>
    </cfRule>
    <cfRule type="expression" dxfId="5236" priority="7106" stopIfTrue="1">
      <formula>$B154="Tender Received"</formula>
    </cfRule>
  </conditionalFormatting>
  <conditionalFormatting sqref="B581">
    <cfRule type="expression" dxfId="5235" priority="7103" stopIfTrue="1">
      <formula>AND($B581="Tender Received",$D581&lt;=(TODAY()+3))</formula>
    </cfRule>
    <cfRule type="expression" dxfId="5234" priority="7104" stopIfTrue="1">
      <formula>$B581="Tender Received"</formula>
    </cfRule>
  </conditionalFormatting>
  <conditionalFormatting sqref="Q581:R581">
    <cfRule type="expression" dxfId="5233" priority="7101" stopIfTrue="1">
      <formula>AND($B581="Tender Received",$D581&lt;=(TODAY()+3))</formula>
    </cfRule>
    <cfRule type="expression" dxfId="5232" priority="7102" stopIfTrue="1">
      <formula>$B581="Tender Received"</formula>
    </cfRule>
  </conditionalFormatting>
  <conditionalFormatting sqref="D581:I581 K581:P581">
    <cfRule type="expression" dxfId="5231" priority="7099" stopIfTrue="1">
      <formula>AND($B581="Tender Received",$D581&lt;=(TODAY()+3))</formula>
    </cfRule>
    <cfRule type="expression" dxfId="5230" priority="7100" stopIfTrue="1">
      <formula>$B581="Tender Received"</formula>
    </cfRule>
  </conditionalFormatting>
  <conditionalFormatting sqref="C581">
    <cfRule type="expression" dxfId="5229" priority="7097" stopIfTrue="1">
      <formula>AND($B581="Tender Received",$D581&lt;=(TODAY()+3))</formula>
    </cfRule>
    <cfRule type="expression" dxfId="5228" priority="7098" stopIfTrue="1">
      <formula>$B581="Tender Received"</formula>
    </cfRule>
  </conditionalFormatting>
  <conditionalFormatting sqref="J581">
    <cfRule type="expression" dxfId="5227" priority="7095" stopIfTrue="1">
      <formula>AND($B581="Tender Received",$D581&lt;=(TODAY()+3))</formula>
    </cfRule>
    <cfRule type="expression" dxfId="5226" priority="7096" stopIfTrue="1">
      <formula>$B581="Tender Received"</formula>
    </cfRule>
  </conditionalFormatting>
  <conditionalFormatting sqref="J582:K582 O582:R582 D582:H582 B582">
    <cfRule type="expression" dxfId="5225" priority="7093" stopIfTrue="1">
      <formula>AND($B582="Tender Received",$D582&lt;=(TODAY()+3))</formula>
    </cfRule>
    <cfRule type="expression" dxfId="5224" priority="7094" stopIfTrue="1">
      <formula>$B582="Tender Received"</formula>
    </cfRule>
  </conditionalFormatting>
  <conditionalFormatting sqref="I582">
    <cfRule type="expression" dxfId="5223" priority="7091" stopIfTrue="1">
      <formula>AND($B582="Tender Received",$D582&lt;=(TODAY()+3))</formula>
    </cfRule>
    <cfRule type="expression" dxfId="5222" priority="7092" stopIfTrue="1">
      <formula>$B582="Tender Received"</formula>
    </cfRule>
  </conditionalFormatting>
  <conditionalFormatting sqref="M582:N582">
    <cfRule type="expression" dxfId="5221" priority="7089" stopIfTrue="1">
      <formula>AND($B582="Tender Received",$D582&lt;=(TODAY()+3))</formula>
    </cfRule>
    <cfRule type="expression" dxfId="5220" priority="7090" stopIfTrue="1">
      <formula>$B582="Tender Received"</formula>
    </cfRule>
  </conditionalFormatting>
  <conditionalFormatting sqref="C582">
    <cfRule type="expression" dxfId="5219" priority="7087" stopIfTrue="1">
      <formula>AND($B582="Tender Received",$D582&lt;=(TODAY()+3))</formula>
    </cfRule>
    <cfRule type="expression" dxfId="5218" priority="7088" stopIfTrue="1">
      <formula>$B582="Tender Received"</formula>
    </cfRule>
  </conditionalFormatting>
  <conditionalFormatting sqref="L582">
    <cfRule type="expression" dxfId="5217" priority="7085" stopIfTrue="1">
      <formula>AND($B582="Tender Received",$D582&lt;=(TODAY()+3))</formula>
    </cfRule>
    <cfRule type="expression" dxfId="5216" priority="7086" stopIfTrue="1">
      <formula>$B582="Tender Received"</formula>
    </cfRule>
  </conditionalFormatting>
  <conditionalFormatting sqref="Q583:R585">
    <cfRule type="expression" dxfId="5215" priority="7083" stopIfTrue="1">
      <formula>AND($B583="Tender Received",$D583&lt;=(TODAY()+3))</formula>
    </cfRule>
    <cfRule type="expression" dxfId="5214" priority="7084" stopIfTrue="1">
      <formula>$B583="Tender Received"</formula>
    </cfRule>
  </conditionalFormatting>
  <conditionalFormatting sqref="D583:I583 K583:P585 E584:I585">
    <cfRule type="expression" dxfId="5213" priority="7081" stopIfTrue="1">
      <formula>AND($B583="Tender Received",$D583&lt;=(TODAY()+3))</formula>
    </cfRule>
    <cfRule type="expression" dxfId="5212" priority="7082" stopIfTrue="1">
      <formula>$B583="Tender Received"</formula>
    </cfRule>
  </conditionalFormatting>
  <conditionalFormatting sqref="C583">
    <cfRule type="expression" dxfId="5211" priority="7079" stopIfTrue="1">
      <formula>AND($B583="Tender Received",$D583&lt;=(TODAY()+3))</formula>
    </cfRule>
    <cfRule type="expression" dxfId="5210" priority="7080" stopIfTrue="1">
      <formula>$B583="Tender Received"</formula>
    </cfRule>
  </conditionalFormatting>
  <conditionalFormatting sqref="J583:J585">
    <cfRule type="expression" dxfId="5209" priority="7077" stopIfTrue="1">
      <formula>AND($B583="Tender Received",$D583&lt;=(TODAY()+3))</formula>
    </cfRule>
    <cfRule type="expression" dxfId="5208" priority="7078" stopIfTrue="1">
      <formula>$B583="Tender Received"</formula>
    </cfRule>
  </conditionalFormatting>
  <conditionalFormatting sqref="D584:D585">
    <cfRule type="expression" dxfId="5207" priority="7075" stopIfTrue="1">
      <formula>AND($B584="Tender Received",$D584&lt;=(TODAY()+3))</formula>
    </cfRule>
    <cfRule type="expression" dxfId="5206" priority="7076" stopIfTrue="1">
      <formula>$B584="Tender Received"</formula>
    </cfRule>
  </conditionalFormatting>
  <conditionalFormatting sqref="C584:C585">
    <cfRule type="expression" dxfId="5205" priority="7073" stopIfTrue="1">
      <formula>AND($B584="Tender Received",$D584&lt;=(TODAY()+3))</formula>
    </cfRule>
    <cfRule type="expression" dxfId="5204" priority="7074" stopIfTrue="1">
      <formula>$B584="Tender Received"</formula>
    </cfRule>
  </conditionalFormatting>
  <conditionalFormatting sqref="Q586:R586">
    <cfRule type="expression" dxfId="5203" priority="7071" stopIfTrue="1">
      <formula>AND($B586="Tender Received",$D586&lt;=(TODAY()+3))</formula>
    </cfRule>
    <cfRule type="expression" dxfId="5202" priority="7072" stopIfTrue="1">
      <formula>$B586="Tender Received"</formula>
    </cfRule>
  </conditionalFormatting>
  <conditionalFormatting sqref="K586:P586 E586:I586">
    <cfRule type="expression" dxfId="5201" priority="7069" stopIfTrue="1">
      <formula>AND($B586="Tender Received",$D586&lt;=(TODAY()+3))</formula>
    </cfRule>
    <cfRule type="expression" dxfId="5200" priority="7070" stopIfTrue="1">
      <formula>$B586="Tender Received"</formula>
    </cfRule>
  </conditionalFormatting>
  <conditionalFormatting sqref="J586">
    <cfRule type="expression" dxfId="5199" priority="7067" stopIfTrue="1">
      <formula>AND($B586="Tender Received",$D586&lt;=(TODAY()+3))</formula>
    </cfRule>
    <cfRule type="expression" dxfId="5198" priority="7068" stopIfTrue="1">
      <formula>$B586="Tender Received"</formula>
    </cfRule>
  </conditionalFormatting>
  <conditionalFormatting sqref="D586">
    <cfRule type="expression" dxfId="5197" priority="7065" stopIfTrue="1">
      <formula>AND($B586="Tender Received",$D586&lt;=(TODAY()+3))</formula>
    </cfRule>
    <cfRule type="expression" dxfId="5196" priority="7066" stopIfTrue="1">
      <formula>$B586="Tender Received"</formula>
    </cfRule>
  </conditionalFormatting>
  <conditionalFormatting sqref="C586">
    <cfRule type="expression" dxfId="5195" priority="7063" stopIfTrue="1">
      <formula>AND($B586="Tender Received",$D586&lt;=(TODAY()+3))</formula>
    </cfRule>
    <cfRule type="expression" dxfId="5194" priority="7064" stopIfTrue="1">
      <formula>$B586="Tender Received"</formula>
    </cfRule>
  </conditionalFormatting>
  <conditionalFormatting sqref="B587:B588">
    <cfRule type="expression" dxfId="5193" priority="7061" stopIfTrue="1">
      <formula>AND($B587="Tender Received",$D587&lt;=(TODAY()+3))</formula>
    </cfRule>
    <cfRule type="expression" dxfId="5192" priority="7062" stopIfTrue="1">
      <formula>$B587="Tender Received"</formula>
    </cfRule>
  </conditionalFormatting>
  <conditionalFormatting sqref="Q587:R587">
    <cfRule type="expression" dxfId="5191" priority="7059" stopIfTrue="1">
      <formula>AND($B587="Tender Received",$D587&lt;=(TODAY()+3))</formula>
    </cfRule>
    <cfRule type="expression" dxfId="5190" priority="7060" stopIfTrue="1">
      <formula>$B587="Tender Received"</formula>
    </cfRule>
  </conditionalFormatting>
  <conditionalFormatting sqref="K587:P587 E587:I587">
    <cfRule type="expression" dxfId="5189" priority="7057" stopIfTrue="1">
      <formula>AND($B587="Tender Received",$D587&lt;=(TODAY()+3))</formula>
    </cfRule>
    <cfRule type="expression" dxfId="5188" priority="7058" stopIfTrue="1">
      <formula>$B587="Tender Received"</formula>
    </cfRule>
  </conditionalFormatting>
  <conditionalFormatting sqref="J587">
    <cfRule type="expression" dxfId="5187" priority="7055" stopIfTrue="1">
      <formula>AND($B587="Tender Received",$D587&lt;=(TODAY()+3))</formula>
    </cfRule>
    <cfRule type="expression" dxfId="5186" priority="7056" stopIfTrue="1">
      <formula>$B587="Tender Received"</formula>
    </cfRule>
  </conditionalFormatting>
  <conditionalFormatting sqref="D587">
    <cfRule type="expression" dxfId="5185" priority="7053" stopIfTrue="1">
      <formula>AND($B587="Tender Received",$D587&lt;=(TODAY()+3))</formula>
    </cfRule>
    <cfRule type="expression" dxfId="5184" priority="7054" stopIfTrue="1">
      <formula>$B587="Tender Received"</formula>
    </cfRule>
  </conditionalFormatting>
  <conditionalFormatting sqref="C587">
    <cfRule type="expression" dxfId="5183" priority="7051" stopIfTrue="1">
      <formula>AND($B587="Tender Received",$D587&lt;=(TODAY()+3))</formula>
    </cfRule>
    <cfRule type="expression" dxfId="5182" priority="7052" stopIfTrue="1">
      <formula>$B587="Tender Received"</formula>
    </cfRule>
  </conditionalFormatting>
  <conditionalFormatting sqref="Q588:R588">
    <cfRule type="expression" dxfId="5181" priority="7049" stopIfTrue="1">
      <formula>AND($B588="Tender Received",$D588&lt;=(TODAY()+3))</formula>
    </cfRule>
    <cfRule type="expression" dxfId="5180" priority="7050" stopIfTrue="1">
      <formula>$B588="Tender Received"</formula>
    </cfRule>
  </conditionalFormatting>
  <conditionalFormatting sqref="K588:P588 E588:I588">
    <cfRule type="expression" dxfId="5179" priority="7047" stopIfTrue="1">
      <formula>AND($B588="Tender Received",$D588&lt;=(TODAY()+3))</formula>
    </cfRule>
    <cfRule type="expression" dxfId="5178" priority="7048" stopIfTrue="1">
      <formula>$B588="Tender Received"</formula>
    </cfRule>
  </conditionalFormatting>
  <conditionalFormatting sqref="J588">
    <cfRule type="expression" dxfId="5177" priority="7045" stopIfTrue="1">
      <formula>AND($B588="Tender Received",$D588&lt;=(TODAY()+3))</formula>
    </cfRule>
    <cfRule type="expression" dxfId="5176" priority="7046" stopIfTrue="1">
      <formula>$B588="Tender Received"</formula>
    </cfRule>
  </conditionalFormatting>
  <conditionalFormatting sqref="D588">
    <cfRule type="expression" dxfId="5175" priority="7043" stopIfTrue="1">
      <formula>AND($B588="Tender Received",$D588&lt;=(TODAY()+3))</formula>
    </cfRule>
    <cfRule type="expression" dxfId="5174" priority="7044" stopIfTrue="1">
      <formula>$B588="Tender Received"</formula>
    </cfRule>
  </conditionalFormatting>
  <conditionalFormatting sqref="C588">
    <cfRule type="expression" dxfId="5173" priority="7041" stopIfTrue="1">
      <formula>AND($B588="Tender Received",$D588&lt;=(TODAY()+3))</formula>
    </cfRule>
    <cfRule type="expression" dxfId="5172" priority="7042" stopIfTrue="1">
      <formula>$B588="Tender Received"</formula>
    </cfRule>
  </conditionalFormatting>
  <conditionalFormatting sqref="J590:K590 O589:R590 D589:K589 D590:H590 B589:B590">
    <cfRule type="expression" dxfId="5171" priority="7039" stopIfTrue="1">
      <formula>AND($B589="Tender Received",$D589&lt;=(TODAY()+3))</formula>
    </cfRule>
    <cfRule type="expression" dxfId="5170" priority="7040" stopIfTrue="1">
      <formula>$B589="Tender Received"</formula>
    </cfRule>
  </conditionalFormatting>
  <conditionalFormatting sqref="I590">
    <cfRule type="expression" dxfId="5169" priority="7037" stopIfTrue="1">
      <formula>AND($B590="Tender Received",$D590&lt;=(TODAY()+3))</formula>
    </cfRule>
    <cfRule type="expression" dxfId="5168" priority="7038" stopIfTrue="1">
      <formula>$B590="Tender Received"</formula>
    </cfRule>
  </conditionalFormatting>
  <conditionalFormatting sqref="M589:N590">
    <cfRule type="expression" dxfId="5167" priority="7035" stopIfTrue="1">
      <formula>AND($B589="Tender Received",$D589&lt;=(TODAY()+3))</formula>
    </cfRule>
    <cfRule type="expression" dxfId="5166" priority="7036" stopIfTrue="1">
      <formula>$B589="Tender Received"</formula>
    </cfRule>
  </conditionalFormatting>
  <conditionalFormatting sqref="C589:C590">
    <cfRule type="expression" dxfId="5165" priority="7033" stopIfTrue="1">
      <formula>AND($B589="Tender Received",$D589&lt;=(TODAY()+3))</formula>
    </cfRule>
    <cfRule type="expression" dxfId="5164" priority="7034" stopIfTrue="1">
      <formula>$B589="Tender Received"</formula>
    </cfRule>
  </conditionalFormatting>
  <conditionalFormatting sqref="L590">
    <cfRule type="expression" dxfId="5163" priority="7031" stopIfTrue="1">
      <formula>AND($B590="Tender Received",$D590&lt;=(TODAY()+3))</formula>
    </cfRule>
    <cfRule type="expression" dxfId="5162" priority="7032" stopIfTrue="1">
      <formula>$B590="Tender Received"</formula>
    </cfRule>
  </conditionalFormatting>
  <conditionalFormatting sqref="L589">
    <cfRule type="expression" dxfId="5161" priority="7029" stopIfTrue="1">
      <formula>AND($B589="Tender Received",$D589&lt;=(TODAY()+3))</formula>
    </cfRule>
    <cfRule type="expression" dxfId="5160" priority="7030" stopIfTrue="1">
      <formula>$B589="Tender Received"</formula>
    </cfRule>
  </conditionalFormatting>
  <conditionalFormatting sqref="B591:B593">
    <cfRule type="expression" dxfId="5159" priority="7027" stopIfTrue="1">
      <formula>AND($B591="Tender Received",$D591&lt;=(TODAY()+3))</formula>
    </cfRule>
    <cfRule type="expression" dxfId="5158" priority="7028" stopIfTrue="1">
      <formula>$B591="Tender Received"</formula>
    </cfRule>
  </conditionalFormatting>
  <conditionalFormatting sqref="Q591:R592">
    <cfRule type="expression" dxfId="5157" priority="7025" stopIfTrue="1">
      <formula>AND($B591="Tender Received",$D591&lt;=(TODAY()+3))</formula>
    </cfRule>
    <cfRule type="expression" dxfId="5156" priority="7026" stopIfTrue="1">
      <formula>$B591="Tender Received"</formula>
    </cfRule>
  </conditionalFormatting>
  <conditionalFormatting sqref="K591:P592 E591:I592">
    <cfRule type="expression" dxfId="5155" priority="7023" stopIfTrue="1">
      <formula>AND($B591="Tender Received",$D591&lt;=(TODAY()+3))</formula>
    </cfRule>
    <cfRule type="expression" dxfId="5154" priority="7024" stopIfTrue="1">
      <formula>$B591="Tender Received"</formula>
    </cfRule>
  </conditionalFormatting>
  <conditionalFormatting sqref="J591:J592">
    <cfRule type="expression" dxfId="5153" priority="7021" stopIfTrue="1">
      <formula>AND($B591="Tender Received",$D591&lt;=(TODAY()+3))</formula>
    </cfRule>
    <cfRule type="expression" dxfId="5152" priority="7022" stopIfTrue="1">
      <formula>$B591="Tender Received"</formula>
    </cfRule>
  </conditionalFormatting>
  <conditionalFormatting sqref="D591">
    <cfRule type="expression" dxfId="5151" priority="7019" stopIfTrue="1">
      <formula>AND($B591="Tender Received",$D591&lt;=(TODAY()+3))</formula>
    </cfRule>
    <cfRule type="expression" dxfId="5150" priority="7020" stopIfTrue="1">
      <formula>$B591="Tender Received"</formula>
    </cfRule>
  </conditionalFormatting>
  <conditionalFormatting sqref="C591">
    <cfRule type="expression" dxfId="5149" priority="7017" stopIfTrue="1">
      <formula>AND($B591="Tender Received",$D591&lt;=(TODAY()+3))</formula>
    </cfRule>
    <cfRule type="expression" dxfId="5148" priority="7018" stopIfTrue="1">
      <formula>$B591="Tender Received"</formula>
    </cfRule>
  </conditionalFormatting>
  <conditionalFormatting sqref="D592">
    <cfRule type="expression" dxfId="5147" priority="7015" stopIfTrue="1">
      <formula>AND($B592="Tender Received",$D592&lt;=(TODAY()+3))</formula>
    </cfRule>
    <cfRule type="expression" dxfId="5146" priority="7016" stopIfTrue="1">
      <formula>$B592="Tender Received"</formula>
    </cfRule>
  </conditionalFormatting>
  <conditionalFormatting sqref="C592">
    <cfRule type="expression" dxfId="5145" priority="7013" stopIfTrue="1">
      <formula>AND($B592="Tender Received",$D592&lt;=(TODAY()+3))</formula>
    </cfRule>
    <cfRule type="expression" dxfId="5144" priority="7014" stopIfTrue="1">
      <formula>$B592="Tender Received"</formula>
    </cfRule>
  </conditionalFormatting>
  <conditionalFormatting sqref="Q593:R593">
    <cfRule type="expression" dxfId="5143" priority="7011" stopIfTrue="1">
      <formula>AND($B593="Tender Received",$D593&lt;=(TODAY()+3))</formula>
    </cfRule>
    <cfRule type="expression" dxfId="5142" priority="7012" stopIfTrue="1">
      <formula>$B593="Tender Received"</formula>
    </cfRule>
  </conditionalFormatting>
  <conditionalFormatting sqref="K593:P593 E593:I593">
    <cfRule type="expression" dxfId="5141" priority="7009" stopIfTrue="1">
      <formula>AND($B593="Tender Received",$D593&lt;=(TODAY()+3))</formula>
    </cfRule>
    <cfRule type="expression" dxfId="5140" priority="7010" stopIfTrue="1">
      <formula>$B593="Tender Received"</formula>
    </cfRule>
  </conditionalFormatting>
  <conditionalFormatting sqref="J593">
    <cfRule type="expression" dxfId="5139" priority="7007" stopIfTrue="1">
      <formula>AND($B593="Tender Received",$D593&lt;=(TODAY()+3))</formula>
    </cfRule>
    <cfRule type="expression" dxfId="5138" priority="7008" stopIfTrue="1">
      <formula>$B593="Tender Received"</formula>
    </cfRule>
  </conditionalFormatting>
  <conditionalFormatting sqref="D593">
    <cfRule type="expression" dxfId="5137" priority="7005" stopIfTrue="1">
      <formula>AND($B593="Tender Received",$D593&lt;=(TODAY()+3))</formula>
    </cfRule>
    <cfRule type="expression" dxfId="5136" priority="7006" stopIfTrue="1">
      <formula>$B593="Tender Received"</formula>
    </cfRule>
  </conditionalFormatting>
  <conditionalFormatting sqref="C593">
    <cfRule type="expression" dxfId="5135" priority="7003" stopIfTrue="1">
      <formula>AND($B593="Tender Received",$D593&lt;=(TODAY()+3))</formula>
    </cfRule>
    <cfRule type="expression" dxfId="5134" priority="7004" stopIfTrue="1">
      <formula>$B593="Tender Received"</formula>
    </cfRule>
  </conditionalFormatting>
  <conditionalFormatting sqref="R594 C594:P594">
    <cfRule type="expression" dxfId="5133" priority="7001" stopIfTrue="1">
      <formula>AND($B594="Tender Received",$D594&lt;=(TODAY()+3))</formula>
    </cfRule>
    <cfRule type="expression" dxfId="5132" priority="7002" stopIfTrue="1">
      <formula>$B594="Tender Received"</formula>
    </cfRule>
  </conditionalFormatting>
  <conditionalFormatting sqref="B594">
    <cfRule type="expression" dxfId="5131" priority="6999" stopIfTrue="1">
      <formula>AND($B594="Tender Received",$D594&lt;=(TODAY()+3))</formula>
    </cfRule>
    <cfRule type="expression" dxfId="5130" priority="7000" stopIfTrue="1">
      <formula>$B594="Tender Received"</formula>
    </cfRule>
  </conditionalFormatting>
  <conditionalFormatting sqref="M595:R595 B595 D595:K595">
    <cfRule type="expression" dxfId="5129" priority="6997" stopIfTrue="1">
      <formula>AND($B595="Tender Received",$D595&lt;=(TODAY()+3))</formula>
    </cfRule>
    <cfRule type="expression" dxfId="5128" priority="6998" stopIfTrue="1">
      <formula>$B595="Tender Received"</formula>
    </cfRule>
  </conditionalFormatting>
  <conditionalFormatting sqref="C595">
    <cfRule type="expression" dxfId="5127" priority="6995" stopIfTrue="1">
      <formula>AND($B595="Tender Received",$D595&lt;=(TODAY()+3))</formula>
    </cfRule>
    <cfRule type="expression" dxfId="5126" priority="6996" stopIfTrue="1">
      <formula>$B595="Tender Received"</formula>
    </cfRule>
  </conditionalFormatting>
  <conditionalFormatting sqref="L595">
    <cfRule type="expression" dxfId="5125" priority="6993" stopIfTrue="1">
      <formula>AND($B595="Tender Received",$D595&lt;=(TODAY()+3))</formula>
    </cfRule>
    <cfRule type="expression" dxfId="5124" priority="6994" stopIfTrue="1">
      <formula>$B595="Tender Received"</formula>
    </cfRule>
  </conditionalFormatting>
  <conditionalFormatting sqref="Q596:R596 B596">
    <cfRule type="expression" dxfId="5123" priority="6991" stopIfTrue="1">
      <formula>AND($B596="Tender Received",$D596&lt;=(TODAY()+3))</formula>
    </cfRule>
    <cfRule type="expression" dxfId="5122" priority="6992" stopIfTrue="1">
      <formula>$B596="Tender Received"</formula>
    </cfRule>
  </conditionalFormatting>
  <conditionalFormatting sqref="C596:P596">
    <cfRule type="expression" dxfId="5121" priority="6989" stopIfTrue="1">
      <formula>AND($B596="Tender Received",$D596&lt;=(TODAY()+3))</formula>
    </cfRule>
    <cfRule type="expression" dxfId="5120" priority="6990" stopIfTrue="1">
      <formula>$B596="Tender Received"</formula>
    </cfRule>
  </conditionalFormatting>
  <conditionalFormatting sqref="B597:H597 K597 Q597:R597">
    <cfRule type="expression" dxfId="5119" priority="6987" stopIfTrue="1">
      <formula>AND($B597="Tender Received",$D597&lt;=(TODAY()+3))</formula>
    </cfRule>
    <cfRule type="expression" dxfId="5118" priority="6988" stopIfTrue="1">
      <formula>$B597="Tender Received"</formula>
    </cfRule>
  </conditionalFormatting>
  <conditionalFormatting sqref="I597">
    <cfRule type="expression" dxfId="5117" priority="6985" stopIfTrue="1">
      <formula>AND($B597="Tender Received",$D597&lt;=(TODAY()+3))</formula>
    </cfRule>
    <cfRule type="expression" dxfId="5116" priority="6986" stopIfTrue="1">
      <formula>$B597="Tender Received"</formula>
    </cfRule>
  </conditionalFormatting>
  <conditionalFormatting sqref="M597">
    <cfRule type="expression" dxfId="5115" priority="6983" stopIfTrue="1">
      <formula>AND($B597="Tender Received",$D597&lt;=(TODAY()+3))</formula>
    </cfRule>
    <cfRule type="expression" dxfId="5114" priority="6984" stopIfTrue="1">
      <formula>$B597="Tender Received"</formula>
    </cfRule>
  </conditionalFormatting>
  <conditionalFormatting sqref="J597">
    <cfRule type="expression" dxfId="5113" priority="6981" stopIfTrue="1">
      <formula>AND($B597="Tender Received",$D597&lt;=(TODAY()+3))</formula>
    </cfRule>
    <cfRule type="expression" dxfId="5112" priority="6982" stopIfTrue="1">
      <formula>$B597="Tender Received"</formula>
    </cfRule>
  </conditionalFormatting>
  <conditionalFormatting sqref="L597">
    <cfRule type="expression" dxfId="5111" priority="6979" stopIfTrue="1">
      <formula>AND($B597="Tender Received",$D597&lt;=(TODAY()+3))</formula>
    </cfRule>
    <cfRule type="expression" dxfId="5110" priority="6980" stopIfTrue="1">
      <formula>$B597="Tender Received"</formula>
    </cfRule>
  </conditionalFormatting>
  <conditionalFormatting sqref="O597:P597">
    <cfRule type="expression" dxfId="5109" priority="6977" stopIfTrue="1">
      <formula>AND($B597="Tender Received",$D597&lt;=(TODAY()+3))</formula>
    </cfRule>
    <cfRule type="expression" dxfId="5108" priority="6978" stopIfTrue="1">
      <formula>$B597="Tender Received"</formula>
    </cfRule>
  </conditionalFormatting>
  <conditionalFormatting sqref="N597">
    <cfRule type="expression" dxfId="5107" priority="6975" stopIfTrue="1">
      <formula>AND($B597="Tender Received",$D597&lt;=(TODAY()+3))</formula>
    </cfRule>
    <cfRule type="expression" dxfId="5106" priority="6976" stopIfTrue="1">
      <formula>$B597="Tender Received"</formula>
    </cfRule>
  </conditionalFormatting>
  <conditionalFormatting sqref="K598 Q598:R598 B598:H598">
    <cfRule type="expression" dxfId="5105" priority="6973" stopIfTrue="1">
      <formula>AND($B598="Tender Received",$D598&lt;=(TODAY()+3))</formula>
    </cfRule>
    <cfRule type="expression" dxfId="5104" priority="6974" stopIfTrue="1">
      <formula>$B598="Tender Received"</formula>
    </cfRule>
  </conditionalFormatting>
  <conditionalFormatting sqref="I598">
    <cfRule type="expression" dxfId="5103" priority="6971" stopIfTrue="1">
      <formula>AND($B598="Tender Received",$D598&lt;=(TODAY()+3))</formula>
    </cfRule>
    <cfRule type="expression" dxfId="5102" priority="6972" stopIfTrue="1">
      <formula>$B598="Tender Received"</formula>
    </cfRule>
  </conditionalFormatting>
  <conditionalFormatting sqref="M598">
    <cfRule type="expression" dxfId="5101" priority="6969" stopIfTrue="1">
      <formula>AND($B598="Tender Received",$D598&lt;=(TODAY()+3))</formula>
    </cfRule>
    <cfRule type="expression" dxfId="5100" priority="6970" stopIfTrue="1">
      <formula>$B598="Tender Received"</formula>
    </cfRule>
  </conditionalFormatting>
  <conditionalFormatting sqref="J598">
    <cfRule type="expression" dxfId="5099" priority="6967" stopIfTrue="1">
      <formula>AND($B598="Tender Received",$D598&lt;=(TODAY()+3))</formula>
    </cfRule>
    <cfRule type="expression" dxfId="5098" priority="6968" stopIfTrue="1">
      <formula>$B598="Tender Received"</formula>
    </cfRule>
  </conditionalFormatting>
  <conditionalFormatting sqref="L598">
    <cfRule type="expression" dxfId="5097" priority="6965" stopIfTrue="1">
      <formula>AND($B598="Tender Received",$D598&lt;=(TODAY()+3))</formula>
    </cfRule>
    <cfRule type="expression" dxfId="5096" priority="6966" stopIfTrue="1">
      <formula>$B598="Tender Received"</formula>
    </cfRule>
  </conditionalFormatting>
  <conditionalFormatting sqref="O598:P598">
    <cfRule type="expression" dxfId="5095" priority="6963" stopIfTrue="1">
      <formula>AND($B598="Tender Received",$D598&lt;=(TODAY()+3))</formula>
    </cfRule>
    <cfRule type="expression" dxfId="5094" priority="6964" stopIfTrue="1">
      <formula>$B598="Tender Received"</formula>
    </cfRule>
  </conditionalFormatting>
  <conditionalFormatting sqref="N598">
    <cfRule type="expression" dxfId="5093" priority="6961" stopIfTrue="1">
      <formula>AND($B598="Tender Received",$D598&lt;=(TODAY()+3))</formula>
    </cfRule>
    <cfRule type="expression" dxfId="5092" priority="6962" stopIfTrue="1">
      <formula>$B598="Tender Received"</formula>
    </cfRule>
  </conditionalFormatting>
  <conditionalFormatting sqref="J599:K599 O599:R599 B599:H599">
    <cfRule type="expression" dxfId="5091" priority="6959" stopIfTrue="1">
      <formula>AND($B599="Tender Received",$D599&lt;=(TODAY()+3))</formula>
    </cfRule>
    <cfRule type="expression" dxfId="5090" priority="6960" stopIfTrue="1">
      <formula>$B599="Tender Received"</formula>
    </cfRule>
  </conditionalFormatting>
  <conditionalFormatting sqref="M599:N599">
    <cfRule type="expression" dxfId="5089" priority="6957" stopIfTrue="1">
      <formula>AND($B599="Tender Received",$D599&lt;=(TODAY()+3))</formula>
    </cfRule>
    <cfRule type="expression" dxfId="5088" priority="6958" stopIfTrue="1">
      <formula>$B599="Tender Received"</formula>
    </cfRule>
  </conditionalFormatting>
  <conditionalFormatting sqref="I599">
    <cfRule type="expression" dxfId="5087" priority="6955" stopIfTrue="1">
      <formula>AND($B599="Tender Received",$D599&lt;=(TODAY()+3))</formula>
    </cfRule>
    <cfRule type="expression" dxfId="5086" priority="6956" stopIfTrue="1">
      <formula>$B599="Tender Received"</formula>
    </cfRule>
  </conditionalFormatting>
  <conditionalFormatting sqref="L599">
    <cfRule type="expression" dxfId="5085" priority="6953" stopIfTrue="1">
      <formula>AND($B599="Tender Received",$D599&lt;=(TODAY()+3))</formula>
    </cfRule>
    <cfRule type="expression" dxfId="5084" priority="6954" stopIfTrue="1">
      <formula>$B599="Tender Received"</formula>
    </cfRule>
  </conditionalFormatting>
  <conditionalFormatting sqref="B600:R600">
    <cfRule type="expression" dxfId="5083" priority="6951" stopIfTrue="1">
      <formula>AND($B600="Tender Received",$D600&lt;=(TODAY()+3))</formula>
    </cfRule>
    <cfRule type="expression" dxfId="5082" priority="6952" stopIfTrue="1">
      <formula>$B600="Tender Received"</formula>
    </cfRule>
  </conditionalFormatting>
  <conditionalFormatting sqref="B601">
    <cfRule type="expression" dxfId="5081" priority="6949" stopIfTrue="1">
      <formula>AND($B601="Tender Received",$D601&lt;=(TODAY()+3))</formula>
    </cfRule>
    <cfRule type="expression" dxfId="5080" priority="6950" stopIfTrue="1">
      <formula>$B601="Tender Received"</formula>
    </cfRule>
  </conditionalFormatting>
  <conditionalFormatting sqref="Q601:R601">
    <cfRule type="expression" dxfId="5079" priority="6947" stopIfTrue="1">
      <formula>AND($B601="Tender Received",$D601&lt;=(TODAY()+3))</formula>
    </cfRule>
    <cfRule type="expression" dxfId="5078" priority="6948" stopIfTrue="1">
      <formula>$B601="Tender Received"</formula>
    </cfRule>
  </conditionalFormatting>
  <conditionalFormatting sqref="E601:P601">
    <cfRule type="expression" dxfId="5077" priority="6945" stopIfTrue="1">
      <formula>AND($B601="Tender Received",$D601&lt;=(TODAY()+3))</formula>
    </cfRule>
    <cfRule type="expression" dxfId="5076" priority="6946" stopIfTrue="1">
      <formula>$B601="Tender Received"</formula>
    </cfRule>
  </conditionalFormatting>
  <conditionalFormatting sqref="D601">
    <cfRule type="expression" dxfId="5075" priority="6943" stopIfTrue="1">
      <formula>AND($B601="Tender Received",$D601&lt;=(TODAY()+3))</formula>
    </cfRule>
    <cfRule type="expression" dxfId="5074" priority="6944" stopIfTrue="1">
      <formula>$B601="Tender Received"</formula>
    </cfRule>
  </conditionalFormatting>
  <conditionalFormatting sqref="C601">
    <cfRule type="expression" dxfId="5073" priority="6941" stopIfTrue="1">
      <formula>AND($B601="Tender Received",$D601&lt;=(TODAY()+3))</formula>
    </cfRule>
    <cfRule type="expression" dxfId="5072" priority="6942" stopIfTrue="1">
      <formula>$B601="Tender Received"</formula>
    </cfRule>
  </conditionalFormatting>
  <conditionalFormatting sqref="M602:R603 C603:L603 C602:K602 B602:B604">
    <cfRule type="expression" dxfId="5071" priority="6923" stopIfTrue="1">
      <formula>AND($B602="Tender Received",$D602&lt;=(TODAY()+3))</formula>
    </cfRule>
    <cfRule type="expression" dxfId="5070" priority="6924" stopIfTrue="1">
      <formula>$B602="Tender Received"</formula>
    </cfRule>
  </conditionalFormatting>
  <conditionalFormatting sqref="L603">
    <cfRule type="expression" dxfId="5069" priority="6921" stopIfTrue="1">
      <formula>AND($B603="Tender Received",$D603&lt;=(TODAY()+3))</formula>
    </cfRule>
    <cfRule type="expression" dxfId="5068" priority="6922" stopIfTrue="1">
      <formula>$B603="Tender Received"</formula>
    </cfRule>
  </conditionalFormatting>
  <conditionalFormatting sqref="C602">
    <cfRule type="expression" dxfId="5067" priority="6919" stopIfTrue="1">
      <formula>AND($B602="Tender Received",$D602&lt;=(TODAY()+3))</formula>
    </cfRule>
    <cfRule type="expression" dxfId="5066" priority="6920" stopIfTrue="1">
      <formula>$B602="Tender Received"</formula>
    </cfRule>
  </conditionalFormatting>
  <conditionalFormatting sqref="L602">
    <cfRule type="expression" dxfId="5065" priority="6917" stopIfTrue="1">
      <formula>AND($B602="Tender Received",$D602&lt;=(TODAY()+3))</formula>
    </cfRule>
    <cfRule type="expression" dxfId="5064" priority="6918" stopIfTrue="1">
      <formula>$B602="Tender Received"</formula>
    </cfRule>
  </conditionalFormatting>
  <conditionalFormatting sqref="L602">
    <cfRule type="expression" dxfId="5063" priority="6915" stopIfTrue="1">
      <formula>AND($B602="Tender Received",$D602&lt;=(TODAY()+3))</formula>
    </cfRule>
    <cfRule type="expression" dxfId="5062" priority="6916" stopIfTrue="1">
      <formula>$B602="Tender Received"</formula>
    </cfRule>
  </conditionalFormatting>
  <conditionalFormatting sqref="C604:H604 J604:K604 M604:R604">
    <cfRule type="expression" dxfId="5061" priority="6913" stopIfTrue="1">
      <formula>AND($B604="Tender Received",$D604&lt;=(TODAY()+3))</formula>
    </cfRule>
    <cfRule type="expression" dxfId="5060" priority="6914" stopIfTrue="1">
      <formula>$B604="Tender Received"</formula>
    </cfRule>
  </conditionalFormatting>
  <conditionalFormatting sqref="L604">
    <cfRule type="expression" dxfId="5059" priority="6911" stopIfTrue="1">
      <formula>AND($B604="Tender Received",$D604&lt;=(TODAY()+3))</formula>
    </cfRule>
    <cfRule type="expression" dxfId="5058" priority="6912" stopIfTrue="1">
      <formula>$B604="Tender Received"</formula>
    </cfRule>
  </conditionalFormatting>
  <conditionalFormatting sqref="I604">
    <cfRule type="expression" dxfId="5057" priority="6909" stopIfTrue="1">
      <formula>AND($B604="Tender Received",$D604&lt;=(TODAY()+3))</formula>
    </cfRule>
    <cfRule type="expression" dxfId="5056" priority="6910" stopIfTrue="1">
      <formula>$B604="Tender Received"</formula>
    </cfRule>
  </conditionalFormatting>
  <conditionalFormatting sqref="B605:R606">
    <cfRule type="expression" dxfId="5055" priority="6907" stopIfTrue="1">
      <formula>AND($B605="Tender Received",$D605&lt;=(TODAY()+3))</formula>
    </cfRule>
    <cfRule type="expression" dxfId="5054" priority="6908" stopIfTrue="1">
      <formula>$B605="Tender Received"</formula>
    </cfRule>
  </conditionalFormatting>
  <conditionalFormatting sqref="B607:R609">
    <cfRule type="expression" dxfId="5053" priority="6905" stopIfTrue="1">
      <formula>AND($B607="Tender Received",$D607&lt;=(TODAY()+3))</formula>
    </cfRule>
    <cfRule type="expression" dxfId="5052" priority="6906" stopIfTrue="1">
      <formula>$B607="Tender Received"</formula>
    </cfRule>
  </conditionalFormatting>
  <conditionalFormatting sqref="H51:I51">
    <cfRule type="expression" dxfId="5051" priority="6883" stopIfTrue="1">
      <formula>AND($B51="Tender Received",$D51&lt;=(TODAY()+3))</formula>
    </cfRule>
    <cfRule type="expression" dxfId="5050" priority="6884" stopIfTrue="1">
      <formula>$B51="Tender Received"</formula>
    </cfRule>
  </conditionalFormatting>
  <conditionalFormatting sqref="Q51">
    <cfRule type="expression" dxfId="5049" priority="6881" stopIfTrue="1">
      <formula>AND($B51="Tender Received",$D51&lt;=(TODAY()+3))</formula>
    </cfRule>
    <cfRule type="expression" dxfId="5048" priority="6882" stopIfTrue="1">
      <formula>$B51="Tender Received"</formula>
    </cfRule>
  </conditionalFormatting>
  <conditionalFormatting sqref="M610:R610 B610:K610">
    <cfRule type="expression" dxfId="5047" priority="6879" stopIfTrue="1">
      <formula>AND($B610="Tender Received",$D610&lt;=(TODAY()+3))</formula>
    </cfRule>
    <cfRule type="expression" dxfId="5046" priority="6880" stopIfTrue="1">
      <formula>$B610="Tender Received"</formula>
    </cfRule>
  </conditionalFormatting>
  <conditionalFormatting sqref="M610:N610">
    <cfRule type="expression" dxfId="5045" priority="6877" stopIfTrue="1">
      <formula>AND($B610="Tender Received",$D610&lt;=(TODAY()+3))</formula>
    </cfRule>
    <cfRule type="expression" dxfId="5044" priority="6878" stopIfTrue="1">
      <formula>$B610="Tender Received"</formula>
    </cfRule>
  </conditionalFormatting>
  <conditionalFormatting sqref="L610">
    <cfRule type="expression" dxfId="5043" priority="6875" stopIfTrue="1">
      <formula>AND($B610="Tender Received",$D610&lt;=(TODAY()+3))</formula>
    </cfRule>
    <cfRule type="expression" dxfId="5042" priority="6876" stopIfTrue="1">
      <formula>$B610="Tender Received"</formula>
    </cfRule>
  </conditionalFormatting>
  <conditionalFormatting sqref="C610">
    <cfRule type="expression" dxfId="5041" priority="6873" stopIfTrue="1">
      <formula>AND($B610="Tender Received",$D610&lt;=(TODAY()+3))</formula>
    </cfRule>
    <cfRule type="expression" dxfId="5040" priority="6874" stopIfTrue="1">
      <formula>$B610="Tender Received"</formula>
    </cfRule>
  </conditionalFormatting>
  <conditionalFormatting sqref="L610">
    <cfRule type="expression" dxfId="5039" priority="6871" stopIfTrue="1">
      <formula>AND($B610="Tender Received",$D610&lt;=(TODAY()+3))</formula>
    </cfRule>
    <cfRule type="expression" dxfId="5038" priority="6872" stopIfTrue="1">
      <formula>$B610="Tender Received"</formula>
    </cfRule>
  </conditionalFormatting>
  <conditionalFormatting sqref="B611:R612">
    <cfRule type="expression" dxfId="5037" priority="6869" stopIfTrue="1">
      <formula>AND($B611="Tender Received",$D611&lt;=(TODAY()+3))</formula>
    </cfRule>
    <cfRule type="expression" dxfId="5036" priority="6870" stopIfTrue="1">
      <formula>$B611="Tender Received"</formula>
    </cfRule>
  </conditionalFormatting>
  <conditionalFormatting sqref="B613:B614">
    <cfRule type="expression" dxfId="5035" priority="6855" stopIfTrue="1">
      <formula>AND($B613="Tender Received",$D613&lt;=(TODAY()+3))</formula>
    </cfRule>
    <cfRule type="expression" dxfId="5034" priority="6856" stopIfTrue="1">
      <formula>$B613="Tender Received"</formula>
    </cfRule>
  </conditionalFormatting>
  <conditionalFormatting sqref="C613:R614">
    <cfRule type="expression" dxfId="5033" priority="6853" stopIfTrue="1">
      <formula>AND($B613="Tender Received",$D613&lt;=(TODAY()+3))</formula>
    </cfRule>
    <cfRule type="expression" dxfId="5032" priority="6854" stopIfTrue="1">
      <formula>$B613="Tender Received"</formula>
    </cfRule>
  </conditionalFormatting>
  <conditionalFormatting sqref="B615:B616">
    <cfRule type="expression" dxfId="5031" priority="6837" stopIfTrue="1">
      <formula>AND($B615="Tender Received",$D615&lt;=(TODAY()+3))</formula>
    </cfRule>
    <cfRule type="expression" dxfId="5030" priority="6838" stopIfTrue="1">
      <formula>$B615="Tender Received"</formula>
    </cfRule>
  </conditionalFormatting>
  <conditionalFormatting sqref="C615:R615">
    <cfRule type="expression" dxfId="5029" priority="6835" stopIfTrue="1">
      <formula>AND($B615="Tender Received",$D615&lt;=(TODAY()+3))</formula>
    </cfRule>
    <cfRule type="expression" dxfId="5028" priority="6836" stopIfTrue="1">
      <formula>$B615="Tender Received"</formula>
    </cfRule>
  </conditionalFormatting>
  <conditionalFormatting sqref="C616:R616">
    <cfRule type="expression" dxfId="5027" priority="6833" stopIfTrue="1">
      <formula>AND($B616="Tender Received",$D616&lt;=(TODAY()+3))</formula>
    </cfRule>
    <cfRule type="expression" dxfId="5026" priority="6834" stopIfTrue="1">
      <formula>$B616="Tender Received"</formula>
    </cfRule>
  </conditionalFormatting>
  <conditionalFormatting sqref="B617:K617 O617:R617">
    <cfRule type="expression" dxfId="5025" priority="6827" stopIfTrue="1">
      <formula>AND($B617="Tender Received",$D617&lt;=(TODAY()+3))</formula>
    </cfRule>
    <cfRule type="expression" dxfId="5024" priority="6828" stopIfTrue="1">
      <formula>$B617="Tender Received"</formula>
    </cfRule>
  </conditionalFormatting>
  <conditionalFormatting sqref="M617:N617">
    <cfRule type="expression" dxfId="5023" priority="6825" stopIfTrue="1">
      <formula>AND($B617="Tender Received",$D617&lt;=(TODAY()+3))</formula>
    </cfRule>
    <cfRule type="expression" dxfId="5022" priority="6826" stopIfTrue="1">
      <formula>$B617="Tender Received"</formula>
    </cfRule>
  </conditionalFormatting>
  <conditionalFormatting sqref="C617">
    <cfRule type="expression" dxfId="5021" priority="6823" stopIfTrue="1">
      <formula>AND($B617="Tender Received",$D617&lt;=(TODAY()+3))</formula>
    </cfRule>
    <cfRule type="expression" dxfId="5020" priority="6824" stopIfTrue="1">
      <formula>$B617="Tender Received"</formula>
    </cfRule>
  </conditionalFormatting>
  <conditionalFormatting sqref="L617">
    <cfRule type="expression" dxfId="5019" priority="6821" stopIfTrue="1">
      <formula>AND($B617="Tender Received",$D617&lt;=(TODAY()+3))</formula>
    </cfRule>
    <cfRule type="expression" dxfId="5018" priority="6822" stopIfTrue="1">
      <formula>$B617="Tender Received"</formula>
    </cfRule>
  </conditionalFormatting>
  <conditionalFormatting sqref="I617">
    <cfRule type="expression" dxfId="5017" priority="6819" stopIfTrue="1">
      <formula>AND($B617="Tender Received",$D617&lt;=(TODAY()+3))</formula>
    </cfRule>
    <cfRule type="expression" dxfId="5016" priority="6820" stopIfTrue="1">
      <formula>$B617="Tender Received"</formula>
    </cfRule>
  </conditionalFormatting>
  <conditionalFormatting sqref="L617">
    <cfRule type="expression" dxfId="5015" priority="6817" stopIfTrue="1">
      <formula>AND($B617="Tender Received",$D617&lt;=(TODAY()+3))</formula>
    </cfRule>
    <cfRule type="expression" dxfId="5014" priority="6818" stopIfTrue="1">
      <formula>$B617="Tender Received"</formula>
    </cfRule>
  </conditionalFormatting>
  <conditionalFormatting sqref="B618:D618">
    <cfRule type="expression" dxfId="5013" priority="6815" stopIfTrue="1">
      <formula>AND($B618="Tender Received",$D618&lt;=(TODAY()+3))</formula>
    </cfRule>
    <cfRule type="expression" dxfId="5012" priority="6816" stopIfTrue="1">
      <formula>$B618="Tender Received"</formula>
    </cfRule>
  </conditionalFormatting>
  <conditionalFormatting sqref="E618:K618 O618:R618">
    <cfRule type="expression" dxfId="5011" priority="6813" stopIfTrue="1">
      <formula>AND($B618="Tender Received",$D618&lt;=(TODAY()+3))</formula>
    </cfRule>
    <cfRule type="expression" dxfId="5010" priority="6814" stopIfTrue="1">
      <formula>$B618="Tender Received"</formula>
    </cfRule>
  </conditionalFormatting>
  <conditionalFormatting sqref="M618:N618">
    <cfRule type="expression" dxfId="5009" priority="6811" stopIfTrue="1">
      <formula>AND($B618="Tender Received",$D618&lt;=(TODAY()+3))</formula>
    </cfRule>
    <cfRule type="expression" dxfId="5008" priority="6812" stopIfTrue="1">
      <formula>$B618="Tender Received"</formula>
    </cfRule>
  </conditionalFormatting>
  <conditionalFormatting sqref="L618">
    <cfRule type="expression" dxfId="5007" priority="6809" stopIfTrue="1">
      <formula>AND($B618="Tender Received",$D618&lt;=(TODAY()+3))</formula>
    </cfRule>
    <cfRule type="expression" dxfId="5006" priority="6810" stopIfTrue="1">
      <formula>$B618="Tender Received"</formula>
    </cfRule>
  </conditionalFormatting>
  <conditionalFormatting sqref="I618">
    <cfRule type="expression" dxfId="5005" priority="6807" stopIfTrue="1">
      <formula>AND($B618="Tender Received",$D618&lt;=(TODAY()+3))</formula>
    </cfRule>
    <cfRule type="expression" dxfId="5004" priority="6808" stopIfTrue="1">
      <formula>$B618="Tender Received"</formula>
    </cfRule>
  </conditionalFormatting>
  <conditionalFormatting sqref="L618">
    <cfRule type="expression" dxfId="5003" priority="6805" stopIfTrue="1">
      <formula>AND($B618="Tender Received",$D618&lt;=(TODAY()+3))</formula>
    </cfRule>
    <cfRule type="expression" dxfId="5002" priority="6806" stopIfTrue="1">
      <formula>$B618="Tender Received"</formula>
    </cfRule>
  </conditionalFormatting>
  <conditionalFormatting sqref="B619">
    <cfRule type="expression" dxfId="5001" priority="6803" stopIfTrue="1">
      <formula>AND($B619="Tender Received",$D619&lt;=(TODAY()+3))</formula>
    </cfRule>
    <cfRule type="expression" dxfId="5000" priority="6804" stopIfTrue="1">
      <formula>$B619="Tender Received"</formula>
    </cfRule>
  </conditionalFormatting>
  <conditionalFormatting sqref="C619:D619">
    <cfRule type="expression" dxfId="4999" priority="6801" stopIfTrue="1">
      <formula>AND($B619="Tender Received",$D619&lt;=(TODAY()+3))</formula>
    </cfRule>
    <cfRule type="expression" dxfId="4998" priority="6802" stopIfTrue="1">
      <formula>$B619="Tender Received"</formula>
    </cfRule>
  </conditionalFormatting>
  <conditionalFormatting sqref="E619:K619 O619:R619">
    <cfRule type="expression" dxfId="4997" priority="6799" stopIfTrue="1">
      <formula>AND($B619="Tender Received",$D619&lt;=(TODAY()+3))</formula>
    </cfRule>
    <cfRule type="expression" dxfId="4996" priority="6800" stopIfTrue="1">
      <formula>$B619="Tender Received"</formula>
    </cfRule>
  </conditionalFormatting>
  <conditionalFormatting sqref="M619:N619">
    <cfRule type="expression" dxfId="4995" priority="6797" stopIfTrue="1">
      <formula>AND($B619="Tender Received",$D619&lt;=(TODAY()+3))</formula>
    </cfRule>
    <cfRule type="expression" dxfId="4994" priority="6798" stopIfTrue="1">
      <formula>$B619="Tender Received"</formula>
    </cfRule>
  </conditionalFormatting>
  <conditionalFormatting sqref="L619">
    <cfRule type="expression" dxfId="4993" priority="6795" stopIfTrue="1">
      <formula>AND($B619="Tender Received",$D619&lt;=(TODAY()+3))</formula>
    </cfRule>
    <cfRule type="expression" dxfId="4992" priority="6796" stopIfTrue="1">
      <formula>$B619="Tender Received"</formula>
    </cfRule>
  </conditionalFormatting>
  <conditionalFormatting sqref="I619">
    <cfRule type="expression" dxfId="4991" priority="6793" stopIfTrue="1">
      <formula>AND($B619="Tender Received",$D619&lt;=(TODAY()+3))</formula>
    </cfRule>
    <cfRule type="expression" dxfId="4990" priority="6794" stopIfTrue="1">
      <formula>$B619="Tender Received"</formula>
    </cfRule>
  </conditionalFormatting>
  <conditionalFormatting sqref="L619">
    <cfRule type="expression" dxfId="4989" priority="6791" stopIfTrue="1">
      <formula>AND($B619="Tender Received",$D619&lt;=(TODAY()+3))</formula>
    </cfRule>
    <cfRule type="expression" dxfId="4988" priority="6792" stopIfTrue="1">
      <formula>$B619="Tender Received"</formula>
    </cfRule>
  </conditionalFormatting>
  <conditionalFormatting sqref="B620:K621 O620:R621">
    <cfRule type="expression" dxfId="4987" priority="6781" stopIfTrue="1">
      <formula>AND($B620="Tender Received",$D620&lt;=(TODAY()+3))</formula>
    </cfRule>
    <cfRule type="expression" dxfId="4986" priority="6782" stopIfTrue="1">
      <formula>$B620="Tender Received"</formula>
    </cfRule>
  </conditionalFormatting>
  <conditionalFormatting sqref="M620:N621">
    <cfRule type="expression" dxfId="4985" priority="6779" stopIfTrue="1">
      <formula>AND($B620="Tender Received",$D620&lt;=(TODAY()+3))</formula>
    </cfRule>
    <cfRule type="expression" dxfId="4984" priority="6780" stopIfTrue="1">
      <formula>$B620="Tender Received"</formula>
    </cfRule>
  </conditionalFormatting>
  <conditionalFormatting sqref="C620:C621">
    <cfRule type="expression" dxfId="4983" priority="6777" stopIfTrue="1">
      <formula>AND($B620="Tender Received",$D620&lt;=(TODAY()+3))</formula>
    </cfRule>
    <cfRule type="expression" dxfId="4982" priority="6778" stopIfTrue="1">
      <formula>$B620="Tender Received"</formula>
    </cfRule>
  </conditionalFormatting>
  <conditionalFormatting sqref="L620">
    <cfRule type="expression" dxfId="4981" priority="6775" stopIfTrue="1">
      <formula>AND($B620="Tender Received",$D620&lt;=(TODAY()+3))</formula>
    </cfRule>
    <cfRule type="expression" dxfId="4980" priority="6776" stopIfTrue="1">
      <formula>$B620="Tender Received"</formula>
    </cfRule>
  </conditionalFormatting>
  <conditionalFormatting sqref="L621">
    <cfRule type="expression" dxfId="4979" priority="6773" stopIfTrue="1">
      <formula>AND($B621="Tender Received",$D621&lt;=(TODAY()+3))</formula>
    </cfRule>
    <cfRule type="expression" dxfId="4978" priority="6774" stopIfTrue="1">
      <formula>$B621="Tender Received"</formula>
    </cfRule>
  </conditionalFormatting>
  <conditionalFormatting sqref="I620">
    <cfRule type="expression" dxfId="4977" priority="6771" stopIfTrue="1">
      <formula>AND($B620="Tender Received",$D620&lt;=(TODAY()+3))</formula>
    </cfRule>
    <cfRule type="expression" dxfId="4976" priority="6772" stopIfTrue="1">
      <formula>$B620="Tender Received"</formula>
    </cfRule>
  </conditionalFormatting>
  <conditionalFormatting sqref="I621">
    <cfRule type="expression" dxfId="4975" priority="6769" stopIfTrue="1">
      <formula>AND($B621="Tender Received",$D621&lt;=(TODAY()+3))</formula>
    </cfRule>
    <cfRule type="expression" dxfId="4974" priority="6770" stopIfTrue="1">
      <formula>$B621="Tender Received"</formula>
    </cfRule>
  </conditionalFormatting>
  <conditionalFormatting sqref="L621">
    <cfRule type="expression" dxfId="4973" priority="6767" stopIfTrue="1">
      <formula>AND($B621="Tender Received",$D621&lt;=(TODAY()+3))</formula>
    </cfRule>
    <cfRule type="expression" dxfId="4972" priority="6768" stopIfTrue="1">
      <formula>$B621="Tender Received"</formula>
    </cfRule>
  </conditionalFormatting>
  <conditionalFormatting sqref="L620">
    <cfRule type="expression" dxfId="4971" priority="6765" stopIfTrue="1">
      <formula>AND($B620="Tender Received",$D620&lt;=(TODAY()+3))</formula>
    </cfRule>
    <cfRule type="expression" dxfId="4970" priority="6766" stopIfTrue="1">
      <formula>$B620="Tender Received"</formula>
    </cfRule>
  </conditionalFormatting>
  <conditionalFormatting sqref="Q75">
    <cfRule type="expression" dxfId="4969" priority="6759" stopIfTrue="1">
      <formula>AND($B75="Tender Received",$D75&lt;=(TODAY()+3))</formula>
    </cfRule>
    <cfRule type="expression" dxfId="4968" priority="6760" stopIfTrue="1">
      <formula>$B75="Tender Received"</formula>
    </cfRule>
  </conditionalFormatting>
  <conditionalFormatting sqref="B622:R628">
    <cfRule type="expression" dxfId="4967" priority="6757" stopIfTrue="1">
      <formula>AND($B622="Tender Received",$D622&lt;=(TODAY()+3))</formula>
    </cfRule>
    <cfRule type="expression" dxfId="4966" priority="6758" stopIfTrue="1">
      <formula>$B622="Tender Received"</formula>
    </cfRule>
  </conditionalFormatting>
  <conditionalFormatting sqref="C622:D626">
    <cfRule type="expression" dxfId="4965" priority="6755" stopIfTrue="1">
      <formula>AND($B622="Tender Received",$D622&lt;=(TODAY()+3))</formula>
    </cfRule>
    <cfRule type="expression" dxfId="4964" priority="6756" stopIfTrue="1">
      <formula>$B622="Tender Received"</formula>
    </cfRule>
  </conditionalFormatting>
  <conditionalFormatting sqref="O622:R626 E622:K626">
    <cfRule type="expression" dxfId="4963" priority="6753" stopIfTrue="1">
      <formula>AND($B622="Tender Received",$D622&lt;=(TODAY()+3))</formula>
    </cfRule>
    <cfRule type="expression" dxfId="4962" priority="6754" stopIfTrue="1">
      <formula>$B622="Tender Received"</formula>
    </cfRule>
  </conditionalFormatting>
  <conditionalFormatting sqref="M622:N626">
    <cfRule type="expression" dxfId="4961" priority="6751" stopIfTrue="1">
      <formula>AND($B622="Tender Received",$D622&lt;=(TODAY()+3))</formula>
    </cfRule>
    <cfRule type="expression" dxfId="4960" priority="6752" stopIfTrue="1">
      <formula>$B622="Tender Received"</formula>
    </cfRule>
  </conditionalFormatting>
  <conditionalFormatting sqref="L622:L626">
    <cfRule type="expression" dxfId="4959" priority="6749" stopIfTrue="1">
      <formula>AND($B622="Tender Received",$D622&lt;=(TODAY()+3))</formula>
    </cfRule>
    <cfRule type="expression" dxfId="4958" priority="6750" stopIfTrue="1">
      <formula>$B622="Tender Received"</formula>
    </cfRule>
  </conditionalFormatting>
  <conditionalFormatting sqref="I622:I626">
    <cfRule type="expression" dxfId="4957" priority="6747" stopIfTrue="1">
      <formula>AND($B622="Tender Received",$D622&lt;=(TODAY()+3))</formula>
    </cfRule>
    <cfRule type="expression" dxfId="4956" priority="6748" stopIfTrue="1">
      <formula>$B622="Tender Received"</formula>
    </cfRule>
  </conditionalFormatting>
  <conditionalFormatting sqref="L622:L626">
    <cfRule type="expression" dxfId="4955" priority="6745" stopIfTrue="1">
      <formula>AND($B622="Tender Received",$D622&lt;=(TODAY()+3))</formula>
    </cfRule>
    <cfRule type="expression" dxfId="4954" priority="6746" stopIfTrue="1">
      <formula>$B622="Tender Received"</formula>
    </cfRule>
  </conditionalFormatting>
  <conditionalFormatting sqref="C627:D628">
    <cfRule type="expression" dxfId="4953" priority="6743" stopIfTrue="1">
      <formula>AND($B627="Tender Received",$D627&lt;=(TODAY()+3))</formula>
    </cfRule>
    <cfRule type="expression" dxfId="4952" priority="6744" stopIfTrue="1">
      <formula>$B627="Tender Received"</formula>
    </cfRule>
  </conditionalFormatting>
  <conditionalFormatting sqref="O627:R628 E627:K628">
    <cfRule type="expression" dxfId="4951" priority="6741" stopIfTrue="1">
      <formula>AND($B627="Tender Received",$D627&lt;=(TODAY()+3))</formula>
    </cfRule>
    <cfRule type="expression" dxfId="4950" priority="6742" stopIfTrue="1">
      <formula>$B627="Tender Received"</formula>
    </cfRule>
  </conditionalFormatting>
  <conditionalFormatting sqref="M627:N628">
    <cfRule type="expression" dxfId="4949" priority="6739" stopIfTrue="1">
      <formula>AND($B627="Tender Received",$D627&lt;=(TODAY()+3))</formula>
    </cfRule>
    <cfRule type="expression" dxfId="4948" priority="6740" stopIfTrue="1">
      <formula>$B627="Tender Received"</formula>
    </cfRule>
  </conditionalFormatting>
  <conditionalFormatting sqref="L627:L628">
    <cfRule type="expression" dxfId="4947" priority="6737" stopIfTrue="1">
      <formula>AND($B627="Tender Received",$D627&lt;=(TODAY()+3))</formula>
    </cfRule>
    <cfRule type="expression" dxfId="4946" priority="6738" stopIfTrue="1">
      <formula>$B627="Tender Received"</formula>
    </cfRule>
  </conditionalFormatting>
  <conditionalFormatting sqref="I627:I628">
    <cfRule type="expression" dxfId="4945" priority="6735" stopIfTrue="1">
      <formula>AND($B627="Tender Received",$D627&lt;=(TODAY()+3))</formula>
    </cfRule>
    <cfRule type="expression" dxfId="4944" priority="6736" stopIfTrue="1">
      <formula>$B627="Tender Received"</formula>
    </cfRule>
  </conditionalFormatting>
  <conditionalFormatting sqref="L627:L628">
    <cfRule type="expression" dxfId="4943" priority="6733" stopIfTrue="1">
      <formula>AND($B627="Tender Received",$D627&lt;=(TODAY()+3))</formula>
    </cfRule>
    <cfRule type="expression" dxfId="4942" priority="6734" stopIfTrue="1">
      <formula>$B627="Tender Received"</formula>
    </cfRule>
  </conditionalFormatting>
  <conditionalFormatting sqref="B629:R631">
    <cfRule type="expression" dxfId="4941" priority="6731" stopIfTrue="1">
      <formula>AND($B629="Tender Received",$D629&lt;=(TODAY()+3))</formula>
    </cfRule>
    <cfRule type="expression" dxfId="4940" priority="6732" stopIfTrue="1">
      <formula>$B629="Tender Received"</formula>
    </cfRule>
  </conditionalFormatting>
  <conditionalFormatting sqref="C629:D631">
    <cfRule type="expression" dxfId="4939" priority="6729" stopIfTrue="1">
      <formula>AND($B629="Tender Received",$D629&lt;=(TODAY()+3))</formula>
    </cfRule>
    <cfRule type="expression" dxfId="4938" priority="6730" stopIfTrue="1">
      <formula>$B629="Tender Received"</formula>
    </cfRule>
  </conditionalFormatting>
  <conditionalFormatting sqref="O629:R631 E629:K631">
    <cfRule type="expression" dxfId="4937" priority="6727" stopIfTrue="1">
      <formula>AND($B629="Tender Received",$D629&lt;=(TODAY()+3))</formula>
    </cfRule>
    <cfRule type="expression" dxfId="4936" priority="6728" stopIfTrue="1">
      <formula>$B629="Tender Received"</formula>
    </cfRule>
  </conditionalFormatting>
  <conditionalFormatting sqref="M629:N631">
    <cfRule type="expression" dxfId="4935" priority="6725" stopIfTrue="1">
      <formula>AND($B629="Tender Received",$D629&lt;=(TODAY()+3))</formula>
    </cfRule>
    <cfRule type="expression" dxfId="4934" priority="6726" stopIfTrue="1">
      <formula>$B629="Tender Received"</formula>
    </cfRule>
  </conditionalFormatting>
  <conditionalFormatting sqref="L629:L631">
    <cfRule type="expression" dxfId="4933" priority="6723" stopIfTrue="1">
      <formula>AND($B629="Tender Received",$D629&lt;=(TODAY()+3))</formula>
    </cfRule>
    <cfRule type="expression" dxfId="4932" priority="6724" stopIfTrue="1">
      <formula>$B629="Tender Received"</formula>
    </cfRule>
  </conditionalFormatting>
  <conditionalFormatting sqref="I629:I631">
    <cfRule type="expression" dxfId="4931" priority="6721" stopIfTrue="1">
      <formula>AND($B629="Tender Received",$D629&lt;=(TODAY()+3))</formula>
    </cfRule>
    <cfRule type="expression" dxfId="4930" priority="6722" stopIfTrue="1">
      <formula>$B629="Tender Received"</formula>
    </cfRule>
  </conditionalFormatting>
  <conditionalFormatting sqref="L629:L631">
    <cfRule type="expression" dxfId="4929" priority="6719" stopIfTrue="1">
      <formula>AND($B629="Tender Received",$D629&lt;=(TODAY()+3))</formula>
    </cfRule>
    <cfRule type="expression" dxfId="4928" priority="6720" stopIfTrue="1">
      <formula>$B629="Tender Received"</formula>
    </cfRule>
  </conditionalFormatting>
  <conditionalFormatting sqref="H48">
    <cfRule type="expression" dxfId="4927" priority="6717" stopIfTrue="1">
      <formula>AND($B48="Tender Received",$D48&lt;=(TODAY()+3))</formula>
    </cfRule>
    <cfRule type="expression" dxfId="4926" priority="6718" stopIfTrue="1">
      <formula>$B48="Tender Received"</formula>
    </cfRule>
  </conditionalFormatting>
  <conditionalFormatting sqref="Q48">
    <cfRule type="expression" dxfId="4925" priority="6715" stopIfTrue="1">
      <formula>AND($B48="Tender Received",$D48&lt;=(TODAY()+3))</formula>
    </cfRule>
    <cfRule type="expression" dxfId="4924" priority="6716" stopIfTrue="1">
      <formula>$B48="Tender Received"</formula>
    </cfRule>
  </conditionalFormatting>
  <conditionalFormatting sqref="Q59">
    <cfRule type="expression" dxfId="4923" priority="6709" stopIfTrue="1">
      <formula>AND($B59="Tender Received",$D59&lt;=(TODAY()+3))</formula>
    </cfRule>
    <cfRule type="expression" dxfId="4922" priority="6710" stopIfTrue="1">
      <formula>$B59="Tender Received"</formula>
    </cfRule>
  </conditionalFormatting>
  <conditionalFormatting sqref="H71">
    <cfRule type="expression" dxfId="4921" priority="6707" stopIfTrue="1">
      <formula>AND($B71="Tender Received",$D71&lt;=(TODAY()+3))</formula>
    </cfRule>
    <cfRule type="expression" dxfId="4920" priority="6708" stopIfTrue="1">
      <formula>$B71="Tender Received"</formula>
    </cfRule>
  </conditionalFormatting>
  <conditionalFormatting sqref="Q71">
    <cfRule type="expression" dxfId="4919" priority="6705" stopIfTrue="1">
      <formula>AND($B71="Tender Received",$D71&lt;=(TODAY()+3))</formula>
    </cfRule>
    <cfRule type="expression" dxfId="4918" priority="6706" stopIfTrue="1">
      <formula>$B71="Tender Received"</formula>
    </cfRule>
  </conditionalFormatting>
  <conditionalFormatting sqref="Q94">
    <cfRule type="expression" dxfId="4917" priority="6701" stopIfTrue="1">
      <formula>AND($B94="Tender Received",$D94&lt;=(TODAY()+3))</formula>
    </cfRule>
    <cfRule type="expression" dxfId="4916" priority="6702" stopIfTrue="1">
      <formula>$B94="Tender Received"</formula>
    </cfRule>
  </conditionalFormatting>
  <conditionalFormatting sqref="H134">
    <cfRule type="expression" dxfId="4915" priority="6699" stopIfTrue="1">
      <formula>AND($B134="Tender Received",$D134&lt;=(TODAY()+3))</formula>
    </cfRule>
    <cfRule type="expression" dxfId="4914" priority="6700" stopIfTrue="1">
      <formula>$B134="Tender Received"</formula>
    </cfRule>
  </conditionalFormatting>
  <conditionalFormatting sqref="Q134">
    <cfRule type="expression" dxfId="4913" priority="6697" stopIfTrue="1">
      <formula>AND($B134="Tender Received",$D134&lt;=(TODAY()+3))</formula>
    </cfRule>
    <cfRule type="expression" dxfId="4912" priority="6698" stopIfTrue="1">
      <formula>$B134="Tender Received"</formula>
    </cfRule>
  </conditionalFormatting>
  <conditionalFormatting sqref="H133">
    <cfRule type="expression" dxfId="4911" priority="6695" stopIfTrue="1">
      <formula>AND($B133="Tender Received",$D133&lt;=(TODAY()+3))</formula>
    </cfRule>
    <cfRule type="expression" dxfId="4910" priority="6696" stopIfTrue="1">
      <formula>$B133="Tender Received"</formula>
    </cfRule>
  </conditionalFormatting>
  <conditionalFormatting sqref="Q133">
    <cfRule type="expression" dxfId="4909" priority="6693" stopIfTrue="1">
      <formula>AND($B133="Tender Received",$D133&lt;=(TODAY()+3))</formula>
    </cfRule>
    <cfRule type="expression" dxfId="4908" priority="6694" stopIfTrue="1">
      <formula>$B133="Tender Received"</formula>
    </cfRule>
  </conditionalFormatting>
  <conditionalFormatting sqref="Q220">
    <cfRule type="expression" dxfId="4907" priority="6679" stopIfTrue="1">
      <formula>AND($B220="Tender Received",$D220&lt;=(TODAY()+3))</formula>
    </cfRule>
    <cfRule type="expression" dxfId="4906" priority="6680" stopIfTrue="1">
      <formula>$B220="Tender Received"</formula>
    </cfRule>
  </conditionalFormatting>
  <conditionalFormatting sqref="H221:I221">
    <cfRule type="expression" dxfId="4905" priority="6677" stopIfTrue="1">
      <formula>AND($B221="Tender Received",$D221&lt;=(TODAY()+3))</formula>
    </cfRule>
    <cfRule type="expression" dxfId="4904" priority="6678" stopIfTrue="1">
      <formula>$B221="Tender Received"</formula>
    </cfRule>
  </conditionalFormatting>
  <conditionalFormatting sqref="Q221">
    <cfRule type="expression" dxfId="4903" priority="6675" stopIfTrue="1">
      <formula>AND($B221="Tender Received",$D221&lt;=(TODAY()+3))</formula>
    </cfRule>
    <cfRule type="expression" dxfId="4902" priority="6676" stopIfTrue="1">
      <formula>$B221="Tender Received"</formula>
    </cfRule>
  </conditionalFormatting>
  <conditionalFormatting sqref="H238:I238">
    <cfRule type="expression" dxfId="4901" priority="6673" stopIfTrue="1">
      <formula>AND($B238="Tender Received",$D238&lt;=(TODAY()+3))</formula>
    </cfRule>
    <cfRule type="expression" dxfId="4900" priority="6674" stopIfTrue="1">
      <formula>$B238="Tender Received"</formula>
    </cfRule>
  </conditionalFormatting>
  <conditionalFormatting sqref="Q238">
    <cfRule type="expression" dxfId="4899" priority="6671" stopIfTrue="1">
      <formula>AND($B238="Tender Received",$D238&lt;=(TODAY()+3))</formula>
    </cfRule>
    <cfRule type="expression" dxfId="4898" priority="6672" stopIfTrue="1">
      <formula>$B238="Tender Received"</formula>
    </cfRule>
  </conditionalFormatting>
  <conditionalFormatting sqref="B632:K632 O632:R632">
    <cfRule type="expression" dxfId="4897" priority="6651" stopIfTrue="1">
      <formula>AND($B632="Tender Received",$D632&lt;=(TODAY()+3))</formula>
    </cfRule>
    <cfRule type="expression" dxfId="4896" priority="6652" stopIfTrue="1">
      <formula>$B632="Tender Received"</formula>
    </cfRule>
  </conditionalFormatting>
  <conditionalFormatting sqref="M632:N632">
    <cfRule type="expression" dxfId="4895" priority="6649" stopIfTrue="1">
      <formula>AND($B632="Tender Received",$D632&lt;=(TODAY()+3))</formula>
    </cfRule>
    <cfRule type="expression" dxfId="4894" priority="6650" stopIfTrue="1">
      <formula>$B632="Tender Received"</formula>
    </cfRule>
  </conditionalFormatting>
  <conditionalFormatting sqref="C632">
    <cfRule type="expression" dxfId="4893" priority="6647" stopIfTrue="1">
      <formula>AND($B632="Tender Received",$D632&lt;=(TODAY()+3))</formula>
    </cfRule>
    <cfRule type="expression" dxfId="4892" priority="6648" stopIfTrue="1">
      <formula>$B632="Tender Received"</formula>
    </cfRule>
  </conditionalFormatting>
  <conditionalFormatting sqref="L632">
    <cfRule type="expression" dxfId="4891" priority="6645" stopIfTrue="1">
      <formula>AND($B632="Tender Received",$D632&lt;=(TODAY()+3))</formula>
    </cfRule>
    <cfRule type="expression" dxfId="4890" priority="6646" stopIfTrue="1">
      <formula>$B632="Tender Received"</formula>
    </cfRule>
  </conditionalFormatting>
  <conditionalFormatting sqref="I632">
    <cfRule type="expression" dxfId="4889" priority="6643" stopIfTrue="1">
      <formula>AND($B632="Tender Received",$D632&lt;=(TODAY()+3))</formula>
    </cfRule>
    <cfRule type="expression" dxfId="4888" priority="6644" stopIfTrue="1">
      <formula>$B632="Tender Received"</formula>
    </cfRule>
  </conditionalFormatting>
  <conditionalFormatting sqref="L632">
    <cfRule type="expression" dxfId="4887" priority="6641" stopIfTrue="1">
      <formula>AND($B632="Tender Received",$D632&lt;=(TODAY()+3))</formula>
    </cfRule>
    <cfRule type="expression" dxfId="4886" priority="6642" stopIfTrue="1">
      <formula>$B632="Tender Received"</formula>
    </cfRule>
  </conditionalFormatting>
  <conditionalFormatting sqref="B633:R634">
    <cfRule type="expression" dxfId="4885" priority="6639" stopIfTrue="1">
      <formula>AND($B633="Tender Received",$D633&lt;=(TODAY()+3))</formula>
    </cfRule>
    <cfRule type="expression" dxfId="4884" priority="6640" stopIfTrue="1">
      <formula>$B633="Tender Received"</formula>
    </cfRule>
  </conditionalFormatting>
  <conditionalFormatting sqref="C633:D634">
    <cfRule type="expression" dxfId="4883" priority="6637" stopIfTrue="1">
      <formula>AND($B633="Tender Received",$D633&lt;=(TODAY()+3))</formula>
    </cfRule>
    <cfRule type="expression" dxfId="4882" priority="6638" stopIfTrue="1">
      <formula>$B633="Tender Received"</formula>
    </cfRule>
  </conditionalFormatting>
  <conditionalFormatting sqref="O633:R634 E633:K634">
    <cfRule type="expression" dxfId="4881" priority="6635" stopIfTrue="1">
      <formula>AND($B633="Tender Received",$D633&lt;=(TODAY()+3))</formula>
    </cfRule>
    <cfRule type="expression" dxfId="4880" priority="6636" stopIfTrue="1">
      <formula>$B633="Tender Received"</formula>
    </cfRule>
  </conditionalFormatting>
  <conditionalFormatting sqref="M633:N634">
    <cfRule type="expression" dxfId="4879" priority="6633" stopIfTrue="1">
      <formula>AND($B633="Tender Received",$D633&lt;=(TODAY()+3))</formula>
    </cfRule>
    <cfRule type="expression" dxfId="4878" priority="6634" stopIfTrue="1">
      <formula>$B633="Tender Received"</formula>
    </cfRule>
  </conditionalFormatting>
  <conditionalFormatting sqref="L633:L634">
    <cfRule type="expression" dxfId="4877" priority="6631" stopIfTrue="1">
      <formula>AND($B633="Tender Received",$D633&lt;=(TODAY()+3))</formula>
    </cfRule>
    <cfRule type="expression" dxfId="4876" priority="6632" stopIfTrue="1">
      <formula>$B633="Tender Received"</formula>
    </cfRule>
  </conditionalFormatting>
  <conditionalFormatting sqref="I633:I634">
    <cfRule type="expression" dxfId="4875" priority="6629" stopIfTrue="1">
      <formula>AND($B633="Tender Received",$D633&lt;=(TODAY()+3))</formula>
    </cfRule>
    <cfRule type="expression" dxfId="4874" priority="6630" stopIfTrue="1">
      <formula>$B633="Tender Received"</formula>
    </cfRule>
  </conditionalFormatting>
  <conditionalFormatting sqref="L633:L634">
    <cfRule type="expression" dxfId="4873" priority="6627" stopIfTrue="1">
      <formula>AND($B633="Tender Received",$D633&lt;=(TODAY()+3))</formula>
    </cfRule>
    <cfRule type="expression" dxfId="4872" priority="6628" stopIfTrue="1">
      <formula>$B633="Tender Received"</formula>
    </cfRule>
  </conditionalFormatting>
  <conditionalFormatting sqref="B635:R636">
    <cfRule type="expression" dxfId="4871" priority="6623" stopIfTrue="1">
      <formula>AND($B635="Tender Received",$D635&lt;=(TODAY()+3))</formula>
    </cfRule>
    <cfRule type="expression" dxfId="4870" priority="6624" stopIfTrue="1">
      <formula>$B635="Tender Received"</formula>
    </cfRule>
  </conditionalFormatting>
  <conditionalFormatting sqref="C635:D636">
    <cfRule type="expression" dxfId="4869" priority="6621" stopIfTrue="1">
      <formula>AND($B635="Tender Received",$D635&lt;=(TODAY()+3))</formula>
    </cfRule>
    <cfRule type="expression" dxfId="4868" priority="6622" stopIfTrue="1">
      <formula>$B635="Tender Received"</formula>
    </cfRule>
  </conditionalFormatting>
  <conditionalFormatting sqref="O635:R636 E635:K636">
    <cfRule type="expression" dxfId="4867" priority="6619" stopIfTrue="1">
      <formula>AND($B635="Tender Received",$D635&lt;=(TODAY()+3))</formula>
    </cfRule>
    <cfRule type="expression" dxfId="4866" priority="6620" stopIfTrue="1">
      <formula>$B635="Tender Received"</formula>
    </cfRule>
  </conditionalFormatting>
  <conditionalFormatting sqref="M635:N636">
    <cfRule type="expression" dxfId="4865" priority="6617" stopIfTrue="1">
      <formula>AND($B635="Tender Received",$D635&lt;=(TODAY()+3))</formula>
    </cfRule>
    <cfRule type="expression" dxfId="4864" priority="6618" stopIfTrue="1">
      <formula>$B635="Tender Received"</formula>
    </cfRule>
  </conditionalFormatting>
  <conditionalFormatting sqref="L635:L636">
    <cfRule type="expression" dxfId="4863" priority="6615" stopIfTrue="1">
      <formula>AND($B635="Tender Received",$D635&lt;=(TODAY()+3))</formula>
    </cfRule>
    <cfRule type="expression" dxfId="4862" priority="6616" stopIfTrue="1">
      <formula>$B635="Tender Received"</formula>
    </cfRule>
  </conditionalFormatting>
  <conditionalFormatting sqref="I635:I636">
    <cfRule type="expression" dxfId="4861" priority="6613" stopIfTrue="1">
      <formula>AND($B635="Tender Received",$D635&lt;=(TODAY()+3))</formula>
    </cfRule>
    <cfRule type="expression" dxfId="4860" priority="6614" stopIfTrue="1">
      <formula>$B635="Tender Received"</formula>
    </cfRule>
  </conditionalFormatting>
  <conditionalFormatting sqref="L635:L636">
    <cfRule type="expression" dxfId="4859" priority="6611" stopIfTrue="1">
      <formula>AND($B635="Tender Received",$D635&lt;=(TODAY()+3))</formula>
    </cfRule>
    <cfRule type="expression" dxfId="4858" priority="6612" stopIfTrue="1">
      <formula>$B635="Tender Received"</formula>
    </cfRule>
  </conditionalFormatting>
  <conditionalFormatting sqref="O637:R637 B637:K637">
    <cfRule type="expression" dxfId="4857" priority="6607" stopIfTrue="1">
      <formula>AND($B637="Tender Received",$D637&lt;=(TODAY()+3))</formula>
    </cfRule>
    <cfRule type="expression" dxfId="4856" priority="6608" stopIfTrue="1">
      <formula>$B637="Tender Received"</formula>
    </cfRule>
  </conditionalFormatting>
  <conditionalFormatting sqref="M637:N637">
    <cfRule type="expression" dxfId="4855" priority="6605" stopIfTrue="1">
      <formula>AND($B637="Tender Received",$D637&lt;=(TODAY()+3))</formula>
    </cfRule>
    <cfRule type="expression" dxfId="4854" priority="6606" stopIfTrue="1">
      <formula>$B637="Tender Received"</formula>
    </cfRule>
  </conditionalFormatting>
  <conditionalFormatting sqref="I637">
    <cfRule type="expression" dxfId="4853" priority="6603" stopIfTrue="1">
      <formula>AND($B637="Tender Received",$D637&lt;=(TODAY()+3))</formula>
    </cfRule>
    <cfRule type="expression" dxfId="4852" priority="6604" stopIfTrue="1">
      <formula>$B637="Tender Received"</formula>
    </cfRule>
  </conditionalFormatting>
  <conditionalFormatting sqref="L637">
    <cfRule type="expression" dxfId="4851" priority="6601" stopIfTrue="1">
      <formula>AND($B637="Tender Received",$D637&lt;=(TODAY()+3))</formula>
    </cfRule>
    <cfRule type="expression" dxfId="4850" priority="6602" stopIfTrue="1">
      <formula>$B637="Tender Received"</formula>
    </cfRule>
  </conditionalFormatting>
  <conditionalFormatting sqref="L637">
    <cfRule type="expression" dxfId="4849" priority="6599" stopIfTrue="1">
      <formula>AND($B637="Tender Received",$D637&lt;=(TODAY()+3))</formula>
    </cfRule>
    <cfRule type="expression" dxfId="4848" priority="6600" stopIfTrue="1">
      <formula>$B637="Tender Received"</formula>
    </cfRule>
  </conditionalFormatting>
  <conditionalFormatting sqref="B638:K638 O638:R638">
    <cfRule type="expression" dxfId="4847" priority="6597" stopIfTrue="1">
      <formula>AND($B638="Tender Received",$D638&lt;=(TODAY()+3))</formula>
    </cfRule>
    <cfRule type="expression" dxfId="4846" priority="6598" stopIfTrue="1">
      <formula>$B638="Tender Received"</formula>
    </cfRule>
  </conditionalFormatting>
  <conditionalFormatting sqref="M638:N638">
    <cfRule type="expression" dxfId="4845" priority="6595" stopIfTrue="1">
      <formula>AND($B638="Tender Received",$D638&lt;=(TODAY()+3))</formula>
    </cfRule>
    <cfRule type="expression" dxfId="4844" priority="6596" stopIfTrue="1">
      <formula>$B638="Tender Received"</formula>
    </cfRule>
  </conditionalFormatting>
  <conditionalFormatting sqref="C638">
    <cfRule type="expression" dxfId="4843" priority="6593" stopIfTrue="1">
      <formula>AND($B638="Tender Received",$D638&lt;=(TODAY()+3))</formula>
    </cfRule>
    <cfRule type="expression" dxfId="4842" priority="6594" stopIfTrue="1">
      <formula>$B638="Tender Received"</formula>
    </cfRule>
  </conditionalFormatting>
  <conditionalFormatting sqref="L638">
    <cfRule type="expression" dxfId="4841" priority="6591" stopIfTrue="1">
      <formula>AND($B638="Tender Received",$D638&lt;=(TODAY()+3))</formula>
    </cfRule>
    <cfRule type="expression" dxfId="4840" priority="6592" stopIfTrue="1">
      <formula>$B638="Tender Received"</formula>
    </cfRule>
  </conditionalFormatting>
  <conditionalFormatting sqref="I638">
    <cfRule type="expression" dxfId="4839" priority="6589" stopIfTrue="1">
      <formula>AND($B638="Tender Received",$D638&lt;=(TODAY()+3))</formula>
    </cfRule>
    <cfRule type="expression" dxfId="4838" priority="6590" stopIfTrue="1">
      <formula>$B638="Tender Received"</formula>
    </cfRule>
  </conditionalFormatting>
  <conditionalFormatting sqref="L638">
    <cfRule type="expression" dxfId="4837" priority="6587" stopIfTrue="1">
      <formula>AND($B638="Tender Received",$D638&lt;=(TODAY()+3))</formula>
    </cfRule>
    <cfRule type="expression" dxfId="4836" priority="6588" stopIfTrue="1">
      <formula>$B638="Tender Received"</formula>
    </cfRule>
  </conditionalFormatting>
  <conditionalFormatting sqref="B639:R642">
    <cfRule type="expression" dxfId="4835" priority="6585" stopIfTrue="1">
      <formula>AND($B639="Tender Received",$D639&lt;=(TODAY()+3))</formula>
    </cfRule>
    <cfRule type="expression" dxfId="4834" priority="6586" stopIfTrue="1">
      <formula>$B639="Tender Received"</formula>
    </cfRule>
  </conditionalFormatting>
  <conditionalFormatting sqref="C639:D642">
    <cfRule type="expression" dxfId="4833" priority="6583" stopIfTrue="1">
      <formula>AND($B639="Tender Received",$D639&lt;=(TODAY()+3))</formula>
    </cfRule>
    <cfRule type="expression" dxfId="4832" priority="6584" stopIfTrue="1">
      <formula>$B639="Tender Received"</formula>
    </cfRule>
  </conditionalFormatting>
  <conditionalFormatting sqref="O639:R642 E639:K642">
    <cfRule type="expression" dxfId="4831" priority="6581" stopIfTrue="1">
      <formula>AND($B639="Tender Received",$D639&lt;=(TODAY()+3))</formula>
    </cfRule>
    <cfRule type="expression" dxfId="4830" priority="6582" stopIfTrue="1">
      <formula>$B639="Tender Received"</formula>
    </cfRule>
  </conditionalFormatting>
  <conditionalFormatting sqref="M639:N642">
    <cfRule type="expression" dxfId="4829" priority="6579" stopIfTrue="1">
      <formula>AND($B639="Tender Received",$D639&lt;=(TODAY()+3))</formula>
    </cfRule>
    <cfRule type="expression" dxfId="4828" priority="6580" stopIfTrue="1">
      <formula>$B639="Tender Received"</formula>
    </cfRule>
  </conditionalFormatting>
  <conditionalFormatting sqref="L639:L642">
    <cfRule type="expression" dxfId="4827" priority="6577" stopIfTrue="1">
      <formula>AND($B639="Tender Received",$D639&lt;=(TODAY()+3))</formula>
    </cfRule>
    <cfRule type="expression" dxfId="4826" priority="6578" stopIfTrue="1">
      <formula>$B639="Tender Received"</formula>
    </cfRule>
  </conditionalFormatting>
  <conditionalFormatting sqref="I639:I642">
    <cfRule type="expression" dxfId="4825" priority="6575" stopIfTrue="1">
      <formula>AND($B639="Tender Received",$D639&lt;=(TODAY()+3))</formula>
    </cfRule>
    <cfRule type="expression" dxfId="4824" priority="6576" stopIfTrue="1">
      <formula>$B639="Tender Received"</formula>
    </cfRule>
  </conditionalFormatting>
  <conditionalFormatting sqref="L639:L642">
    <cfRule type="expression" dxfId="4823" priority="6573" stopIfTrue="1">
      <formula>AND($B639="Tender Received",$D639&lt;=(TODAY()+3))</formula>
    </cfRule>
    <cfRule type="expression" dxfId="4822" priority="6574" stopIfTrue="1">
      <formula>$B639="Tender Received"</formula>
    </cfRule>
  </conditionalFormatting>
  <conditionalFormatting sqref="B643 D643:K643 O643:R643">
    <cfRule type="expression" dxfId="4821" priority="6571" stopIfTrue="1">
      <formula>AND($B643="Tender Received",$D643&lt;=(TODAY()+3))</formula>
    </cfRule>
    <cfRule type="expression" dxfId="4820" priority="6572" stopIfTrue="1">
      <formula>$B643="Tender Received"</formula>
    </cfRule>
  </conditionalFormatting>
  <conditionalFormatting sqref="I643">
    <cfRule type="expression" dxfId="4819" priority="6569" stopIfTrue="1">
      <formula>AND($B643="Tender Received",$D643&lt;=(TODAY()+3))</formula>
    </cfRule>
    <cfRule type="expression" dxfId="4818" priority="6570" stopIfTrue="1">
      <formula>$B643="Tender Received"</formula>
    </cfRule>
  </conditionalFormatting>
  <conditionalFormatting sqref="M643:N643">
    <cfRule type="expression" dxfId="4817" priority="6567" stopIfTrue="1">
      <formula>AND($B643="Tender Received",$D643&lt;=(TODAY()+3))</formula>
    </cfRule>
    <cfRule type="expression" dxfId="4816" priority="6568" stopIfTrue="1">
      <formula>$B643="Tender Received"</formula>
    </cfRule>
  </conditionalFormatting>
  <conditionalFormatting sqref="C643">
    <cfRule type="expression" dxfId="4815" priority="6565" stopIfTrue="1">
      <formula>AND($B643="Tender Received",$D643&lt;=(TODAY()+3))</formula>
    </cfRule>
    <cfRule type="expression" dxfId="4814" priority="6566" stopIfTrue="1">
      <formula>$B643="Tender Received"</formula>
    </cfRule>
  </conditionalFormatting>
  <conditionalFormatting sqref="L643">
    <cfRule type="expression" dxfId="4813" priority="6563" stopIfTrue="1">
      <formula>AND($B643="Tender Received",$D643&lt;=(TODAY()+3))</formula>
    </cfRule>
    <cfRule type="expression" dxfId="4812" priority="6564" stopIfTrue="1">
      <formula>$B643="Tender Received"</formula>
    </cfRule>
  </conditionalFormatting>
  <conditionalFormatting sqref="L643">
    <cfRule type="expression" dxfId="4811" priority="6561" stopIfTrue="1">
      <formula>AND($B643="Tender Received",$D643&lt;=(TODAY()+3))</formula>
    </cfRule>
    <cfRule type="expression" dxfId="4810" priority="6562" stopIfTrue="1">
      <formula>$B643="Tender Received"</formula>
    </cfRule>
  </conditionalFormatting>
  <conditionalFormatting sqref="D644:K644 O644:R644">
    <cfRule type="expression" dxfId="4809" priority="6541" stopIfTrue="1">
      <formula>AND($B644="Tender Received",$D644&lt;=(TODAY()+3))</formula>
    </cfRule>
    <cfRule type="expression" dxfId="4808" priority="6542" stopIfTrue="1">
      <formula>$B644="Tender Received"</formula>
    </cfRule>
  </conditionalFormatting>
  <conditionalFormatting sqref="I644">
    <cfRule type="expression" dxfId="4807" priority="6539" stopIfTrue="1">
      <formula>AND($B644="Tender Received",$D644&lt;=(TODAY()+3))</formula>
    </cfRule>
    <cfRule type="expression" dxfId="4806" priority="6540" stopIfTrue="1">
      <formula>$B644="Tender Received"</formula>
    </cfRule>
  </conditionalFormatting>
  <conditionalFormatting sqref="M644:N644">
    <cfRule type="expression" dxfId="4805" priority="6537" stopIfTrue="1">
      <formula>AND($B644="Tender Received",$D644&lt;=(TODAY()+3))</formula>
    </cfRule>
    <cfRule type="expression" dxfId="4804" priority="6538" stopIfTrue="1">
      <formula>$B644="Tender Received"</formula>
    </cfRule>
  </conditionalFormatting>
  <conditionalFormatting sqref="C644">
    <cfRule type="expression" dxfId="4803" priority="6535" stopIfTrue="1">
      <formula>AND($B644="Tender Received",$D644&lt;=(TODAY()+3))</formula>
    </cfRule>
    <cfRule type="expression" dxfId="4802" priority="6536" stopIfTrue="1">
      <formula>$B644="Tender Received"</formula>
    </cfRule>
  </conditionalFormatting>
  <conditionalFormatting sqref="L644">
    <cfRule type="expression" dxfId="4801" priority="6533" stopIfTrue="1">
      <formula>AND($B644="Tender Received",$D644&lt;=(TODAY()+3))</formula>
    </cfRule>
    <cfRule type="expression" dxfId="4800" priority="6534" stopIfTrue="1">
      <formula>$B644="Tender Received"</formula>
    </cfRule>
  </conditionalFormatting>
  <conditionalFormatting sqref="L644">
    <cfRule type="expression" dxfId="4799" priority="6531" stopIfTrue="1">
      <formula>AND($B644="Tender Received",$D644&lt;=(TODAY()+3))</formula>
    </cfRule>
    <cfRule type="expression" dxfId="4798" priority="6532" stopIfTrue="1">
      <formula>$B644="Tender Received"</formula>
    </cfRule>
  </conditionalFormatting>
  <conditionalFormatting sqref="B644">
    <cfRule type="expression" dxfId="4797" priority="6529" stopIfTrue="1">
      <formula>AND($B644="Tender Received",$D644&lt;=(TODAY()+3))</formula>
    </cfRule>
    <cfRule type="expression" dxfId="4796" priority="6530" stopIfTrue="1">
      <formula>$B644="Tender Received"</formula>
    </cfRule>
  </conditionalFormatting>
  <conditionalFormatting sqref="H34">
    <cfRule type="expression" dxfId="4795" priority="6527" stopIfTrue="1">
      <formula>AND($B34="Tender Received",$D34&lt;=(TODAY()+3))</formula>
    </cfRule>
    <cfRule type="expression" dxfId="4794" priority="6528" stopIfTrue="1">
      <formula>$B34="Tender Received"</formula>
    </cfRule>
  </conditionalFormatting>
  <conditionalFormatting sqref="Q34">
    <cfRule type="expression" dxfId="4793" priority="6525" stopIfTrue="1">
      <formula>AND($B34="Tender Received",$D34&lt;=(TODAY()+3))</formula>
    </cfRule>
    <cfRule type="expression" dxfId="4792" priority="6526" stopIfTrue="1">
      <formula>$B34="Tender Received"</formula>
    </cfRule>
  </conditionalFormatting>
  <conditionalFormatting sqref="H47:I47">
    <cfRule type="expression" dxfId="4791" priority="6523" stopIfTrue="1">
      <formula>AND($B47="Tender Received",$D47&lt;=(TODAY()+3))</formula>
    </cfRule>
    <cfRule type="expression" dxfId="4790" priority="6524" stopIfTrue="1">
      <formula>$B47="Tender Received"</formula>
    </cfRule>
  </conditionalFormatting>
  <conditionalFormatting sqref="Q47">
    <cfRule type="expression" dxfId="4789" priority="6521" stopIfTrue="1">
      <formula>AND($B47="Tender Received",$D47&lt;=(TODAY()+3))</formula>
    </cfRule>
    <cfRule type="expression" dxfId="4788" priority="6522" stopIfTrue="1">
      <formula>$B47="Tender Received"</formula>
    </cfRule>
  </conditionalFormatting>
  <conditionalFormatting sqref="I57">
    <cfRule type="expression" dxfId="4787" priority="6519" stopIfTrue="1">
      <formula>AND($B57="Tender Received",$D57&lt;=(TODAY()+3))</formula>
    </cfRule>
    <cfRule type="expression" dxfId="4786" priority="6520" stopIfTrue="1">
      <formula>$B57="Tender Received"</formula>
    </cfRule>
  </conditionalFormatting>
  <conditionalFormatting sqref="I69">
    <cfRule type="expression" dxfId="4785" priority="6515" stopIfTrue="1">
      <formula>AND($B69="Tender Received",$D69&lt;=(TODAY()+3))</formula>
    </cfRule>
    <cfRule type="expression" dxfId="4784" priority="6516" stopIfTrue="1">
      <formula>$B69="Tender Received"</formula>
    </cfRule>
  </conditionalFormatting>
  <conditionalFormatting sqref="H110:I110">
    <cfRule type="expression" dxfId="4783" priority="6513" stopIfTrue="1">
      <formula>AND($B110="Tender Received",$D110&lt;=(TODAY()+3))</formula>
    </cfRule>
    <cfRule type="expression" dxfId="4782" priority="6514" stopIfTrue="1">
      <formula>$B110="Tender Received"</formula>
    </cfRule>
  </conditionalFormatting>
  <conditionalFormatting sqref="Q110">
    <cfRule type="expression" dxfId="4781" priority="6511" stopIfTrue="1">
      <formula>AND($B110="Tender Received",$D110&lt;=(TODAY()+3))</formula>
    </cfRule>
    <cfRule type="expression" dxfId="4780" priority="6512" stopIfTrue="1">
      <formula>$B110="Tender Received"</formula>
    </cfRule>
  </conditionalFormatting>
  <conditionalFormatting sqref="H120:I120">
    <cfRule type="expression" dxfId="4779" priority="6509" stopIfTrue="1">
      <formula>AND($B120="Tender Received",$D120&lt;=(TODAY()+3))</formula>
    </cfRule>
    <cfRule type="expression" dxfId="4778" priority="6510" stopIfTrue="1">
      <formula>$B120="Tender Received"</formula>
    </cfRule>
  </conditionalFormatting>
  <conditionalFormatting sqref="H127:I127">
    <cfRule type="expression" dxfId="4777" priority="6505" stopIfTrue="1">
      <formula>AND($B127="Tender Received",$D127&lt;=(TODAY()+3))</formula>
    </cfRule>
    <cfRule type="expression" dxfId="4776" priority="6506" stopIfTrue="1">
      <formula>$B127="Tender Received"</formula>
    </cfRule>
  </conditionalFormatting>
  <conditionalFormatting sqref="Q127">
    <cfRule type="expression" dxfId="4775" priority="6503" stopIfTrue="1">
      <formula>AND($B127="Tender Received",$D127&lt;=(TODAY()+3))</formula>
    </cfRule>
    <cfRule type="expression" dxfId="4774" priority="6504" stopIfTrue="1">
      <formula>$B127="Tender Received"</formula>
    </cfRule>
  </conditionalFormatting>
  <conditionalFormatting sqref="H162:I162">
    <cfRule type="expression" dxfId="4773" priority="6501" stopIfTrue="1">
      <formula>AND($B162="Tender Received",$D162&lt;=(TODAY()+3))</formula>
    </cfRule>
    <cfRule type="expression" dxfId="4772" priority="6502" stopIfTrue="1">
      <formula>$B162="Tender Received"</formula>
    </cfRule>
  </conditionalFormatting>
  <conditionalFormatting sqref="Q162">
    <cfRule type="expression" dxfId="4771" priority="6499" stopIfTrue="1">
      <formula>AND($B162="Tender Received",$D162&lt;=(TODAY()+3))</formula>
    </cfRule>
    <cfRule type="expression" dxfId="4770" priority="6500" stopIfTrue="1">
      <formula>$B162="Tender Received"</formula>
    </cfRule>
  </conditionalFormatting>
  <conditionalFormatting sqref="I101">
    <cfRule type="expression" dxfId="4769" priority="6497" stopIfTrue="1">
      <formula>AND($B101="Tender Received",$D101&lt;=(TODAY()+3))</formula>
    </cfRule>
    <cfRule type="expression" dxfId="4768" priority="6498" stopIfTrue="1">
      <formula>$B101="Tender Received"</formula>
    </cfRule>
  </conditionalFormatting>
  <conditionalFormatting sqref="I100">
    <cfRule type="expression" dxfId="4767" priority="6495" stopIfTrue="1">
      <formula>AND($B100="Tender Received",$D100&lt;=(TODAY()+3))</formula>
    </cfRule>
    <cfRule type="expression" dxfId="4766" priority="6496" stopIfTrue="1">
      <formula>$B100="Tender Received"</formula>
    </cfRule>
  </conditionalFormatting>
  <conditionalFormatting sqref="B645:K645 O645:R645">
    <cfRule type="expression" dxfId="4765" priority="6493" stopIfTrue="1">
      <formula>AND($B645="Tender Received",$D645&lt;=(TODAY()+3))</formula>
    </cfRule>
    <cfRule type="expression" dxfId="4764" priority="6494" stopIfTrue="1">
      <formula>$B645="Tender Received"</formula>
    </cfRule>
  </conditionalFormatting>
  <conditionalFormatting sqref="M645:N645">
    <cfRule type="expression" dxfId="4763" priority="6491" stopIfTrue="1">
      <formula>AND($B645="Tender Received",$D645&lt;=(TODAY()+3))</formula>
    </cfRule>
    <cfRule type="expression" dxfId="4762" priority="6492" stopIfTrue="1">
      <formula>$B645="Tender Received"</formula>
    </cfRule>
  </conditionalFormatting>
  <conditionalFormatting sqref="C645">
    <cfRule type="expression" dxfId="4761" priority="6489" stopIfTrue="1">
      <formula>AND($B645="Tender Received",$D645&lt;=(TODAY()+3))</formula>
    </cfRule>
    <cfRule type="expression" dxfId="4760" priority="6490" stopIfTrue="1">
      <formula>$B645="Tender Received"</formula>
    </cfRule>
  </conditionalFormatting>
  <conditionalFormatting sqref="L645">
    <cfRule type="expression" dxfId="4759" priority="6487" stopIfTrue="1">
      <formula>AND($B645="Tender Received",$D645&lt;=(TODAY()+3))</formula>
    </cfRule>
    <cfRule type="expression" dxfId="4758" priority="6488" stopIfTrue="1">
      <formula>$B645="Tender Received"</formula>
    </cfRule>
  </conditionalFormatting>
  <conditionalFormatting sqref="I645">
    <cfRule type="expression" dxfId="4757" priority="6485" stopIfTrue="1">
      <formula>AND($B645="Tender Received",$D645&lt;=(TODAY()+3))</formula>
    </cfRule>
    <cfRule type="expression" dxfId="4756" priority="6486" stopIfTrue="1">
      <formula>$B645="Tender Received"</formula>
    </cfRule>
  </conditionalFormatting>
  <conditionalFormatting sqref="L645">
    <cfRule type="expression" dxfId="4755" priority="6483" stopIfTrue="1">
      <formula>AND($B645="Tender Received",$D645&lt;=(TODAY()+3))</formula>
    </cfRule>
    <cfRule type="expression" dxfId="4754" priority="6484" stopIfTrue="1">
      <formula>$B645="Tender Received"</formula>
    </cfRule>
  </conditionalFormatting>
  <conditionalFormatting sqref="B646:K648 O646:R648">
    <cfRule type="expression" dxfId="4753" priority="6469" stopIfTrue="1">
      <formula>AND($B646="Tender Received",$D646&lt;=(TODAY()+3))</formula>
    </cfRule>
    <cfRule type="expression" dxfId="4752" priority="6470" stopIfTrue="1">
      <formula>$B646="Tender Received"</formula>
    </cfRule>
  </conditionalFormatting>
  <conditionalFormatting sqref="M646:N648">
    <cfRule type="expression" dxfId="4751" priority="6467" stopIfTrue="1">
      <formula>AND($B646="Tender Received",$D646&lt;=(TODAY()+3))</formula>
    </cfRule>
    <cfRule type="expression" dxfId="4750" priority="6468" stopIfTrue="1">
      <formula>$B646="Tender Received"</formula>
    </cfRule>
  </conditionalFormatting>
  <conditionalFormatting sqref="L647">
    <cfRule type="expression" dxfId="4749" priority="6465" stopIfTrue="1">
      <formula>AND($B647="Tender Received",$D647&lt;=(TODAY()+3))</formula>
    </cfRule>
    <cfRule type="expression" dxfId="4748" priority="6466" stopIfTrue="1">
      <formula>$B647="Tender Received"</formula>
    </cfRule>
  </conditionalFormatting>
  <conditionalFormatting sqref="C648">
    <cfRule type="expression" dxfId="4747" priority="6463" stopIfTrue="1">
      <formula>AND($B648="Tender Received",$D648&lt;=(TODAY()+3))</formula>
    </cfRule>
    <cfRule type="expression" dxfId="4746" priority="6464" stopIfTrue="1">
      <formula>$B648="Tender Received"</formula>
    </cfRule>
  </conditionalFormatting>
  <conditionalFormatting sqref="L648">
    <cfRule type="expression" dxfId="4745" priority="6461" stopIfTrue="1">
      <formula>AND($B648="Tender Received",$D648&lt;=(TODAY()+3))</formula>
    </cfRule>
    <cfRule type="expression" dxfId="4744" priority="6462" stopIfTrue="1">
      <formula>$B648="Tender Received"</formula>
    </cfRule>
  </conditionalFormatting>
  <conditionalFormatting sqref="L646">
    <cfRule type="expression" dxfId="4743" priority="6459" stopIfTrue="1">
      <formula>AND($B646="Tender Received",$D646&lt;=(TODAY()+3))</formula>
    </cfRule>
    <cfRule type="expression" dxfId="4742" priority="6460" stopIfTrue="1">
      <formula>$B646="Tender Received"</formula>
    </cfRule>
  </conditionalFormatting>
  <conditionalFormatting sqref="I648">
    <cfRule type="expression" dxfId="4741" priority="6457" stopIfTrue="1">
      <formula>AND($B648="Tender Received",$D648&lt;=(TODAY()+3))</formula>
    </cfRule>
    <cfRule type="expression" dxfId="4740" priority="6458" stopIfTrue="1">
      <formula>$B648="Tender Received"</formula>
    </cfRule>
  </conditionalFormatting>
  <conditionalFormatting sqref="L646">
    <cfRule type="expression" dxfId="4739" priority="6455" stopIfTrue="1">
      <formula>AND($B646="Tender Received",$D646&lt;=(TODAY()+3))</formula>
    </cfRule>
    <cfRule type="expression" dxfId="4738" priority="6456" stopIfTrue="1">
      <formula>$B646="Tender Received"</formula>
    </cfRule>
  </conditionalFormatting>
  <conditionalFormatting sqref="L648">
    <cfRule type="expression" dxfId="4737" priority="6453" stopIfTrue="1">
      <formula>AND($B648="Tender Received",$D648&lt;=(TODAY()+3))</formula>
    </cfRule>
    <cfRule type="expression" dxfId="4736" priority="6454" stopIfTrue="1">
      <formula>$B648="Tender Received"</formula>
    </cfRule>
  </conditionalFormatting>
  <conditionalFormatting sqref="L647">
    <cfRule type="expression" dxfId="4735" priority="6451" stopIfTrue="1">
      <formula>AND($B647="Tender Received",$D647&lt;=(TODAY()+3))</formula>
    </cfRule>
    <cfRule type="expression" dxfId="4734" priority="6452" stopIfTrue="1">
      <formula>$B647="Tender Received"</formula>
    </cfRule>
  </conditionalFormatting>
  <conditionalFormatting sqref="B649:R649">
    <cfRule type="expression" dxfId="4733" priority="6449" stopIfTrue="1">
      <formula>AND($B649="Tender Received",$D649&lt;=(TODAY()+3))</formula>
    </cfRule>
    <cfRule type="expression" dxfId="4732" priority="6450" stopIfTrue="1">
      <formula>$B649="Tender Received"</formula>
    </cfRule>
  </conditionalFormatting>
  <conditionalFormatting sqref="C649:D649">
    <cfRule type="expression" dxfId="4731" priority="6447" stopIfTrue="1">
      <formula>AND($B649="Tender Received",$D649&lt;=(TODAY()+3))</formula>
    </cfRule>
    <cfRule type="expression" dxfId="4730" priority="6448" stopIfTrue="1">
      <formula>$B649="Tender Received"</formula>
    </cfRule>
  </conditionalFormatting>
  <conditionalFormatting sqref="O649:R649 E649:K649">
    <cfRule type="expression" dxfId="4729" priority="6445" stopIfTrue="1">
      <formula>AND($B649="Tender Received",$D649&lt;=(TODAY()+3))</formula>
    </cfRule>
    <cfRule type="expression" dxfId="4728" priority="6446" stopIfTrue="1">
      <formula>$B649="Tender Received"</formula>
    </cfRule>
  </conditionalFormatting>
  <conditionalFormatting sqref="M649:N649">
    <cfRule type="expression" dxfId="4727" priority="6443" stopIfTrue="1">
      <formula>AND($B649="Tender Received",$D649&lt;=(TODAY()+3))</formula>
    </cfRule>
    <cfRule type="expression" dxfId="4726" priority="6444" stopIfTrue="1">
      <formula>$B649="Tender Received"</formula>
    </cfRule>
  </conditionalFormatting>
  <conditionalFormatting sqref="L649">
    <cfRule type="expression" dxfId="4725" priority="6441" stopIfTrue="1">
      <formula>AND($B649="Tender Received",$D649&lt;=(TODAY()+3))</formula>
    </cfRule>
    <cfRule type="expression" dxfId="4724" priority="6442" stopIfTrue="1">
      <formula>$B649="Tender Received"</formula>
    </cfRule>
  </conditionalFormatting>
  <conditionalFormatting sqref="I649">
    <cfRule type="expression" dxfId="4723" priority="6439" stopIfTrue="1">
      <formula>AND($B649="Tender Received",$D649&lt;=(TODAY()+3))</formula>
    </cfRule>
    <cfRule type="expression" dxfId="4722" priority="6440" stopIfTrue="1">
      <formula>$B649="Tender Received"</formula>
    </cfRule>
  </conditionalFormatting>
  <conditionalFormatting sqref="L649">
    <cfRule type="expression" dxfId="4721" priority="6437" stopIfTrue="1">
      <formula>AND($B649="Tender Received",$D649&lt;=(TODAY()+3))</formula>
    </cfRule>
    <cfRule type="expression" dxfId="4720" priority="6438" stopIfTrue="1">
      <formula>$B649="Tender Received"</formula>
    </cfRule>
  </conditionalFormatting>
  <conditionalFormatting sqref="O650:R651 B650:K651">
    <cfRule type="expression" dxfId="4719" priority="6425" stopIfTrue="1">
      <formula>AND($B650="Tender Received",$D650&lt;=(TODAY()+3))</formula>
    </cfRule>
    <cfRule type="expression" dxfId="4718" priority="6426" stopIfTrue="1">
      <formula>$B650="Tender Received"</formula>
    </cfRule>
  </conditionalFormatting>
  <conditionalFormatting sqref="M650:N651">
    <cfRule type="expression" dxfId="4717" priority="6423" stopIfTrue="1">
      <formula>AND($B650="Tender Received",$D650&lt;=(TODAY()+3))</formula>
    </cfRule>
    <cfRule type="expression" dxfId="4716" priority="6424" stopIfTrue="1">
      <formula>$B650="Tender Received"</formula>
    </cfRule>
  </conditionalFormatting>
  <conditionalFormatting sqref="L651">
    <cfRule type="expression" dxfId="4715" priority="6421" stopIfTrue="1">
      <formula>AND($B651="Tender Received",$D651&lt;=(TODAY()+3))</formula>
    </cfRule>
    <cfRule type="expression" dxfId="4714" priority="6422" stopIfTrue="1">
      <formula>$B651="Tender Received"</formula>
    </cfRule>
  </conditionalFormatting>
  <conditionalFormatting sqref="L650">
    <cfRule type="expression" dxfId="4713" priority="6419" stopIfTrue="1">
      <formula>AND($B650="Tender Received",$D650&lt;=(TODAY()+3))</formula>
    </cfRule>
    <cfRule type="expression" dxfId="4712" priority="6420" stopIfTrue="1">
      <formula>$B650="Tender Received"</formula>
    </cfRule>
  </conditionalFormatting>
  <conditionalFormatting sqref="L650">
    <cfRule type="expression" dxfId="4711" priority="6417" stopIfTrue="1">
      <formula>AND($B650="Tender Received",$D650&lt;=(TODAY()+3))</formula>
    </cfRule>
    <cfRule type="expression" dxfId="4710" priority="6418" stopIfTrue="1">
      <formula>$B650="Tender Received"</formula>
    </cfRule>
  </conditionalFormatting>
  <conditionalFormatting sqref="L651">
    <cfRule type="expression" dxfId="4709" priority="6415" stopIfTrue="1">
      <formula>AND($B651="Tender Received",$D651&lt;=(TODAY()+3))</formula>
    </cfRule>
    <cfRule type="expression" dxfId="4708" priority="6416" stopIfTrue="1">
      <formula>$B651="Tender Received"</formula>
    </cfRule>
  </conditionalFormatting>
  <conditionalFormatting sqref="O652:R652 B652:K652">
    <cfRule type="expression" dxfId="4707" priority="6413" stopIfTrue="1">
      <formula>AND($B652="Tender Received",$D652&lt;=(TODAY()+3))</formula>
    </cfRule>
    <cfRule type="expression" dxfId="4706" priority="6414" stopIfTrue="1">
      <formula>$B652="Tender Received"</formula>
    </cfRule>
  </conditionalFormatting>
  <conditionalFormatting sqref="M652:N652">
    <cfRule type="expression" dxfId="4705" priority="6411" stopIfTrue="1">
      <formula>AND($B652="Tender Received",$D652&lt;=(TODAY()+3))</formula>
    </cfRule>
    <cfRule type="expression" dxfId="4704" priority="6412" stopIfTrue="1">
      <formula>$B652="Tender Received"</formula>
    </cfRule>
  </conditionalFormatting>
  <conditionalFormatting sqref="C652">
    <cfRule type="expression" dxfId="4703" priority="6409" stopIfTrue="1">
      <formula>AND($B652="Tender Received",$D652&lt;=(TODAY()+3))</formula>
    </cfRule>
    <cfRule type="expression" dxfId="4702" priority="6410" stopIfTrue="1">
      <formula>$B652="Tender Received"</formula>
    </cfRule>
  </conditionalFormatting>
  <conditionalFormatting sqref="L652">
    <cfRule type="expression" dxfId="4701" priority="6407" stopIfTrue="1">
      <formula>AND($B652="Tender Received",$D652&lt;=(TODAY()+3))</formula>
    </cfRule>
    <cfRule type="expression" dxfId="4700" priority="6408" stopIfTrue="1">
      <formula>$B652="Tender Received"</formula>
    </cfRule>
  </conditionalFormatting>
  <conditionalFormatting sqref="I652">
    <cfRule type="expression" dxfId="4699" priority="6405" stopIfTrue="1">
      <formula>AND($B652="Tender Received",$D652&lt;=(TODAY()+3))</formula>
    </cfRule>
    <cfRule type="expression" dxfId="4698" priority="6406" stopIfTrue="1">
      <formula>$B652="Tender Received"</formula>
    </cfRule>
  </conditionalFormatting>
  <conditionalFormatting sqref="L652">
    <cfRule type="expression" dxfId="4697" priority="6403" stopIfTrue="1">
      <formula>AND($B652="Tender Received",$D652&lt;=(TODAY()+3))</formula>
    </cfRule>
    <cfRule type="expression" dxfId="4696" priority="6404" stopIfTrue="1">
      <formula>$B652="Tender Received"</formula>
    </cfRule>
  </conditionalFormatting>
  <conditionalFormatting sqref="J653:K653 C653:H653 O653:P653 R653">
    <cfRule type="expression" dxfId="4695" priority="6401" stopIfTrue="1">
      <formula>AND($B653="Tender Received",$D653&lt;=(TODAY()+3))</formula>
    </cfRule>
    <cfRule type="expression" dxfId="4694" priority="6402" stopIfTrue="1">
      <formula>$B653="Tender Received"</formula>
    </cfRule>
  </conditionalFormatting>
  <conditionalFormatting sqref="M653:N653">
    <cfRule type="expression" dxfId="4693" priority="6399" stopIfTrue="1">
      <formula>AND($B653="Tender Received",$D653&lt;=(TODAY()+3))</formula>
    </cfRule>
    <cfRule type="expression" dxfId="4692" priority="6400" stopIfTrue="1">
      <formula>$B653="Tender Received"</formula>
    </cfRule>
  </conditionalFormatting>
  <conditionalFormatting sqref="L653">
    <cfRule type="expression" dxfId="4691" priority="6397" stopIfTrue="1">
      <formula>AND($B653="Tender Received",$D653&lt;=(TODAY()+3))</formula>
    </cfRule>
    <cfRule type="expression" dxfId="4690" priority="6398" stopIfTrue="1">
      <formula>$B653="Tender Received"</formula>
    </cfRule>
  </conditionalFormatting>
  <conditionalFormatting sqref="L653">
    <cfRule type="expression" dxfId="4689" priority="6395" stopIfTrue="1">
      <formula>AND($B653="Tender Received",$D653&lt;=(TODAY()+3))</formula>
    </cfRule>
    <cfRule type="expression" dxfId="4688" priority="6396" stopIfTrue="1">
      <formula>$B653="Tender Received"</formula>
    </cfRule>
  </conditionalFormatting>
  <conditionalFormatting sqref="Q653">
    <cfRule type="expression" dxfId="4687" priority="6393" stopIfTrue="1">
      <formula>AND($B653="Tender Received",$D653&lt;=(TODAY()+3))</formula>
    </cfRule>
    <cfRule type="expression" dxfId="4686" priority="6394" stopIfTrue="1">
      <formula>$B653="Tender Received"</formula>
    </cfRule>
  </conditionalFormatting>
  <conditionalFormatting sqref="I653">
    <cfRule type="expression" dxfId="4685" priority="6391" stopIfTrue="1">
      <formula>AND($B653="Tender Received",$D653&lt;=(TODAY()+3))</formula>
    </cfRule>
    <cfRule type="expression" dxfId="4684" priority="6392" stopIfTrue="1">
      <formula>$B653="Tender Received"</formula>
    </cfRule>
  </conditionalFormatting>
  <conditionalFormatting sqref="H36">
    <cfRule type="expression" dxfId="4683" priority="6389" stopIfTrue="1">
      <formula>AND($B36="Tender Received",$D36&lt;=(TODAY()+3))</formula>
    </cfRule>
    <cfRule type="expression" dxfId="4682" priority="6390" stopIfTrue="1">
      <formula>$B36="Tender Received"</formula>
    </cfRule>
  </conditionalFormatting>
  <conditionalFormatting sqref="O654:R654 B654:H654 J654:K654">
    <cfRule type="expression" dxfId="4681" priority="6369" stopIfTrue="1">
      <formula>AND($B654="Tender Received",$D654&lt;=(TODAY()+3))</formula>
    </cfRule>
    <cfRule type="expression" dxfId="4680" priority="6370" stopIfTrue="1">
      <formula>$B654="Tender Received"</formula>
    </cfRule>
  </conditionalFormatting>
  <conditionalFormatting sqref="M654:N654">
    <cfRule type="expression" dxfId="4679" priority="6367" stopIfTrue="1">
      <formula>AND($B654="Tender Received",$D654&lt;=(TODAY()+3))</formula>
    </cfRule>
    <cfRule type="expression" dxfId="4678" priority="6368" stopIfTrue="1">
      <formula>$B654="Tender Received"</formula>
    </cfRule>
  </conditionalFormatting>
  <conditionalFormatting sqref="L654">
    <cfRule type="expression" dxfId="4677" priority="6365" stopIfTrue="1">
      <formula>AND($B654="Tender Received",$D654&lt;=(TODAY()+3))</formula>
    </cfRule>
    <cfRule type="expression" dxfId="4676" priority="6366" stopIfTrue="1">
      <formula>$B654="Tender Received"</formula>
    </cfRule>
  </conditionalFormatting>
  <conditionalFormatting sqref="L654">
    <cfRule type="expression" dxfId="4675" priority="6363" stopIfTrue="1">
      <formula>AND($B654="Tender Received",$D654&lt;=(TODAY()+3))</formula>
    </cfRule>
    <cfRule type="expression" dxfId="4674" priority="6364" stopIfTrue="1">
      <formula>$B654="Tender Received"</formula>
    </cfRule>
  </conditionalFormatting>
  <conditionalFormatting sqref="I654">
    <cfRule type="expression" dxfId="4673" priority="6361" stopIfTrue="1">
      <formula>AND($B654="Tender Received",$D654&lt;=(TODAY()+3))</formula>
    </cfRule>
    <cfRule type="expression" dxfId="4672" priority="6362" stopIfTrue="1">
      <formula>$B654="Tender Received"</formula>
    </cfRule>
  </conditionalFormatting>
  <conditionalFormatting sqref="O655:R657 B655:K657">
    <cfRule type="expression" dxfId="4671" priority="6359" stopIfTrue="1">
      <formula>AND($B655="Tender Received",$D655&lt;=(TODAY()+3))</formula>
    </cfRule>
    <cfRule type="expression" dxfId="4670" priority="6360" stopIfTrue="1">
      <formula>$B655="Tender Received"</formula>
    </cfRule>
  </conditionalFormatting>
  <conditionalFormatting sqref="M655:N657">
    <cfRule type="expression" dxfId="4669" priority="6357" stopIfTrue="1">
      <formula>AND($B655="Tender Received",$D655&lt;=(TODAY()+3))</formula>
    </cfRule>
    <cfRule type="expression" dxfId="4668" priority="6358" stopIfTrue="1">
      <formula>$B655="Tender Received"</formula>
    </cfRule>
  </conditionalFormatting>
  <conditionalFormatting sqref="L655">
    <cfRule type="expression" dxfId="4667" priority="6355" stopIfTrue="1">
      <formula>AND($B655="Tender Received",$D655&lt;=(TODAY()+3))</formula>
    </cfRule>
    <cfRule type="expression" dxfId="4666" priority="6356" stopIfTrue="1">
      <formula>$B655="Tender Received"</formula>
    </cfRule>
  </conditionalFormatting>
  <conditionalFormatting sqref="C656:C657">
    <cfRule type="expression" dxfId="4665" priority="6353" stopIfTrue="1">
      <formula>AND($B656="Tender Received",$D656&lt;=(TODAY()+3))</formula>
    </cfRule>
    <cfRule type="expression" dxfId="4664" priority="6354" stopIfTrue="1">
      <formula>$B656="Tender Received"</formula>
    </cfRule>
  </conditionalFormatting>
  <conditionalFormatting sqref="L656">
    <cfRule type="expression" dxfId="4663" priority="6351" stopIfTrue="1">
      <formula>AND($B656="Tender Received",$D656&lt;=(TODAY()+3))</formula>
    </cfRule>
    <cfRule type="expression" dxfId="4662" priority="6352" stopIfTrue="1">
      <formula>$B656="Tender Received"</formula>
    </cfRule>
  </conditionalFormatting>
  <conditionalFormatting sqref="L657">
    <cfRule type="expression" dxfId="4661" priority="6349" stopIfTrue="1">
      <formula>AND($B657="Tender Received",$D657&lt;=(TODAY()+3))</formula>
    </cfRule>
    <cfRule type="expression" dxfId="4660" priority="6350" stopIfTrue="1">
      <formula>$B657="Tender Received"</formula>
    </cfRule>
  </conditionalFormatting>
  <conditionalFormatting sqref="I656">
    <cfRule type="expression" dxfId="4659" priority="6347" stopIfTrue="1">
      <formula>AND($B656="Tender Received",$D656&lt;=(TODAY()+3))</formula>
    </cfRule>
    <cfRule type="expression" dxfId="4658" priority="6348" stopIfTrue="1">
      <formula>$B656="Tender Received"</formula>
    </cfRule>
  </conditionalFormatting>
  <conditionalFormatting sqref="I657">
    <cfRule type="expression" dxfId="4657" priority="6345" stopIfTrue="1">
      <formula>AND($B657="Tender Received",$D657&lt;=(TODAY()+3))</formula>
    </cfRule>
    <cfRule type="expression" dxfId="4656" priority="6346" stopIfTrue="1">
      <formula>$B657="Tender Received"</formula>
    </cfRule>
  </conditionalFormatting>
  <conditionalFormatting sqref="L657">
    <cfRule type="expression" dxfId="4655" priority="6343" stopIfTrue="1">
      <formula>AND($B657="Tender Received",$D657&lt;=(TODAY()+3))</formula>
    </cfRule>
    <cfRule type="expression" dxfId="4654" priority="6344" stopIfTrue="1">
      <formula>$B657="Tender Received"</formula>
    </cfRule>
  </conditionalFormatting>
  <conditionalFormatting sqref="L656">
    <cfRule type="expression" dxfId="4653" priority="6341" stopIfTrue="1">
      <formula>AND($B656="Tender Received",$D656&lt;=(TODAY()+3))</formula>
    </cfRule>
    <cfRule type="expression" dxfId="4652" priority="6342" stopIfTrue="1">
      <formula>$B656="Tender Received"</formula>
    </cfRule>
  </conditionalFormatting>
  <conditionalFormatting sqref="L655">
    <cfRule type="expression" dxfId="4651" priority="6339" stopIfTrue="1">
      <formula>AND($B655="Tender Received",$D655&lt;=(TODAY()+3))</formula>
    </cfRule>
    <cfRule type="expression" dxfId="4650" priority="6340" stopIfTrue="1">
      <formula>$B655="Tender Received"</formula>
    </cfRule>
  </conditionalFormatting>
  <conditionalFormatting sqref="C658:C660 D662:H663 O658:R663 B658:B663 D658:K661 I662 I663:K663 K662">
    <cfRule type="expression" dxfId="4649" priority="6335" stopIfTrue="1">
      <formula>AND($B658="Tender Received",$D658&lt;=(TODAY()+3))</formula>
    </cfRule>
    <cfRule type="expression" dxfId="4648" priority="6336" stopIfTrue="1">
      <formula>$B658="Tender Received"</formula>
    </cfRule>
  </conditionalFormatting>
  <conditionalFormatting sqref="I661">
    <cfRule type="expression" dxfId="4647" priority="6333" stopIfTrue="1">
      <formula>AND($B661="Tender Received",$D661&lt;=(TODAY()+3))</formula>
    </cfRule>
    <cfRule type="expression" dxfId="4646" priority="6334" stopIfTrue="1">
      <formula>$B661="Tender Received"</formula>
    </cfRule>
  </conditionalFormatting>
  <conditionalFormatting sqref="M658:N663">
    <cfRule type="expression" dxfId="4645" priority="6331" stopIfTrue="1">
      <formula>AND($B658="Tender Received",$D658&lt;=(TODAY()+3))</formula>
    </cfRule>
    <cfRule type="expression" dxfId="4644" priority="6332" stopIfTrue="1">
      <formula>$B658="Tender Received"</formula>
    </cfRule>
  </conditionalFormatting>
  <conditionalFormatting sqref="L663">
    <cfRule type="expression" dxfId="4643" priority="6329" stopIfTrue="1">
      <formula>AND($B663="Tender Received",$D663&lt;=(TODAY()+3))</formula>
    </cfRule>
    <cfRule type="expression" dxfId="4642" priority="6330" stopIfTrue="1">
      <formula>$B663="Tender Received"</formula>
    </cfRule>
  </conditionalFormatting>
  <conditionalFormatting sqref="L658">
    <cfRule type="expression" dxfId="4641" priority="6327" stopIfTrue="1">
      <formula>AND($B658="Tender Received",$D658&lt;=(TODAY()+3))</formula>
    </cfRule>
    <cfRule type="expression" dxfId="4640" priority="6328" stopIfTrue="1">
      <formula>$B658="Tender Received"</formula>
    </cfRule>
  </conditionalFormatting>
  <conditionalFormatting sqref="C659:C663">
    <cfRule type="expression" dxfId="4639" priority="6325" stopIfTrue="1">
      <formula>AND($B659="Tender Received",$D659&lt;=(TODAY()+3))</formula>
    </cfRule>
    <cfRule type="expression" dxfId="4638" priority="6326" stopIfTrue="1">
      <formula>$B659="Tender Received"</formula>
    </cfRule>
  </conditionalFormatting>
  <conditionalFormatting sqref="I662">
    <cfRule type="expression" dxfId="4637" priority="6323" stopIfTrue="1">
      <formula>AND($B662="Tender Received",$D662&lt;=(TODAY()+3))</formula>
    </cfRule>
    <cfRule type="expression" dxfId="4636" priority="6324" stopIfTrue="1">
      <formula>$B662="Tender Received"</formula>
    </cfRule>
  </conditionalFormatting>
  <conditionalFormatting sqref="L659">
    <cfRule type="expression" dxfId="4635" priority="6321" stopIfTrue="1">
      <formula>AND($B659="Tender Received",$D659&lt;=(TODAY()+3))</formula>
    </cfRule>
    <cfRule type="expression" dxfId="4634" priority="6322" stopIfTrue="1">
      <formula>$B659="Tender Received"</formula>
    </cfRule>
  </conditionalFormatting>
  <conditionalFormatting sqref="L662">
    <cfRule type="expression" dxfId="4633" priority="6319" stopIfTrue="1">
      <formula>AND($B662="Tender Received",$D662&lt;=(TODAY()+3))</formula>
    </cfRule>
    <cfRule type="expression" dxfId="4632" priority="6320" stopIfTrue="1">
      <formula>$B662="Tender Received"</formula>
    </cfRule>
  </conditionalFormatting>
  <conditionalFormatting sqref="L661">
    <cfRule type="expression" dxfId="4631" priority="6317" stopIfTrue="1">
      <formula>AND($B661="Tender Received",$D661&lt;=(TODAY()+3))</formula>
    </cfRule>
    <cfRule type="expression" dxfId="4630" priority="6318" stopIfTrue="1">
      <formula>$B661="Tender Received"</formula>
    </cfRule>
  </conditionalFormatting>
  <conditionalFormatting sqref="L660">
    <cfRule type="expression" dxfId="4629" priority="6315" stopIfTrue="1">
      <formula>AND($B660="Tender Received",$D660&lt;=(TODAY()+3))</formula>
    </cfRule>
    <cfRule type="expression" dxfId="4628" priority="6316" stopIfTrue="1">
      <formula>$B660="Tender Received"</formula>
    </cfRule>
  </conditionalFormatting>
  <conditionalFormatting sqref="I659">
    <cfRule type="expression" dxfId="4627" priority="6313" stopIfTrue="1">
      <formula>AND($B659="Tender Received",$D659&lt;=(TODAY()+3))</formula>
    </cfRule>
    <cfRule type="expression" dxfId="4626" priority="6314" stopIfTrue="1">
      <formula>$B659="Tender Received"</formula>
    </cfRule>
  </conditionalFormatting>
  <conditionalFormatting sqref="I663">
    <cfRule type="expression" dxfId="4625" priority="6311" stopIfTrue="1">
      <formula>AND($B663="Tender Received",$D663&lt;=(TODAY()+3))</formula>
    </cfRule>
    <cfRule type="expression" dxfId="4624" priority="6312" stopIfTrue="1">
      <formula>$B663="Tender Received"</formula>
    </cfRule>
  </conditionalFormatting>
  <conditionalFormatting sqref="L661">
    <cfRule type="expression" dxfId="4623" priority="6309" stopIfTrue="1">
      <formula>AND($B661="Tender Received",$D661&lt;=(TODAY()+3))</formula>
    </cfRule>
    <cfRule type="expression" dxfId="4622" priority="6310" stopIfTrue="1">
      <formula>$B661="Tender Received"</formula>
    </cfRule>
  </conditionalFormatting>
  <conditionalFormatting sqref="I660">
    <cfRule type="expression" dxfId="4621" priority="6307" stopIfTrue="1">
      <formula>AND($B660="Tender Received",$D660&lt;=(TODAY()+3))</formula>
    </cfRule>
    <cfRule type="expression" dxfId="4620" priority="6308" stopIfTrue="1">
      <formula>$B660="Tender Received"</formula>
    </cfRule>
  </conditionalFormatting>
  <conditionalFormatting sqref="L660">
    <cfRule type="expression" dxfId="4619" priority="6305" stopIfTrue="1">
      <formula>AND($B660="Tender Received",$D660&lt;=(TODAY()+3))</formula>
    </cfRule>
    <cfRule type="expression" dxfId="4618" priority="6306" stopIfTrue="1">
      <formula>$B660="Tender Received"</formula>
    </cfRule>
  </conditionalFormatting>
  <conditionalFormatting sqref="L659">
    <cfRule type="expression" dxfId="4617" priority="6303" stopIfTrue="1">
      <formula>AND($B659="Tender Received",$D659&lt;=(TODAY()+3))</formula>
    </cfRule>
    <cfRule type="expression" dxfId="4616" priority="6304" stopIfTrue="1">
      <formula>$B659="Tender Received"</formula>
    </cfRule>
  </conditionalFormatting>
  <conditionalFormatting sqref="L663">
    <cfRule type="expression" dxfId="4615" priority="6301" stopIfTrue="1">
      <formula>AND($B663="Tender Received",$D663&lt;=(TODAY()+3))</formula>
    </cfRule>
    <cfRule type="expression" dxfId="4614" priority="6302" stopIfTrue="1">
      <formula>$B663="Tender Received"</formula>
    </cfRule>
  </conditionalFormatting>
  <conditionalFormatting sqref="L658">
    <cfRule type="expression" dxfId="4613" priority="6299" stopIfTrue="1">
      <formula>AND($B658="Tender Received",$D658&lt;=(TODAY()+3))</formula>
    </cfRule>
    <cfRule type="expression" dxfId="4612" priority="6300" stopIfTrue="1">
      <formula>$B658="Tender Received"</formula>
    </cfRule>
  </conditionalFormatting>
  <conditionalFormatting sqref="L662">
    <cfRule type="expression" dxfId="4611" priority="6297" stopIfTrue="1">
      <formula>AND($B662="Tender Received",$D662&lt;=(TODAY()+3))</formula>
    </cfRule>
    <cfRule type="expression" dxfId="4610" priority="6298" stopIfTrue="1">
      <formula>$B662="Tender Received"</formula>
    </cfRule>
  </conditionalFormatting>
  <conditionalFormatting sqref="J662">
    <cfRule type="expression" dxfId="4609" priority="6295" stopIfTrue="1">
      <formula>AND($B662="Tender Received",$D662&lt;=(TODAY()+3))</formula>
    </cfRule>
    <cfRule type="expression" dxfId="4608" priority="6296" stopIfTrue="1">
      <formula>$B662="Tender Received"</formula>
    </cfRule>
  </conditionalFormatting>
  <conditionalFormatting sqref="B664 O664:R664 D664:K664">
    <cfRule type="expression" dxfId="4607" priority="6293" stopIfTrue="1">
      <formula>AND($B664="Tender Received",$D664&lt;=(TODAY()+3))</formula>
    </cfRule>
    <cfRule type="expression" dxfId="4606" priority="6294" stopIfTrue="1">
      <formula>$B664="Tender Received"</formula>
    </cfRule>
  </conditionalFormatting>
  <conditionalFormatting sqref="M664:N664">
    <cfRule type="expression" dxfId="4605" priority="6291" stopIfTrue="1">
      <formula>AND($B664="Tender Received",$D664&lt;=(TODAY()+3))</formula>
    </cfRule>
    <cfRule type="expression" dxfId="4604" priority="6292" stopIfTrue="1">
      <formula>$B664="Tender Received"</formula>
    </cfRule>
  </conditionalFormatting>
  <conditionalFormatting sqref="C664">
    <cfRule type="expression" dxfId="4603" priority="6289" stopIfTrue="1">
      <formula>AND($B664="Tender Received",$D664&lt;=(TODAY()+3))</formula>
    </cfRule>
    <cfRule type="expression" dxfId="4602" priority="6290" stopIfTrue="1">
      <formula>$B664="Tender Received"</formula>
    </cfRule>
  </conditionalFormatting>
  <conditionalFormatting sqref="L664">
    <cfRule type="expression" dxfId="4601" priority="6287" stopIfTrue="1">
      <formula>AND($B664="Tender Received",$D664&lt;=(TODAY()+3))</formula>
    </cfRule>
    <cfRule type="expression" dxfId="4600" priority="6288" stopIfTrue="1">
      <formula>$B664="Tender Received"</formula>
    </cfRule>
  </conditionalFormatting>
  <conditionalFormatting sqref="L664">
    <cfRule type="expression" dxfId="4599" priority="6285" stopIfTrue="1">
      <formula>AND($B664="Tender Received",$D664&lt;=(TODAY()+3))</formula>
    </cfRule>
    <cfRule type="expression" dxfId="4598" priority="6286" stopIfTrue="1">
      <formula>$B664="Tender Received"</formula>
    </cfRule>
  </conditionalFormatting>
  <conditionalFormatting sqref="O665:R665 B665:K665">
    <cfRule type="expression" dxfId="4597" priority="6281" stopIfTrue="1">
      <formula>AND($B665="Tender Received",$D665&lt;=(TODAY()+3))</formula>
    </cfRule>
    <cfRule type="expression" dxfId="4596" priority="6282" stopIfTrue="1">
      <formula>$B665="Tender Received"</formula>
    </cfRule>
  </conditionalFormatting>
  <conditionalFormatting sqref="M665:N665">
    <cfRule type="expression" dxfId="4595" priority="6279" stopIfTrue="1">
      <formula>AND($B665="Tender Received",$D665&lt;=(TODAY()+3))</formula>
    </cfRule>
    <cfRule type="expression" dxfId="4594" priority="6280" stopIfTrue="1">
      <formula>$B665="Tender Received"</formula>
    </cfRule>
  </conditionalFormatting>
  <conditionalFormatting sqref="C665">
    <cfRule type="expression" dxfId="4593" priority="6277" stopIfTrue="1">
      <formula>AND($B665="Tender Received",$D665&lt;=(TODAY()+3))</formula>
    </cfRule>
    <cfRule type="expression" dxfId="4592" priority="6278" stopIfTrue="1">
      <formula>$B665="Tender Received"</formula>
    </cfRule>
  </conditionalFormatting>
  <conditionalFormatting sqref="L665">
    <cfRule type="expression" dxfId="4591" priority="6275" stopIfTrue="1">
      <formula>AND($B665="Tender Received",$D665&lt;=(TODAY()+3))</formula>
    </cfRule>
    <cfRule type="expression" dxfId="4590" priority="6276" stopIfTrue="1">
      <formula>$B665="Tender Received"</formula>
    </cfRule>
  </conditionalFormatting>
  <conditionalFormatting sqref="I665">
    <cfRule type="expression" dxfId="4589" priority="6273" stopIfTrue="1">
      <formula>AND($B665="Tender Received",$D665&lt;=(TODAY()+3))</formula>
    </cfRule>
    <cfRule type="expression" dxfId="4588" priority="6274" stopIfTrue="1">
      <formula>$B665="Tender Received"</formula>
    </cfRule>
  </conditionalFormatting>
  <conditionalFormatting sqref="L665">
    <cfRule type="expression" dxfId="4587" priority="6271" stopIfTrue="1">
      <formula>AND($B665="Tender Received",$D665&lt;=(TODAY()+3))</formula>
    </cfRule>
    <cfRule type="expression" dxfId="4586" priority="6272" stopIfTrue="1">
      <formula>$B665="Tender Received"</formula>
    </cfRule>
  </conditionalFormatting>
  <conditionalFormatting sqref="D666:K666 B666 O666:R666">
    <cfRule type="expression" dxfId="4585" priority="6269" stopIfTrue="1">
      <formula>AND($B666="Tender Received",$D666&lt;=(TODAY()+3))</formula>
    </cfRule>
    <cfRule type="expression" dxfId="4584" priority="6270" stopIfTrue="1">
      <formula>$B666="Tender Received"</formula>
    </cfRule>
  </conditionalFormatting>
  <conditionalFormatting sqref="M666:N666">
    <cfRule type="expression" dxfId="4583" priority="6267" stopIfTrue="1">
      <formula>AND($B666="Tender Received",$D666&lt;=(TODAY()+3))</formula>
    </cfRule>
    <cfRule type="expression" dxfId="4582" priority="6268" stopIfTrue="1">
      <formula>$B666="Tender Received"</formula>
    </cfRule>
  </conditionalFormatting>
  <conditionalFormatting sqref="L666">
    <cfRule type="expression" dxfId="4581" priority="6265" stopIfTrue="1">
      <formula>AND($B666="Tender Received",$D666&lt;=(TODAY()+3))</formula>
    </cfRule>
    <cfRule type="expression" dxfId="4580" priority="6266" stopIfTrue="1">
      <formula>$B666="Tender Received"</formula>
    </cfRule>
  </conditionalFormatting>
  <conditionalFormatting sqref="C666">
    <cfRule type="expression" dxfId="4579" priority="6263" stopIfTrue="1">
      <formula>AND($B666="Tender Received",$D666&lt;=(TODAY()+3))</formula>
    </cfRule>
    <cfRule type="expression" dxfId="4578" priority="6264" stopIfTrue="1">
      <formula>$B666="Tender Received"</formula>
    </cfRule>
  </conditionalFormatting>
  <conditionalFormatting sqref="M666:R667 D666:K666 B667:K667">
    <cfRule type="expression" dxfId="4577" priority="6261" stopIfTrue="1">
      <formula>AND($B666="Tender Received",$D666&lt;=(TODAY()+3))</formula>
    </cfRule>
    <cfRule type="expression" dxfId="4576" priority="6262" stopIfTrue="1">
      <formula>$B666="Tender Received"</formula>
    </cfRule>
  </conditionalFormatting>
  <conditionalFormatting sqref="M667:N667">
    <cfRule type="expression" dxfId="4575" priority="6259" stopIfTrue="1">
      <formula>AND($B667="Tender Received",$D667&lt;=(TODAY()+3))</formula>
    </cfRule>
    <cfRule type="expression" dxfId="4574" priority="6260" stopIfTrue="1">
      <formula>$B667="Tender Received"</formula>
    </cfRule>
  </conditionalFormatting>
  <conditionalFormatting sqref="L667">
    <cfRule type="expression" dxfId="4573" priority="6257" stopIfTrue="1">
      <formula>AND($B667="Tender Received",$D667&lt;=(TODAY()+3))</formula>
    </cfRule>
    <cfRule type="expression" dxfId="4572" priority="6258" stopIfTrue="1">
      <formula>$B667="Tender Received"</formula>
    </cfRule>
  </conditionalFormatting>
  <conditionalFormatting sqref="C667">
    <cfRule type="expression" dxfId="4571" priority="6255" stopIfTrue="1">
      <formula>AND($B667="Tender Received",$D667&lt;=(TODAY()+3))</formula>
    </cfRule>
    <cfRule type="expression" dxfId="4570" priority="6256" stopIfTrue="1">
      <formula>$B667="Tender Received"</formula>
    </cfRule>
  </conditionalFormatting>
  <conditionalFormatting sqref="L667">
    <cfRule type="expression" dxfId="4569" priority="6253" stopIfTrue="1">
      <formula>AND($B667="Tender Received",$D667&lt;=(TODAY()+3))</formula>
    </cfRule>
    <cfRule type="expression" dxfId="4568" priority="6254" stopIfTrue="1">
      <formula>$B667="Tender Received"</formula>
    </cfRule>
  </conditionalFormatting>
  <conditionalFormatting sqref="C666">
    <cfRule type="expression" dxfId="4567" priority="6251" stopIfTrue="1">
      <formula>AND($B666="Tender Received",$D666&lt;=(TODAY()+3))</formula>
    </cfRule>
    <cfRule type="expression" dxfId="4566" priority="6252" stopIfTrue="1">
      <formula>$B666="Tender Received"</formula>
    </cfRule>
  </conditionalFormatting>
  <conditionalFormatting sqref="L666">
    <cfRule type="expression" dxfId="4565" priority="6249" stopIfTrue="1">
      <formula>AND($B666="Tender Received",$D666&lt;=(TODAY()+3))</formula>
    </cfRule>
    <cfRule type="expression" dxfId="4564" priority="6250" stopIfTrue="1">
      <formula>$B666="Tender Received"</formula>
    </cfRule>
  </conditionalFormatting>
  <conditionalFormatting sqref="B668 D668:I668 K668 O668:R668">
    <cfRule type="expression" dxfId="4563" priority="6239" stopIfTrue="1">
      <formula>AND($B668="Tender Received",$D668&lt;=(TODAY()+3))</formula>
    </cfRule>
    <cfRule type="expression" dxfId="4562" priority="6240" stopIfTrue="1">
      <formula>$B668="Tender Received"</formula>
    </cfRule>
  </conditionalFormatting>
  <conditionalFormatting sqref="M668:N668">
    <cfRule type="expression" dxfId="4561" priority="6237" stopIfTrue="1">
      <formula>AND($B668="Tender Received",$D668&lt;=(TODAY()+3))</formula>
    </cfRule>
    <cfRule type="expression" dxfId="4560" priority="6238" stopIfTrue="1">
      <formula>$B668="Tender Received"</formula>
    </cfRule>
  </conditionalFormatting>
  <conditionalFormatting sqref="C668">
    <cfRule type="expression" dxfId="4559" priority="6235" stopIfTrue="1">
      <formula>AND($B668="Tender Received",$D668&lt;=(TODAY()+3))</formula>
    </cfRule>
    <cfRule type="expression" dxfId="4558" priority="6236" stopIfTrue="1">
      <formula>$B668="Tender Received"</formula>
    </cfRule>
  </conditionalFormatting>
  <conditionalFormatting sqref="I668">
    <cfRule type="expression" dxfId="4557" priority="6233" stopIfTrue="1">
      <formula>AND($B668="Tender Received",$D668&lt;=(TODAY()+3))</formula>
    </cfRule>
    <cfRule type="expression" dxfId="4556" priority="6234" stopIfTrue="1">
      <formula>$B668="Tender Received"</formula>
    </cfRule>
  </conditionalFormatting>
  <conditionalFormatting sqref="L668">
    <cfRule type="expression" dxfId="4555" priority="6231" stopIfTrue="1">
      <formula>AND($B668="Tender Received",$D668&lt;=(TODAY()+3))</formula>
    </cfRule>
    <cfRule type="expression" dxfId="4554" priority="6232" stopIfTrue="1">
      <formula>$B668="Tender Received"</formula>
    </cfRule>
  </conditionalFormatting>
  <conditionalFormatting sqref="L668">
    <cfRule type="expression" dxfId="4553" priority="6229" stopIfTrue="1">
      <formula>AND($B668="Tender Received",$D668&lt;=(TODAY()+3))</formula>
    </cfRule>
    <cfRule type="expression" dxfId="4552" priority="6230" stopIfTrue="1">
      <formula>$B668="Tender Received"</formula>
    </cfRule>
  </conditionalFormatting>
  <conditionalFormatting sqref="J668">
    <cfRule type="expression" dxfId="4551" priority="6227" stopIfTrue="1">
      <formula>AND($B668="Tender Received",$D668&lt;=(TODAY()+3))</formula>
    </cfRule>
    <cfRule type="expression" dxfId="4550" priority="6228" stopIfTrue="1">
      <formula>$B668="Tender Received"</formula>
    </cfRule>
  </conditionalFormatting>
  <conditionalFormatting sqref="C669 B669:B670 D669:K670 O670:R670 O669:P669 R669">
    <cfRule type="expression" dxfId="4549" priority="6225" stopIfTrue="1">
      <formula>AND($B669="Tender Received",$D669&lt;=(TODAY()+3))</formula>
    </cfRule>
    <cfRule type="expression" dxfId="4548" priority="6226" stopIfTrue="1">
      <formula>$B669="Tender Received"</formula>
    </cfRule>
  </conditionalFormatting>
  <conditionalFormatting sqref="I670">
    <cfRule type="expression" dxfId="4547" priority="6223" stopIfTrue="1">
      <formula>AND($B670="Tender Received",$D670&lt;=(TODAY()+3))</formula>
    </cfRule>
    <cfRule type="expression" dxfId="4546" priority="6224" stopIfTrue="1">
      <formula>$B670="Tender Received"</formula>
    </cfRule>
  </conditionalFormatting>
  <conditionalFormatting sqref="M669:N670">
    <cfRule type="expression" dxfId="4545" priority="6221" stopIfTrue="1">
      <formula>AND($B669="Tender Received",$D669&lt;=(TODAY()+3))</formula>
    </cfRule>
    <cfRule type="expression" dxfId="4544" priority="6222" stopIfTrue="1">
      <formula>$B669="Tender Received"</formula>
    </cfRule>
  </conditionalFormatting>
  <conditionalFormatting sqref="C669:C670">
    <cfRule type="expression" dxfId="4543" priority="6219" stopIfTrue="1">
      <formula>AND($B669="Tender Received",$D669&lt;=(TODAY()+3))</formula>
    </cfRule>
    <cfRule type="expression" dxfId="4542" priority="6220" stopIfTrue="1">
      <formula>$B669="Tender Received"</formula>
    </cfRule>
  </conditionalFormatting>
  <conditionalFormatting sqref="L670">
    <cfRule type="expression" dxfId="4541" priority="6217" stopIfTrue="1">
      <formula>AND($B670="Tender Received",$D670&lt;=(TODAY()+3))</formula>
    </cfRule>
    <cfRule type="expression" dxfId="4540" priority="6218" stopIfTrue="1">
      <formula>$B670="Tender Received"</formula>
    </cfRule>
  </conditionalFormatting>
  <conditionalFormatting sqref="L669">
    <cfRule type="expression" dxfId="4539" priority="6215" stopIfTrue="1">
      <formula>AND($B669="Tender Received",$D669&lt;=(TODAY()+3))</formula>
    </cfRule>
    <cfRule type="expression" dxfId="4538" priority="6216" stopIfTrue="1">
      <formula>$B669="Tender Received"</formula>
    </cfRule>
  </conditionalFormatting>
  <conditionalFormatting sqref="L670">
    <cfRule type="expression" dxfId="4537" priority="6213" stopIfTrue="1">
      <formula>AND($B670="Tender Received",$D670&lt;=(TODAY()+3))</formula>
    </cfRule>
    <cfRule type="expression" dxfId="4536" priority="6214" stopIfTrue="1">
      <formula>$B670="Tender Received"</formula>
    </cfRule>
  </conditionalFormatting>
  <conditionalFormatting sqref="I669">
    <cfRule type="expression" dxfId="4535" priority="6211" stopIfTrue="1">
      <formula>AND($B669="Tender Received",$D669&lt;=(TODAY()+3))</formula>
    </cfRule>
    <cfRule type="expression" dxfId="4534" priority="6212" stopIfTrue="1">
      <formula>$B669="Tender Received"</formula>
    </cfRule>
  </conditionalFormatting>
  <conditionalFormatting sqref="L669">
    <cfRule type="expression" dxfId="4533" priority="6209" stopIfTrue="1">
      <formula>AND($B669="Tender Received",$D669&lt;=(TODAY()+3))</formula>
    </cfRule>
    <cfRule type="expression" dxfId="4532" priority="6210" stopIfTrue="1">
      <formula>$B669="Tender Received"</formula>
    </cfRule>
  </conditionalFormatting>
  <conditionalFormatting sqref="Q669">
    <cfRule type="expression" dxfId="4531" priority="6207" stopIfTrue="1">
      <formula>AND($B669="Tender Received",$D669&lt;=(TODAY()+3))</formula>
    </cfRule>
    <cfRule type="expression" dxfId="4530" priority="6208" stopIfTrue="1">
      <formula>$B669="Tender Received"</formula>
    </cfRule>
  </conditionalFormatting>
  <conditionalFormatting sqref="B671 D671:I671 K671 O671:R671">
    <cfRule type="expression" dxfId="4529" priority="6205" stopIfTrue="1">
      <formula>AND($B671="Tender Received",$D671&lt;=(TODAY()+3))</formula>
    </cfRule>
    <cfRule type="expression" dxfId="4528" priority="6206" stopIfTrue="1">
      <formula>$B671="Tender Received"</formula>
    </cfRule>
  </conditionalFormatting>
  <conditionalFormatting sqref="M671:N671">
    <cfRule type="expression" dxfId="4527" priority="6203" stopIfTrue="1">
      <formula>AND($B671="Tender Received",$D671&lt;=(TODAY()+3))</formula>
    </cfRule>
    <cfRule type="expression" dxfId="4526" priority="6204" stopIfTrue="1">
      <formula>$B671="Tender Received"</formula>
    </cfRule>
  </conditionalFormatting>
  <conditionalFormatting sqref="C671">
    <cfRule type="expression" dxfId="4525" priority="6201" stopIfTrue="1">
      <formula>AND($B671="Tender Received",$D671&lt;=(TODAY()+3))</formula>
    </cfRule>
    <cfRule type="expression" dxfId="4524" priority="6202" stopIfTrue="1">
      <formula>$B671="Tender Received"</formula>
    </cfRule>
  </conditionalFormatting>
  <conditionalFormatting sqref="I671">
    <cfRule type="expression" dxfId="4523" priority="6199" stopIfTrue="1">
      <formula>AND($B671="Tender Received",$D671&lt;=(TODAY()+3))</formula>
    </cfRule>
    <cfRule type="expression" dxfId="4522" priority="6200" stopIfTrue="1">
      <formula>$B671="Tender Received"</formula>
    </cfRule>
  </conditionalFormatting>
  <conditionalFormatting sqref="L671">
    <cfRule type="expression" dxfId="4521" priority="6197" stopIfTrue="1">
      <formula>AND($B671="Tender Received",$D671&lt;=(TODAY()+3))</formula>
    </cfRule>
    <cfRule type="expression" dxfId="4520" priority="6198" stopIfTrue="1">
      <formula>$B671="Tender Received"</formula>
    </cfRule>
  </conditionalFormatting>
  <conditionalFormatting sqref="L671">
    <cfRule type="expression" dxfId="4519" priority="6195" stopIfTrue="1">
      <formula>AND($B671="Tender Received",$D671&lt;=(TODAY()+3))</formula>
    </cfRule>
    <cfRule type="expression" dxfId="4518" priority="6196" stopIfTrue="1">
      <formula>$B671="Tender Received"</formula>
    </cfRule>
  </conditionalFormatting>
  <conditionalFormatting sqref="J671">
    <cfRule type="expression" dxfId="4517" priority="6193" stopIfTrue="1">
      <formula>AND($B671="Tender Received",$D671&lt;=(TODAY()+3))</formula>
    </cfRule>
    <cfRule type="expression" dxfId="4516" priority="6194" stopIfTrue="1">
      <formula>$B671="Tender Received"</formula>
    </cfRule>
  </conditionalFormatting>
  <conditionalFormatting sqref="B672:B675 D672:K672 I673 D673:H675 I674:K675 K673 O672:R675">
    <cfRule type="expression" dxfId="4515" priority="6187" stopIfTrue="1">
      <formula>AND($B672="Tender Received",$D672&lt;=(TODAY()+3))</formula>
    </cfRule>
    <cfRule type="expression" dxfId="4514" priority="6188" stopIfTrue="1">
      <formula>$B672="Tender Received"</formula>
    </cfRule>
  </conditionalFormatting>
  <conditionalFormatting sqref="I672">
    <cfRule type="expression" dxfId="4513" priority="6185" stopIfTrue="1">
      <formula>AND($B672="Tender Received",$D672&lt;=(TODAY()+3))</formula>
    </cfRule>
    <cfRule type="expression" dxfId="4512" priority="6186" stopIfTrue="1">
      <formula>$B672="Tender Received"</formula>
    </cfRule>
  </conditionalFormatting>
  <conditionalFormatting sqref="M672:N675">
    <cfRule type="expression" dxfId="4511" priority="6183" stopIfTrue="1">
      <formula>AND($B672="Tender Received",$D672&lt;=(TODAY()+3))</formula>
    </cfRule>
    <cfRule type="expression" dxfId="4510" priority="6184" stopIfTrue="1">
      <formula>$B672="Tender Received"</formula>
    </cfRule>
  </conditionalFormatting>
  <conditionalFormatting sqref="L674">
    <cfRule type="expression" dxfId="4509" priority="6181" stopIfTrue="1">
      <formula>AND($B674="Tender Received",$D674&lt;=(TODAY()+3))</formula>
    </cfRule>
    <cfRule type="expression" dxfId="4508" priority="6182" stopIfTrue="1">
      <formula>$B674="Tender Received"</formula>
    </cfRule>
  </conditionalFormatting>
  <conditionalFormatting sqref="C672:C674">
    <cfRule type="expression" dxfId="4507" priority="6179" stopIfTrue="1">
      <formula>AND($B672="Tender Received",$D672&lt;=(TODAY()+3))</formula>
    </cfRule>
    <cfRule type="expression" dxfId="4506" priority="6180" stopIfTrue="1">
      <formula>$B672="Tender Received"</formula>
    </cfRule>
  </conditionalFormatting>
  <conditionalFormatting sqref="I673">
    <cfRule type="expression" dxfId="4505" priority="6177" stopIfTrue="1">
      <formula>AND($B673="Tender Received",$D673&lt;=(TODAY()+3))</formula>
    </cfRule>
    <cfRule type="expression" dxfId="4504" priority="6178" stopIfTrue="1">
      <formula>$B673="Tender Received"</formula>
    </cfRule>
  </conditionalFormatting>
  <conditionalFormatting sqref="L673">
    <cfRule type="expression" dxfId="4503" priority="6175" stopIfTrue="1">
      <formula>AND($B673="Tender Received",$D673&lt;=(TODAY()+3))</formula>
    </cfRule>
    <cfRule type="expression" dxfId="4502" priority="6176" stopIfTrue="1">
      <formula>$B673="Tender Received"</formula>
    </cfRule>
  </conditionalFormatting>
  <conditionalFormatting sqref="L672">
    <cfRule type="expression" dxfId="4501" priority="6173" stopIfTrue="1">
      <formula>AND($B672="Tender Received",$D672&lt;=(TODAY()+3))</formula>
    </cfRule>
    <cfRule type="expression" dxfId="4500" priority="6174" stopIfTrue="1">
      <formula>$B672="Tender Received"</formula>
    </cfRule>
  </conditionalFormatting>
  <conditionalFormatting sqref="L675">
    <cfRule type="expression" dxfId="4499" priority="6171" stopIfTrue="1">
      <formula>AND($B675="Tender Received",$D675&lt;=(TODAY()+3))</formula>
    </cfRule>
    <cfRule type="expression" dxfId="4498" priority="6172" stopIfTrue="1">
      <formula>$B675="Tender Received"</formula>
    </cfRule>
  </conditionalFormatting>
  <conditionalFormatting sqref="I674">
    <cfRule type="expression" dxfId="4497" priority="6169" stopIfTrue="1">
      <formula>AND($B674="Tender Received",$D674&lt;=(TODAY()+3))</formula>
    </cfRule>
    <cfRule type="expression" dxfId="4496" priority="6170" stopIfTrue="1">
      <formula>$B674="Tender Received"</formula>
    </cfRule>
  </conditionalFormatting>
  <conditionalFormatting sqref="L672">
    <cfRule type="expression" dxfId="4495" priority="6167" stopIfTrue="1">
      <formula>AND($B672="Tender Received",$D672&lt;=(TODAY()+3))</formula>
    </cfRule>
    <cfRule type="expression" dxfId="4494" priority="6168" stopIfTrue="1">
      <formula>$B672="Tender Received"</formula>
    </cfRule>
  </conditionalFormatting>
  <conditionalFormatting sqref="L675">
    <cfRule type="expression" dxfId="4493" priority="6165" stopIfTrue="1">
      <formula>AND($B675="Tender Received",$D675&lt;=(TODAY()+3))</formula>
    </cfRule>
    <cfRule type="expression" dxfId="4492" priority="6166" stopIfTrue="1">
      <formula>$B675="Tender Received"</formula>
    </cfRule>
  </conditionalFormatting>
  <conditionalFormatting sqref="L674">
    <cfRule type="expression" dxfId="4491" priority="6163" stopIfTrue="1">
      <formula>AND($B674="Tender Received",$D674&lt;=(TODAY()+3))</formula>
    </cfRule>
    <cfRule type="expression" dxfId="4490" priority="6164" stopIfTrue="1">
      <formula>$B674="Tender Received"</formula>
    </cfRule>
  </conditionalFormatting>
  <conditionalFormatting sqref="L673">
    <cfRule type="expression" dxfId="4489" priority="6161" stopIfTrue="1">
      <formula>AND($B673="Tender Received",$D673&lt;=(TODAY()+3))</formula>
    </cfRule>
    <cfRule type="expression" dxfId="4488" priority="6162" stopIfTrue="1">
      <formula>$B673="Tender Received"</formula>
    </cfRule>
  </conditionalFormatting>
  <conditionalFormatting sqref="J673">
    <cfRule type="expression" dxfId="4487" priority="6159" stopIfTrue="1">
      <formula>AND($B673="Tender Received",$D673&lt;=(TODAY()+3))</formula>
    </cfRule>
    <cfRule type="expression" dxfId="4486" priority="6160" stopIfTrue="1">
      <formula>$B673="Tender Received"</formula>
    </cfRule>
  </conditionalFormatting>
  <conditionalFormatting sqref="C675">
    <cfRule type="expression" dxfId="4485" priority="6157" stopIfTrue="1">
      <formula>AND($B675="Tender Received",$D675&lt;=(TODAY()+3))</formula>
    </cfRule>
    <cfRule type="expression" dxfId="4484" priority="6158" stopIfTrue="1">
      <formula>$B675="Tender Received"</formula>
    </cfRule>
  </conditionalFormatting>
  <conditionalFormatting sqref="B677:K677 B676:G676 J676:K676 M677:R677 M676:P676 R676">
    <cfRule type="expression" dxfId="4483" priority="6151" stopIfTrue="1">
      <formula>AND($B676="Tender Received",$D676&lt;=(TODAY()+3))</formula>
    </cfRule>
    <cfRule type="expression" dxfId="4482" priority="6152" stopIfTrue="1">
      <formula>$B676="Tender Received"</formula>
    </cfRule>
  </conditionalFormatting>
  <conditionalFormatting sqref="M676:N676">
    <cfRule type="expression" dxfId="4481" priority="6149" stopIfTrue="1">
      <formula>AND($B676="Tender Received",$D676&lt;=(TODAY()+3))</formula>
    </cfRule>
    <cfRule type="expression" dxfId="4480" priority="6150" stopIfTrue="1">
      <formula>$B676="Tender Received"</formula>
    </cfRule>
  </conditionalFormatting>
  <conditionalFormatting sqref="L676">
    <cfRule type="expression" dxfId="4479" priority="6147" stopIfTrue="1">
      <formula>AND($B676="Tender Received",$D676&lt;=(TODAY()+3))</formula>
    </cfRule>
    <cfRule type="expression" dxfId="4478" priority="6148" stopIfTrue="1">
      <formula>$B676="Tender Received"</formula>
    </cfRule>
  </conditionalFormatting>
  <conditionalFormatting sqref="C676:C677">
    <cfRule type="expression" dxfId="4477" priority="6145" stopIfTrue="1">
      <formula>AND($B676="Tender Received",$D676&lt;=(TODAY()+3))</formula>
    </cfRule>
    <cfRule type="expression" dxfId="4476" priority="6146" stopIfTrue="1">
      <formula>$B676="Tender Received"</formula>
    </cfRule>
  </conditionalFormatting>
  <conditionalFormatting sqref="L677">
    <cfRule type="expression" dxfId="4475" priority="6143" stopIfTrue="1">
      <formula>AND($B677="Tender Received",$D677&lt;=(TODAY()+3))</formula>
    </cfRule>
    <cfRule type="expression" dxfId="4474" priority="6144" stopIfTrue="1">
      <formula>$B677="Tender Received"</formula>
    </cfRule>
  </conditionalFormatting>
  <conditionalFormatting sqref="L676:L677">
    <cfRule type="expression" dxfId="4473" priority="6141" stopIfTrue="1">
      <formula>AND($B676="Tender Received",$D676&lt;=(TODAY()+3))</formula>
    </cfRule>
    <cfRule type="expression" dxfId="4472" priority="6142" stopIfTrue="1">
      <formula>$B676="Tender Received"</formula>
    </cfRule>
  </conditionalFormatting>
  <conditionalFormatting sqref="H676:I676">
    <cfRule type="expression" dxfId="4471" priority="6139" stopIfTrue="1">
      <formula>AND($B676="Tender Received",$D676&lt;=(TODAY()+3))</formula>
    </cfRule>
    <cfRule type="expression" dxfId="4470" priority="6140" stopIfTrue="1">
      <formula>$B676="Tender Received"</formula>
    </cfRule>
  </conditionalFormatting>
  <conditionalFormatting sqref="Q676">
    <cfRule type="expression" dxfId="4469" priority="6137" stopIfTrue="1">
      <formula>AND($B676="Tender Received",$D676&lt;=(TODAY()+3))</formula>
    </cfRule>
    <cfRule type="expression" dxfId="4468" priority="6138" stopIfTrue="1">
      <formula>$B676="Tender Received"</formula>
    </cfRule>
  </conditionalFormatting>
  <conditionalFormatting sqref="J678:K678 D678:H678 B678 O678:R678">
    <cfRule type="expression" dxfId="4467" priority="6135" stopIfTrue="1">
      <formula>AND($B678="Tender Received",$D678&lt;=(TODAY()+3))</formula>
    </cfRule>
    <cfRule type="expression" dxfId="4466" priority="6136" stopIfTrue="1">
      <formula>$B678="Tender Received"</formula>
    </cfRule>
  </conditionalFormatting>
  <conditionalFormatting sqref="I678">
    <cfRule type="expression" dxfId="4465" priority="6133" stopIfTrue="1">
      <formula>AND($B678="Tender Received",$D678&lt;=(TODAY()+3))</formula>
    </cfRule>
    <cfRule type="expression" dxfId="4464" priority="6134" stopIfTrue="1">
      <formula>$B678="Tender Received"</formula>
    </cfRule>
  </conditionalFormatting>
  <conditionalFormatting sqref="M678:N678">
    <cfRule type="expression" dxfId="4463" priority="6131" stopIfTrue="1">
      <formula>AND($B678="Tender Received",$D678&lt;=(TODAY()+3))</formula>
    </cfRule>
    <cfRule type="expression" dxfId="4462" priority="6132" stopIfTrue="1">
      <formula>$B678="Tender Received"</formula>
    </cfRule>
  </conditionalFormatting>
  <conditionalFormatting sqref="C678">
    <cfRule type="expression" dxfId="4461" priority="6129" stopIfTrue="1">
      <formula>AND($B678="Tender Received",$D678&lt;=(TODAY()+3))</formula>
    </cfRule>
    <cfRule type="expression" dxfId="4460" priority="6130" stopIfTrue="1">
      <formula>$B678="Tender Received"</formula>
    </cfRule>
  </conditionalFormatting>
  <conditionalFormatting sqref="O678:R678 D678:K678">
    <cfRule type="expression" dxfId="4459" priority="6127" stopIfTrue="1">
      <formula>AND($B678="Tender Received",$D678&lt;=(TODAY()+3))</formula>
    </cfRule>
    <cfRule type="expression" dxfId="4458" priority="6128" stopIfTrue="1">
      <formula>$B678="Tender Received"</formula>
    </cfRule>
  </conditionalFormatting>
  <conditionalFormatting sqref="L678">
    <cfRule type="expression" dxfId="4457" priority="6125" stopIfTrue="1">
      <formula>AND($B678="Tender Received",$D678&lt;=(TODAY()+3))</formula>
    </cfRule>
    <cfRule type="expression" dxfId="4456" priority="6126" stopIfTrue="1">
      <formula>$B678="Tender Received"</formula>
    </cfRule>
  </conditionalFormatting>
  <conditionalFormatting sqref="M678:N678">
    <cfRule type="expression" dxfId="4455" priority="6123" stopIfTrue="1">
      <formula>AND($B678="Tender Received",$D678&lt;=(TODAY()+3))</formula>
    </cfRule>
    <cfRule type="expression" dxfId="4454" priority="6124" stopIfTrue="1">
      <formula>$B678="Tender Received"</formula>
    </cfRule>
  </conditionalFormatting>
  <conditionalFormatting sqref="L678">
    <cfRule type="expression" dxfId="4453" priority="6121" stopIfTrue="1">
      <formula>AND($B678="Tender Received",$D678&lt;=(TODAY()+3))</formula>
    </cfRule>
    <cfRule type="expression" dxfId="4452" priority="6122" stopIfTrue="1">
      <formula>$B678="Tender Received"</formula>
    </cfRule>
  </conditionalFormatting>
  <conditionalFormatting sqref="C678">
    <cfRule type="expression" dxfId="4451" priority="6119" stopIfTrue="1">
      <formula>AND($B678="Tender Received",$D678&lt;=(TODAY()+3))</formula>
    </cfRule>
    <cfRule type="expression" dxfId="4450" priority="6120" stopIfTrue="1">
      <formula>$B678="Tender Received"</formula>
    </cfRule>
  </conditionalFormatting>
  <conditionalFormatting sqref="B679:K680 O680:R680 O679:P679 R679">
    <cfRule type="expression" dxfId="4449" priority="6103" stopIfTrue="1">
      <formula>AND($B679="Tender Received",$D679&lt;=(TODAY()+3))</formula>
    </cfRule>
    <cfRule type="expression" dxfId="4448" priority="6104" stopIfTrue="1">
      <formula>$B679="Tender Received"</formula>
    </cfRule>
  </conditionalFormatting>
  <conditionalFormatting sqref="M679:N680">
    <cfRule type="expression" dxfId="4447" priority="6101" stopIfTrue="1">
      <formula>AND($B679="Tender Received",$D679&lt;=(TODAY()+3))</formula>
    </cfRule>
    <cfRule type="expression" dxfId="4446" priority="6102" stopIfTrue="1">
      <formula>$B679="Tender Received"</formula>
    </cfRule>
  </conditionalFormatting>
  <conditionalFormatting sqref="L680">
    <cfRule type="expression" dxfId="4445" priority="6099" stopIfTrue="1">
      <formula>AND($B680="Tender Received",$D680&lt;=(TODAY()+3))</formula>
    </cfRule>
    <cfRule type="expression" dxfId="4444" priority="6100" stopIfTrue="1">
      <formula>$B680="Tender Received"</formula>
    </cfRule>
  </conditionalFormatting>
  <conditionalFormatting sqref="L679">
    <cfRule type="expression" dxfId="4443" priority="6097" stopIfTrue="1">
      <formula>AND($B679="Tender Received",$D679&lt;=(TODAY()+3))</formula>
    </cfRule>
    <cfRule type="expression" dxfId="4442" priority="6098" stopIfTrue="1">
      <formula>$B679="Tender Received"</formula>
    </cfRule>
  </conditionalFormatting>
  <conditionalFormatting sqref="L679">
    <cfRule type="expression" dxfId="4441" priority="6095" stopIfTrue="1">
      <formula>AND($B679="Tender Received",$D679&lt;=(TODAY()+3))</formula>
    </cfRule>
    <cfRule type="expression" dxfId="4440" priority="6096" stopIfTrue="1">
      <formula>$B679="Tender Received"</formula>
    </cfRule>
  </conditionalFormatting>
  <conditionalFormatting sqref="L680">
    <cfRule type="expression" dxfId="4439" priority="6093" stopIfTrue="1">
      <formula>AND($B680="Tender Received",$D680&lt;=(TODAY()+3))</formula>
    </cfRule>
    <cfRule type="expression" dxfId="4438" priority="6094" stopIfTrue="1">
      <formula>$B680="Tender Received"</formula>
    </cfRule>
  </conditionalFormatting>
  <conditionalFormatting sqref="Q679">
    <cfRule type="expression" dxfId="4437" priority="6091" stopIfTrue="1">
      <formula>AND($B679="Tender Received",$D679&lt;=(TODAY()+3))</formula>
    </cfRule>
    <cfRule type="expression" dxfId="4436" priority="6092" stopIfTrue="1">
      <formula>$B679="Tender Received"</formula>
    </cfRule>
  </conditionalFormatting>
  <conditionalFormatting sqref="B681:K681 O681:P681 R681">
    <cfRule type="expression" dxfId="4435" priority="6089" stopIfTrue="1">
      <formula>AND($B681="Tender Received",$D681&lt;=(TODAY()+3))</formula>
    </cfRule>
    <cfRule type="expression" dxfId="4434" priority="6090" stopIfTrue="1">
      <formula>$B681="Tender Received"</formula>
    </cfRule>
  </conditionalFormatting>
  <conditionalFormatting sqref="M681:N681">
    <cfRule type="expression" dxfId="4433" priority="6087" stopIfTrue="1">
      <formula>AND($B681="Tender Received",$D681&lt;=(TODAY()+3))</formula>
    </cfRule>
    <cfRule type="expression" dxfId="4432" priority="6088" stopIfTrue="1">
      <formula>$B681="Tender Received"</formula>
    </cfRule>
  </conditionalFormatting>
  <conditionalFormatting sqref="C681">
    <cfRule type="expression" dxfId="4431" priority="6085" stopIfTrue="1">
      <formula>AND($B681="Tender Received",$D681&lt;=(TODAY()+3))</formula>
    </cfRule>
    <cfRule type="expression" dxfId="4430" priority="6086" stopIfTrue="1">
      <formula>$B681="Tender Received"</formula>
    </cfRule>
  </conditionalFormatting>
  <conditionalFormatting sqref="L681">
    <cfRule type="expression" dxfId="4429" priority="6083" stopIfTrue="1">
      <formula>AND($B681="Tender Received",$D681&lt;=(TODAY()+3))</formula>
    </cfRule>
    <cfRule type="expression" dxfId="4428" priority="6084" stopIfTrue="1">
      <formula>$B681="Tender Received"</formula>
    </cfRule>
  </conditionalFormatting>
  <conditionalFormatting sqref="I681">
    <cfRule type="expression" dxfId="4427" priority="6081" stopIfTrue="1">
      <formula>AND($B681="Tender Received",$D681&lt;=(TODAY()+3))</formula>
    </cfRule>
    <cfRule type="expression" dxfId="4426" priority="6082" stopIfTrue="1">
      <formula>$B681="Tender Received"</formula>
    </cfRule>
  </conditionalFormatting>
  <conditionalFormatting sqref="L681">
    <cfRule type="expression" dxfId="4425" priority="6079" stopIfTrue="1">
      <formula>AND($B681="Tender Received",$D681&lt;=(TODAY()+3))</formula>
    </cfRule>
    <cfRule type="expression" dxfId="4424" priority="6080" stopIfTrue="1">
      <formula>$B681="Tender Received"</formula>
    </cfRule>
  </conditionalFormatting>
  <conditionalFormatting sqref="Q681">
    <cfRule type="expression" dxfId="4423" priority="6077" stopIfTrue="1">
      <formula>AND($B681="Tender Received",$D681&lt;=(TODAY()+3))</formula>
    </cfRule>
    <cfRule type="expression" dxfId="4422" priority="6078" stopIfTrue="1">
      <formula>$B681="Tender Received"</formula>
    </cfRule>
  </conditionalFormatting>
  <conditionalFormatting sqref="J684:K684 D685:K685 D684:H684 B682:B685 D682:K683 O682:R685">
    <cfRule type="expression" dxfId="4421" priority="6075" stopIfTrue="1">
      <formula>AND($B682="Tender Received",$D682&lt;=(TODAY()+3))</formula>
    </cfRule>
    <cfRule type="expression" dxfId="4420" priority="6076" stopIfTrue="1">
      <formula>$B682="Tender Received"</formula>
    </cfRule>
  </conditionalFormatting>
  <conditionalFormatting sqref="I684">
    <cfRule type="expression" dxfId="4419" priority="6073" stopIfTrue="1">
      <formula>AND($B684="Tender Received",$D684&lt;=(TODAY()+3))</formula>
    </cfRule>
    <cfRule type="expression" dxfId="4418" priority="6074" stopIfTrue="1">
      <formula>$B684="Tender Received"</formula>
    </cfRule>
  </conditionalFormatting>
  <conditionalFormatting sqref="M682:N685">
    <cfRule type="expression" dxfId="4417" priority="6071" stopIfTrue="1">
      <formula>AND($B682="Tender Received",$D682&lt;=(TODAY()+3))</formula>
    </cfRule>
    <cfRule type="expression" dxfId="4416" priority="6072" stopIfTrue="1">
      <formula>$B682="Tender Received"</formula>
    </cfRule>
  </conditionalFormatting>
  <conditionalFormatting sqref="L682">
    <cfRule type="expression" dxfId="4415" priority="6069" stopIfTrue="1">
      <formula>AND($B682="Tender Received",$D682&lt;=(TODAY()+3))</formula>
    </cfRule>
    <cfRule type="expression" dxfId="4414" priority="6070" stopIfTrue="1">
      <formula>$B682="Tender Received"</formula>
    </cfRule>
  </conditionalFormatting>
  <conditionalFormatting sqref="L685">
    <cfRule type="expression" dxfId="4413" priority="6067" stopIfTrue="1">
      <formula>AND($B685="Tender Received",$D685&lt;=(TODAY()+3))</formula>
    </cfRule>
    <cfRule type="expression" dxfId="4412" priority="6068" stopIfTrue="1">
      <formula>$B685="Tender Received"</formula>
    </cfRule>
  </conditionalFormatting>
  <conditionalFormatting sqref="C682 C684:C685">
    <cfRule type="expression" dxfId="4411" priority="6065" stopIfTrue="1">
      <formula>AND($B682="Tender Received",$D682&lt;=(TODAY()+3))</formula>
    </cfRule>
    <cfRule type="expression" dxfId="4410" priority="6066" stopIfTrue="1">
      <formula>$B682="Tender Received"</formula>
    </cfRule>
  </conditionalFormatting>
  <conditionalFormatting sqref="M685:R685 O684:R684 D684:K685 C688:R688 C687:K687 B687:B688 B686:G686 J686:K686 M687:R687 M686:P686 R686">
    <cfRule type="expression" dxfId="4409" priority="6063" stopIfTrue="1">
      <formula>AND($B684="Tender Received",$D684&lt;=(TODAY()+3))</formula>
    </cfRule>
    <cfRule type="expression" dxfId="4408" priority="6064" stopIfTrue="1">
      <formula>$B684="Tender Received"</formula>
    </cfRule>
  </conditionalFormatting>
  <conditionalFormatting sqref="M686:N686">
    <cfRule type="expression" dxfId="4407" priority="6061" stopIfTrue="1">
      <formula>AND($B686="Tender Received",$D686&lt;=(TODAY()+3))</formula>
    </cfRule>
    <cfRule type="expression" dxfId="4406" priority="6062" stopIfTrue="1">
      <formula>$B686="Tender Received"</formula>
    </cfRule>
  </conditionalFormatting>
  <conditionalFormatting sqref="L688">
    <cfRule type="expression" dxfId="4405" priority="6059" stopIfTrue="1">
      <formula>AND($B688="Tender Received",$D688&lt;=(TODAY()+3))</formula>
    </cfRule>
    <cfRule type="expression" dxfId="4404" priority="6060" stopIfTrue="1">
      <formula>$B688="Tender Received"</formula>
    </cfRule>
  </conditionalFormatting>
  <conditionalFormatting sqref="L686">
    <cfRule type="expression" dxfId="4403" priority="6057" stopIfTrue="1">
      <formula>AND($B686="Tender Received",$D686&lt;=(TODAY()+3))</formula>
    </cfRule>
    <cfRule type="expression" dxfId="4402" priority="6058" stopIfTrue="1">
      <formula>$B686="Tender Received"</formula>
    </cfRule>
  </conditionalFormatting>
  <conditionalFormatting sqref="C686:C687">
    <cfRule type="expression" dxfId="4401" priority="6055" stopIfTrue="1">
      <formula>AND($B686="Tender Received",$D686&lt;=(TODAY()+3))</formula>
    </cfRule>
    <cfRule type="expression" dxfId="4400" priority="6056" stopIfTrue="1">
      <formula>$B686="Tender Received"</formula>
    </cfRule>
  </conditionalFormatting>
  <conditionalFormatting sqref="L684">
    <cfRule type="expression" dxfId="4399" priority="6053" stopIfTrue="1">
      <formula>AND($B684="Tender Received",$D684&lt;=(TODAY()+3))</formula>
    </cfRule>
    <cfRule type="expression" dxfId="4398" priority="6054" stopIfTrue="1">
      <formula>$B684="Tender Received"</formula>
    </cfRule>
  </conditionalFormatting>
  <conditionalFormatting sqref="L683">
    <cfRule type="expression" dxfId="4397" priority="6051" stopIfTrue="1">
      <formula>AND($B683="Tender Received",$D683&lt;=(TODAY()+3))</formula>
    </cfRule>
    <cfRule type="expression" dxfId="4396" priority="6052" stopIfTrue="1">
      <formula>$B683="Tender Received"</formula>
    </cfRule>
  </conditionalFormatting>
  <conditionalFormatting sqref="L687">
    <cfRule type="expression" dxfId="4395" priority="6049" stopIfTrue="1">
      <formula>AND($B687="Tender Received",$D687&lt;=(TODAY()+3))</formula>
    </cfRule>
    <cfRule type="expression" dxfId="4394" priority="6050" stopIfTrue="1">
      <formula>$B687="Tender Received"</formula>
    </cfRule>
  </conditionalFormatting>
  <conditionalFormatting sqref="I682">
    <cfRule type="expression" dxfId="4393" priority="6047" stopIfTrue="1">
      <formula>AND($B682="Tender Received",$D682&lt;=(TODAY()+3))</formula>
    </cfRule>
    <cfRule type="expression" dxfId="4392" priority="6048" stopIfTrue="1">
      <formula>$B682="Tender Received"</formula>
    </cfRule>
  </conditionalFormatting>
  <conditionalFormatting sqref="L683">
    <cfRule type="expression" dxfId="4391" priority="6045" stopIfTrue="1">
      <formula>AND($B683="Tender Received",$D683&lt;=(TODAY()+3))</formula>
    </cfRule>
    <cfRule type="expression" dxfId="4390" priority="6046" stopIfTrue="1">
      <formula>$B683="Tender Received"</formula>
    </cfRule>
  </conditionalFormatting>
  <conditionalFormatting sqref="M684:N684">
    <cfRule type="expression" dxfId="4389" priority="6043" stopIfTrue="1">
      <formula>AND($B684="Tender Received",$D684&lt;=(TODAY()+3))</formula>
    </cfRule>
    <cfRule type="expression" dxfId="4388" priority="6044" stopIfTrue="1">
      <formula>$B684="Tender Received"</formula>
    </cfRule>
  </conditionalFormatting>
  <conditionalFormatting sqref="L686:L687">
    <cfRule type="expression" dxfId="4387" priority="6041" stopIfTrue="1">
      <formula>AND($B686="Tender Received",$D686&lt;=(TODAY()+3))</formula>
    </cfRule>
    <cfRule type="expression" dxfId="4386" priority="6042" stopIfTrue="1">
      <formula>$B686="Tender Received"</formula>
    </cfRule>
  </conditionalFormatting>
  <conditionalFormatting sqref="L684">
    <cfRule type="expression" dxfId="4385" priority="6039" stopIfTrue="1">
      <formula>AND($B684="Tender Received",$D684&lt;=(TODAY()+3))</formula>
    </cfRule>
    <cfRule type="expression" dxfId="4384" priority="6040" stopIfTrue="1">
      <formula>$B684="Tender Received"</formula>
    </cfRule>
  </conditionalFormatting>
  <conditionalFormatting sqref="C684:C685">
    <cfRule type="expression" dxfId="4383" priority="6037" stopIfTrue="1">
      <formula>AND($B684="Tender Received",$D684&lt;=(TODAY()+3))</formula>
    </cfRule>
    <cfRule type="expression" dxfId="4382" priority="6038" stopIfTrue="1">
      <formula>$B684="Tender Received"</formula>
    </cfRule>
  </conditionalFormatting>
  <conditionalFormatting sqref="L682">
    <cfRule type="expression" dxfId="4381" priority="6035" stopIfTrue="1">
      <formula>AND($B682="Tender Received",$D682&lt;=(TODAY()+3))</formula>
    </cfRule>
    <cfRule type="expression" dxfId="4380" priority="6036" stopIfTrue="1">
      <formula>$B682="Tender Received"</formula>
    </cfRule>
  </conditionalFormatting>
  <conditionalFormatting sqref="L685">
    <cfRule type="expression" dxfId="4379" priority="6033" stopIfTrue="1">
      <formula>AND($B685="Tender Received",$D685&lt;=(TODAY()+3))</formula>
    </cfRule>
    <cfRule type="expression" dxfId="4378" priority="6034" stopIfTrue="1">
      <formula>$B685="Tender Received"</formula>
    </cfRule>
  </conditionalFormatting>
  <conditionalFormatting sqref="C683">
    <cfRule type="expression" dxfId="4377" priority="6031" stopIfTrue="1">
      <formula>AND($B683="Tender Received",$D683&lt;=(TODAY()+3))</formula>
    </cfRule>
    <cfRule type="expression" dxfId="4376" priority="6032" stopIfTrue="1">
      <formula>$B683="Tender Received"</formula>
    </cfRule>
  </conditionalFormatting>
  <conditionalFormatting sqref="H686:I686">
    <cfRule type="expression" dxfId="4375" priority="6029" stopIfTrue="1">
      <formula>AND($B686="Tender Received",$D686&lt;=(TODAY()+3))</formula>
    </cfRule>
    <cfRule type="expression" dxfId="4374" priority="6030" stopIfTrue="1">
      <formula>$B686="Tender Received"</formula>
    </cfRule>
  </conditionalFormatting>
  <conditionalFormatting sqref="Q686">
    <cfRule type="expression" dxfId="4373" priority="6027" stopIfTrue="1">
      <formula>AND($B686="Tender Received",$D686&lt;=(TODAY()+3))</formula>
    </cfRule>
    <cfRule type="expression" dxfId="4372" priority="6028" stopIfTrue="1">
      <formula>$B686="Tender Received"</formula>
    </cfRule>
  </conditionalFormatting>
  <conditionalFormatting sqref="C691:R691 C690:K690 B690:B693 B689:G689 J689:K689 M690:R690 M689:P689 R689">
    <cfRule type="expression" dxfId="4371" priority="6003" stopIfTrue="1">
      <formula>AND($B689="Tender Received",$D689&lt;=(TODAY()+3))</formula>
    </cfRule>
    <cfRule type="expression" dxfId="4370" priority="6004" stopIfTrue="1">
      <formula>$B689="Tender Received"</formula>
    </cfRule>
  </conditionalFormatting>
  <conditionalFormatting sqref="M689:N689">
    <cfRule type="expression" dxfId="4369" priority="6001" stopIfTrue="1">
      <formula>AND($B689="Tender Received",$D689&lt;=(TODAY()+3))</formula>
    </cfRule>
    <cfRule type="expression" dxfId="4368" priority="6002" stopIfTrue="1">
      <formula>$B689="Tender Received"</formula>
    </cfRule>
  </conditionalFormatting>
  <conditionalFormatting sqref="L691">
    <cfRule type="expression" dxfId="4367" priority="5999" stopIfTrue="1">
      <formula>AND($B691="Tender Received",$D691&lt;=(TODAY()+3))</formula>
    </cfRule>
    <cfRule type="expression" dxfId="4366" priority="6000" stopIfTrue="1">
      <formula>$B691="Tender Received"</formula>
    </cfRule>
  </conditionalFormatting>
  <conditionalFormatting sqref="L689">
    <cfRule type="expression" dxfId="4365" priority="5997" stopIfTrue="1">
      <formula>AND($B689="Tender Received",$D689&lt;=(TODAY()+3))</formula>
    </cfRule>
    <cfRule type="expression" dxfId="4364" priority="5998" stopIfTrue="1">
      <formula>$B689="Tender Received"</formula>
    </cfRule>
  </conditionalFormatting>
  <conditionalFormatting sqref="C689:C690">
    <cfRule type="expression" dxfId="4363" priority="5995" stopIfTrue="1">
      <formula>AND($B689="Tender Received",$D689&lt;=(TODAY()+3))</formula>
    </cfRule>
    <cfRule type="expression" dxfId="4362" priority="5996" stopIfTrue="1">
      <formula>$B689="Tender Received"</formula>
    </cfRule>
  </conditionalFormatting>
  <conditionalFormatting sqref="L690">
    <cfRule type="expression" dxfId="4361" priority="5993" stopIfTrue="1">
      <formula>AND($B690="Tender Received",$D690&lt;=(TODAY()+3))</formula>
    </cfRule>
    <cfRule type="expression" dxfId="4360" priority="5994" stopIfTrue="1">
      <formula>$B690="Tender Received"</formula>
    </cfRule>
  </conditionalFormatting>
  <conditionalFormatting sqref="L689:L690">
    <cfRule type="expression" dxfId="4359" priority="5991" stopIfTrue="1">
      <formula>AND($B689="Tender Received",$D689&lt;=(TODAY()+3))</formula>
    </cfRule>
    <cfRule type="expression" dxfId="4358" priority="5992" stopIfTrue="1">
      <formula>$B689="Tender Received"</formula>
    </cfRule>
  </conditionalFormatting>
  <conditionalFormatting sqref="C692:H692 J692:K692 M692:R692">
    <cfRule type="expression" dxfId="4357" priority="5989" stopIfTrue="1">
      <formula>AND($B692="Tender Received",$D692&lt;=(TODAY()+3))</formula>
    </cfRule>
    <cfRule type="expression" dxfId="4356" priority="5990" stopIfTrue="1">
      <formula>$B692="Tender Received"</formula>
    </cfRule>
  </conditionalFormatting>
  <conditionalFormatting sqref="L692">
    <cfRule type="expression" dxfId="4355" priority="5987" stopIfTrue="1">
      <formula>AND($B692="Tender Received",$D692&lt;=(TODAY()+3))</formula>
    </cfRule>
    <cfRule type="expression" dxfId="4354" priority="5988" stopIfTrue="1">
      <formula>$B692="Tender Received"</formula>
    </cfRule>
  </conditionalFormatting>
  <conditionalFormatting sqref="I692">
    <cfRule type="expression" dxfId="4353" priority="5985" stopIfTrue="1">
      <formula>AND($B692="Tender Received",$D692&lt;=(TODAY()+3))</formula>
    </cfRule>
    <cfRule type="expression" dxfId="4352" priority="5986" stopIfTrue="1">
      <formula>$B692="Tender Received"</formula>
    </cfRule>
  </conditionalFormatting>
  <conditionalFormatting sqref="J693:M693 C693:G693 Q693:R693">
    <cfRule type="expression" dxfId="4351" priority="5983" stopIfTrue="1">
      <formula>AND($B693="Tender Received",$D693&lt;=(TODAY()+3))</formula>
    </cfRule>
    <cfRule type="expression" dxfId="4350" priority="5984" stopIfTrue="1">
      <formula>$B693="Tender Received"</formula>
    </cfRule>
  </conditionalFormatting>
  <conditionalFormatting sqref="I693">
    <cfRule type="expression" dxfId="4349" priority="5981" stopIfTrue="1">
      <formula>AND($B693="Tender Received",$D693&lt;=(TODAY()+3))</formula>
    </cfRule>
    <cfRule type="expression" dxfId="4348" priority="5982" stopIfTrue="1">
      <formula>$B693="Tender Received"</formula>
    </cfRule>
  </conditionalFormatting>
  <conditionalFormatting sqref="N693:P693">
    <cfRule type="expression" dxfId="4347" priority="5979" stopIfTrue="1">
      <formula>AND($B693="Tender Received",$D693&lt;=(TODAY()+3))</formula>
    </cfRule>
    <cfRule type="expression" dxfId="4346" priority="5980" stopIfTrue="1">
      <formula>$B693="Tender Received"</formula>
    </cfRule>
  </conditionalFormatting>
  <conditionalFormatting sqref="H689:I689">
    <cfRule type="expression" dxfId="4345" priority="5977" stopIfTrue="1">
      <formula>AND($B689="Tender Received",$D689&lt;=(TODAY()+3))</formula>
    </cfRule>
    <cfRule type="expression" dxfId="4344" priority="5978" stopIfTrue="1">
      <formula>$B689="Tender Received"</formula>
    </cfRule>
  </conditionalFormatting>
  <conditionalFormatting sqref="Q689">
    <cfRule type="expression" dxfId="4343" priority="5975" stopIfTrue="1">
      <formula>AND($B689="Tender Received",$D689&lt;=(TODAY()+3))</formula>
    </cfRule>
    <cfRule type="expression" dxfId="4342" priority="5976" stopIfTrue="1">
      <formula>$B689="Tender Received"</formula>
    </cfRule>
  </conditionalFormatting>
  <conditionalFormatting sqref="H693">
    <cfRule type="expression" dxfId="4341" priority="5973" stopIfTrue="1">
      <formula>AND($B693="Tender Received",$D693&lt;=(TODAY()+3))</formula>
    </cfRule>
    <cfRule type="expression" dxfId="4340" priority="5974" stopIfTrue="1">
      <formula>$B693="Tender Received"</formula>
    </cfRule>
  </conditionalFormatting>
  <conditionalFormatting sqref="Q52">
    <cfRule type="expression" dxfId="4339" priority="5969" stopIfTrue="1">
      <formula>AND($B52="Tender Received",$D52&lt;=(TODAY()+3))</formula>
    </cfRule>
    <cfRule type="expression" dxfId="4338" priority="5970" stopIfTrue="1">
      <formula>$B52="Tender Received"</formula>
    </cfRule>
  </conditionalFormatting>
  <conditionalFormatting sqref="B694:B698">
    <cfRule type="expression" dxfId="4337" priority="5967" stopIfTrue="1">
      <formula>AND($B694="Tender Received",$D694&lt;=(TODAY()+3))</formula>
    </cfRule>
    <cfRule type="expression" dxfId="4336" priority="5968" stopIfTrue="1">
      <formula>$B694="Tender Received"</formula>
    </cfRule>
  </conditionalFormatting>
  <conditionalFormatting sqref="M694:R697 C694:K697">
    <cfRule type="expression" dxfId="4335" priority="5965" stopIfTrue="1">
      <formula>AND($B694="Tender Received",$D694&lt;=(TODAY()+3))</formula>
    </cfRule>
    <cfRule type="expression" dxfId="4334" priority="5966" stopIfTrue="1">
      <formula>$B694="Tender Received"</formula>
    </cfRule>
  </conditionalFormatting>
  <conditionalFormatting sqref="C694:C697">
    <cfRule type="expression" dxfId="4333" priority="5963" stopIfTrue="1">
      <formula>AND($B694="Tender Received",$D694&lt;=(TODAY()+3))</formula>
    </cfRule>
    <cfRule type="expression" dxfId="4332" priority="5964" stopIfTrue="1">
      <formula>$B694="Tender Received"</formula>
    </cfRule>
  </conditionalFormatting>
  <conditionalFormatting sqref="L694:L697">
    <cfRule type="expression" dxfId="4331" priority="5961" stopIfTrue="1">
      <formula>AND($B694="Tender Received",$D694&lt;=(TODAY()+3))</formula>
    </cfRule>
    <cfRule type="expression" dxfId="4330" priority="5962" stopIfTrue="1">
      <formula>$B694="Tender Received"</formula>
    </cfRule>
  </conditionalFormatting>
  <conditionalFormatting sqref="L694:L697">
    <cfRule type="expression" dxfId="4329" priority="5959" stopIfTrue="1">
      <formula>AND($B694="Tender Received",$D694&lt;=(TODAY()+3))</formula>
    </cfRule>
    <cfRule type="expression" dxfId="4328" priority="5960" stopIfTrue="1">
      <formula>$B694="Tender Received"</formula>
    </cfRule>
  </conditionalFormatting>
  <conditionalFormatting sqref="M698:R698 C698:K698">
    <cfRule type="expression" dxfId="4327" priority="5957" stopIfTrue="1">
      <formula>AND($B698="Tender Received",$D698&lt;=(TODAY()+3))</formula>
    </cfRule>
    <cfRule type="expression" dxfId="4326" priority="5958" stopIfTrue="1">
      <formula>$B698="Tender Received"</formula>
    </cfRule>
  </conditionalFormatting>
  <conditionalFormatting sqref="C698">
    <cfRule type="expression" dxfId="4325" priority="5955" stopIfTrue="1">
      <formula>AND($B698="Tender Received",$D698&lt;=(TODAY()+3))</formula>
    </cfRule>
    <cfRule type="expression" dxfId="4324" priority="5956" stopIfTrue="1">
      <formula>$B698="Tender Received"</formula>
    </cfRule>
  </conditionalFormatting>
  <conditionalFormatting sqref="L698">
    <cfRule type="expression" dxfId="4323" priority="5953" stopIfTrue="1">
      <formula>AND($B698="Tender Received",$D698&lt;=(TODAY()+3))</formula>
    </cfRule>
    <cfRule type="expression" dxfId="4322" priority="5954" stopIfTrue="1">
      <formula>$B698="Tender Received"</formula>
    </cfRule>
  </conditionalFormatting>
  <conditionalFormatting sqref="L698">
    <cfRule type="expression" dxfId="4321" priority="5951" stopIfTrue="1">
      <formula>AND($B698="Tender Received",$D698&lt;=(TODAY()+3))</formula>
    </cfRule>
    <cfRule type="expression" dxfId="4320" priority="5952" stopIfTrue="1">
      <formula>$B698="Tender Received"</formula>
    </cfRule>
  </conditionalFormatting>
  <conditionalFormatting sqref="B699">
    <cfRule type="expression" dxfId="4319" priority="5949" stopIfTrue="1">
      <formula>AND($B699="Tender Received",$D699&lt;=(TODAY()+3))</formula>
    </cfRule>
    <cfRule type="expression" dxfId="4318" priority="5950" stopIfTrue="1">
      <formula>$B699="Tender Received"</formula>
    </cfRule>
  </conditionalFormatting>
  <conditionalFormatting sqref="M699:R699 C699:K699">
    <cfRule type="expression" dxfId="4317" priority="5947" stopIfTrue="1">
      <formula>AND($B699="Tender Received",$D699&lt;=(TODAY()+3))</formula>
    </cfRule>
    <cfRule type="expression" dxfId="4316" priority="5948" stopIfTrue="1">
      <formula>$B699="Tender Received"</formula>
    </cfRule>
  </conditionalFormatting>
  <conditionalFormatting sqref="C699">
    <cfRule type="expression" dxfId="4315" priority="5945" stopIfTrue="1">
      <formula>AND($B699="Tender Received",$D699&lt;=(TODAY()+3))</formula>
    </cfRule>
    <cfRule type="expression" dxfId="4314" priority="5946" stopIfTrue="1">
      <formula>$B699="Tender Received"</formula>
    </cfRule>
  </conditionalFormatting>
  <conditionalFormatting sqref="L699">
    <cfRule type="expression" dxfId="4313" priority="5943" stopIfTrue="1">
      <formula>AND($B699="Tender Received",$D699&lt;=(TODAY()+3))</formula>
    </cfRule>
    <cfRule type="expression" dxfId="4312" priority="5944" stopIfTrue="1">
      <formula>$B699="Tender Received"</formula>
    </cfRule>
  </conditionalFormatting>
  <conditionalFormatting sqref="L699">
    <cfRule type="expression" dxfId="4311" priority="5941" stopIfTrue="1">
      <formula>AND($B699="Tender Received",$D699&lt;=(TODAY()+3))</formula>
    </cfRule>
    <cfRule type="expression" dxfId="4310" priority="5942" stopIfTrue="1">
      <formula>$B699="Tender Received"</formula>
    </cfRule>
  </conditionalFormatting>
  <conditionalFormatting sqref="B700">
    <cfRule type="expression" dxfId="4309" priority="5939" stopIfTrue="1">
      <formula>AND($B700="Tender Received",$D700&lt;=(TODAY()+3))</formula>
    </cfRule>
    <cfRule type="expression" dxfId="4308" priority="5940" stopIfTrue="1">
      <formula>$B700="Tender Received"</formula>
    </cfRule>
  </conditionalFormatting>
  <conditionalFormatting sqref="M700:R700 C700:K700">
    <cfRule type="expression" dxfId="4307" priority="5937" stopIfTrue="1">
      <formula>AND($B700="Tender Received",$D700&lt;=(TODAY()+3))</formula>
    </cfRule>
    <cfRule type="expression" dxfId="4306" priority="5938" stopIfTrue="1">
      <formula>$B700="Tender Received"</formula>
    </cfRule>
  </conditionalFormatting>
  <conditionalFormatting sqref="C700">
    <cfRule type="expression" dxfId="4305" priority="5935" stopIfTrue="1">
      <formula>AND($B700="Tender Received",$D700&lt;=(TODAY()+3))</formula>
    </cfRule>
    <cfRule type="expression" dxfId="4304" priority="5936" stopIfTrue="1">
      <formula>$B700="Tender Received"</formula>
    </cfRule>
  </conditionalFormatting>
  <conditionalFormatting sqref="L700">
    <cfRule type="expression" dxfId="4303" priority="5933" stopIfTrue="1">
      <formula>AND($B700="Tender Received",$D700&lt;=(TODAY()+3))</formula>
    </cfRule>
    <cfRule type="expression" dxfId="4302" priority="5934" stopIfTrue="1">
      <formula>$B700="Tender Received"</formula>
    </cfRule>
  </conditionalFormatting>
  <conditionalFormatting sqref="L700">
    <cfRule type="expression" dxfId="4301" priority="5931" stopIfTrue="1">
      <formula>AND($B700="Tender Received",$D700&lt;=(TODAY()+3))</formula>
    </cfRule>
    <cfRule type="expression" dxfId="4300" priority="5932" stopIfTrue="1">
      <formula>$B700="Tender Received"</formula>
    </cfRule>
  </conditionalFormatting>
  <conditionalFormatting sqref="B701:R702">
    <cfRule type="expression" dxfId="4299" priority="5929" stopIfTrue="1">
      <formula>AND($B701="Tender Received",$D701&lt;=(TODAY()+3))</formula>
    </cfRule>
    <cfRule type="expression" dxfId="4298" priority="5930" stopIfTrue="1">
      <formula>$B701="Tender Received"</formula>
    </cfRule>
  </conditionalFormatting>
  <conditionalFormatting sqref="B703:R704">
    <cfRule type="expression" dxfId="4297" priority="5923" stopIfTrue="1">
      <formula>AND($B703="Tender Received",$D703&lt;=(TODAY()+3))</formula>
    </cfRule>
    <cfRule type="expression" dxfId="4296" priority="5924" stopIfTrue="1">
      <formula>$B703="Tender Received"</formula>
    </cfRule>
  </conditionalFormatting>
  <conditionalFormatting sqref="C705:R705">
    <cfRule type="expression" dxfId="4295" priority="5911" stopIfTrue="1">
      <formula>AND($B705="Tender Received",$D705&lt;=(TODAY()+3))</formula>
    </cfRule>
    <cfRule type="expression" dxfId="4294" priority="5912" stopIfTrue="1">
      <formula>$B705="Tender Received"</formula>
    </cfRule>
  </conditionalFormatting>
  <conditionalFormatting sqref="B705">
    <cfRule type="expression" dxfId="4293" priority="5909" stopIfTrue="1">
      <formula>AND($B705="Tender Received",$D705&lt;=(TODAY()+3))</formula>
    </cfRule>
    <cfRule type="expression" dxfId="4292" priority="5910" stopIfTrue="1">
      <formula>$B705="Tender Received"</formula>
    </cfRule>
  </conditionalFormatting>
  <conditionalFormatting sqref="C706:R706 B706:B710">
    <cfRule type="expression" dxfId="4291" priority="5907" stopIfTrue="1">
      <formula>AND($B706="Tender Received",$D706&lt;=(TODAY()+3))</formula>
    </cfRule>
    <cfRule type="expression" dxfId="4290" priority="5908" stopIfTrue="1">
      <formula>$B706="Tender Received"</formula>
    </cfRule>
  </conditionalFormatting>
  <conditionalFormatting sqref="L706">
    <cfRule type="expression" dxfId="4289" priority="5905" stopIfTrue="1">
      <formula>AND($B706="Tender Received",$D706&lt;=(TODAY()+3))</formula>
    </cfRule>
    <cfRule type="expression" dxfId="4288" priority="5906" stopIfTrue="1">
      <formula>$B706="Tender Received"</formula>
    </cfRule>
  </conditionalFormatting>
  <conditionalFormatting sqref="C710:H710 J710:R710 C707:H707 J707:K707 L709:M709 Q709:R709 M707:R707">
    <cfRule type="expression" dxfId="4287" priority="5903" stopIfTrue="1">
      <formula>AND($B707="Tender Received",$D707&lt;=(TODAY()+3))</formula>
    </cfRule>
    <cfRule type="expression" dxfId="4286" priority="5904" stopIfTrue="1">
      <formula>$B707="Tender Received"</formula>
    </cfRule>
  </conditionalFormatting>
  <conditionalFormatting sqref="L707">
    <cfRule type="expression" dxfId="4285" priority="5901" stopIfTrue="1">
      <formula>AND($B707="Tender Received",$D707&lt;=(TODAY()+3))</formula>
    </cfRule>
    <cfRule type="expression" dxfId="4284" priority="5902" stopIfTrue="1">
      <formula>$B707="Tender Received"</formula>
    </cfRule>
  </conditionalFormatting>
  <conditionalFormatting sqref="I710">
    <cfRule type="expression" dxfId="4283" priority="5899" stopIfTrue="1">
      <formula>AND($B710="Tender Received",$D710&lt;=(TODAY()+3))</formula>
    </cfRule>
    <cfRule type="expression" dxfId="4282" priority="5900" stopIfTrue="1">
      <formula>$B710="Tender Received"</formula>
    </cfRule>
  </conditionalFormatting>
  <conditionalFormatting sqref="I707">
    <cfRule type="expression" dxfId="4281" priority="5897" stopIfTrue="1">
      <formula>AND($B707="Tender Received",$D707&lt;=(TODAY()+3))</formula>
    </cfRule>
    <cfRule type="expression" dxfId="4280" priority="5898" stopIfTrue="1">
      <formula>$B707="Tender Received"</formula>
    </cfRule>
  </conditionalFormatting>
  <conditionalFormatting sqref="J708:M708 C708:G708 Q708:R708">
    <cfRule type="expression" dxfId="4279" priority="5895" stopIfTrue="1">
      <formula>AND($B708="Tender Received",$D708&lt;=(TODAY()+3))</formula>
    </cfRule>
    <cfRule type="expression" dxfId="4278" priority="5896" stopIfTrue="1">
      <formula>$B708="Tender Received"</formula>
    </cfRule>
  </conditionalFormatting>
  <conditionalFormatting sqref="I708">
    <cfRule type="expression" dxfId="4277" priority="5893" stopIfTrue="1">
      <formula>AND($B708="Tender Received",$D708&lt;=(TODAY()+3))</formula>
    </cfRule>
    <cfRule type="expression" dxfId="4276" priority="5894" stopIfTrue="1">
      <formula>$B708="Tender Received"</formula>
    </cfRule>
  </conditionalFormatting>
  <conditionalFormatting sqref="D709:K709">
    <cfRule type="expression" dxfId="4275" priority="5891" stopIfTrue="1">
      <formula>AND($B709="Tender Received",$D709&lt;=(TODAY()+3))</formula>
    </cfRule>
    <cfRule type="expression" dxfId="4274" priority="5892" stopIfTrue="1">
      <formula>$B709="Tender Received"</formula>
    </cfRule>
  </conditionalFormatting>
  <conditionalFormatting sqref="N708:P709">
    <cfRule type="expression" dxfId="4273" priority="5889" stopIfTrue="1">
      <formula>AND($B708="Tender Received",$D708&lt;=(TODAY()+3))</formula>
    </cfRule>
    <cfRule type="expression" dxfId="4272" priority="5890" stopIfTrue="1">
      <formula>$B708="Tender Received"</formula>
    </cfRule>
  </conditionalFormatting>
  <conditionalFormatting sqref="H708">
    <cfRule type="expression" dxfId="4271" priority="5887" stopIfTrue="1">
      <formula>AND($B708="Tender Received",$D708&lt;=(TODAY()+3))</formula>
    </cfRule>
    <cfRule type="expression" dxfId="4270" priority="5888" stopIfTrue="1">
      <formula>$B708="Tender Received"</formula>
    </cfRule>
  </conditionalFormatting>
  <conditionalFormatting sqref="C709">
    <cfRule type="expression" dxfId="4269" priority="5885" stopIfTrue="1">
      <formula>AND($B709="Tender Received",$D709&lt;=(TODAY()+3))</formula>
    </cfRule>
    <cfRule type="expression" dxfId="4268" priority="5886" stopIfTrue="1">
      <formula>$B709="Tender Received"</formula>
    </cfRule>
  </conditionalFormatting>
  <conditionalFormatting sqref="C41">
    <cfRule type="expression" dxfId="4267" priority="5879" stopIfTrue="1">
      <formula>AND($B41="Tender Received",$D41&lt;=(TODAY()+3))</formula>
    </cfRule>
    <cfRule type="expression" dxfId="4266" priority="5880" stopIfTrue="1">
      <formula>$B41="Tender Received"</formula>
    </cfRule>
  </conditionalFormatting>
  <conditionalFormatting sqref="C48">
    <cfRule type="expression" dxfId="4265" priority="5877" stopIfTrue="1">
      <formula>AND($B48="Tender Received",$D48&lt;=(TODAY()+3))</formula>
    </cfRule>
    <cfRule type="expression" dxfId="4264" priority="5878" stopIfTrue="1">
      <formula>$B48="Tender Received"</formula>
    </cfRule>
  </conditionalFormatting>
  <conditionalFormatting sqref="C46">
    <cfRule type="expression" dxfId="4263" priority="5875" stopIfTrue="1">
      <formula>AND($B46="Tender Received",$D46&lt;=(TODAY()+3))</formula>
    </cfRule>
    <cfRule type="expression" dxfId="4262" priority="5876" stopIfTrue="1">
      <formula>$B46="Tender Received"</formula>
    </cfRule>
  </conditionalFormatting>
  <conditionalFormatting sqref="C32">
    <cfRule type="expression" dxfId="4261" priority="5873" stopIfTrue="1">
      <formula>AND($B32="Tender Received",$D32&lt;=(TODAY()+3))</formula>
    </cfRule>
    <cfRule type="expression" dxfId="4260" priority="5874" stopIfTrue="1">
      <formula>$B32="Tender Received"</formula>
    </cfRule>
  </conditionalFormatting>
  <conditionalFormatting sqref="C39">
    <cfRule type="expression" dxfId="4259" priority="5871" stopIfTrue="1">
      <formula>AND($B39="Tender Received",$D39&lt;=(TODAY()+3))</formula>
    </cfRule>
    <cfRule type="expression" dxfId="4258" priority="5872" stopIfTrue="1">
      <formula>$B39="Tender Received"</formula>
    </cfRule>
  </conditionalFormatting>
  <conditionalFormatting sqref="C40">
    <cfRule type="expression" dxfId="4257" priority="5869" stopIfTrue="1">
      <formula>AND($B40="Tender Received",$D40&lt;=(TODAY()+3))</formula>
    </cfRule>
    <cfRule type="expression" dxfId="4256" priority="5870" stopIfTrue="1">
      <formula>$B40="Tender Received"</formula>
    </cfRule>
  </conditionalFormatting>
  <conditionalFormatting sqref="C47">
    <cfRule type="expression" dxfId="4255" priority="5867" stopIfTrue="1">
      <formula>AND($B47="Tender Received",$D47&lt;=(TODAY()+3))</formula>
    </cfRule>
    <cfRule type="expression" dxfId="4254" priority="5868" stopIfTrue="1">
      <formula>$B47="Tender Received"</formula>
    </cfRule>
  </conditionalFormatting>
  <conditionalFormatting sqref="B711:K711 O711:P711 R711">
    <cfRule type="expression" dxfId="4253" priority="5851" stopIfTrue="1">
      <formula>AND($B711="Tender Received",$D711&lt;=(TODAY()+3))</formula>
    </cfRule>
    <cfRule type="expression" dxfId="4252" priority="5852" stopIfTrue="1">
      <formula>$B711="Tender Received"</formula>
    </cfRule>
  </conditionalFormatting>
  <conditionalFormatting sqref="M711:N711">
    <cfRule type="expression" dxfId="4251" priority="5849" stopIfTrue="1">
      <formula>AND($B711="Tender Received",$D711&lt;=(TODAY()+3))</formula>
    </cfRule>
    <cfRule type="expression" dxfId="4250" priority="5850" stopIfTrue="1">
      <formula>$B711="Tender Received"</formula>
    </cfRule>
  </conditionalFormatting>
  <conditionalFormatting sqref="L711">
    <cfRule type="expression" dxfId="4249" priority="5847" stopIfTrue="1">
      <formula>AND($B711="Tender Received",$D711&lt;=(TODAY()+3))</formula>
    </cfRule>
    <cfRule type="expression" dxfId="4248" priority="5848" stopIfTrue="1">
      <formula>$B711="Tender Received"</formula>
    </cfRule>
  </conditionalFormatting>
  <conditionalFormatting sqref="L711">
    <cfRule type="expression" dxfId="4247" priority="5845" stopIfTrue="1">
      <formula>AND($B711="Tender Received",$D711&lt;=(TODAY()+3))</formula>
    </cfRule>
    <cfRule type="expression" dxfId="4246" priority="5846" stopIfTrue="1">
      <formula>$B711="Tender Received"</formula>
    </cfRule>
  </conditionalFormatting>
  <conditionalFormatting sqref="Q711">
    <cfRule type="expression" dxfId="4245" priority="5843" stopIfTrue="1">
      <formula>AND($B711="Tender Received",$D711&lt;=(TODAY()+3))</formula>
    </cfRule>
    <cfRule type="expression" dxfId="4244" priority="5844" stopIfTrue="1">
      <formula>$B711="Tender Received"</formula>
    </cfRule>
  </conditionalFormatting>
  <conditionalFormatting sqref="C712:R712">
    <cfRule type="expression" dxfId="4243" priority="5841" stopIfTrue="1">
      <formula>AND($B712="Tender Received",$D712&lt;=(TODAY()+3))</formula>
    </cfRule>
    <cfRule type="expression" dxfId="4242" priority="5842" stopIfTrue="1">
      <formula>$B712="Tender Received"</formula>
    </cfRule>
  </conditionalFormatting>
  <conditionalFormatting sqref="B712">
    <cfRule type="expression" dxfId="4241" priority="5839" stopIfTrue="1">
      <formula>AND($B712="Tender Received",$D712&lt;=(TODAY()+3))</formula>
    </cfRule>
    <cfRule type="expression" dxfId="4240" priority="5840" stopIfTrue="1">
      <formula>$B712="Tender Received"</formula>
    </cfRule>
  </conditionalFormatting>
  <conditionalFormatting sqref="B713 D713:K713 O713:R713">
    <cfRule type="expression" dxfId="4239" priority="5787" stopIfTrue="1">
      <formula>AND($B713="Tender Received",$D713&lt;=(TODAY()+3))</formula>
    </cfRule>
    <cfRule type="expression" dxfId="4238" priority="5788" stopIfTrue="1">
      <formula>$B713="Tender Received"</formula>
    </cfRule>
  </conditionalFormatting>
  <conditionalFormatting sqref="I713">
    <cfRule type="expression" dxfId="4237" priority="5785" stopIfTrue="1">
      <formula>AND($B713="Tender Received",$D713&lt;=(TODAY()+3))</formula>
    </cfRule>
    <cfRule type="expression" dxfId="4236" priority="5786" stopIfTrue="1">
      <formula>$B713="Tender Received"</formula>
    </cfRule>
  </conditionalFormatting>
  <conditionalFormatting sqref="M713:N713">
    <cfRule type="expression" dxfId="4235" priority="5783" stopIfTrue="1">
      <formula>AND($B713="Tender Received",$D713&lt;=(TODAY()+3))</formula>
    </cfRule>
    <cfRule type="expression" dxfId="4234" priority="5784" stopIfTrue="1">
      <formula>$B713="Tender Received"</formula>
    </cfRule>
  </conditionalFormatting>
  <conditionalFormatting sqref="C713">
    <cfRule type="expression" dxfId="4233" priority="5781" stopIfTrue="1">
      <formula>AND($B713="Tender Received",$D713&lt;=(TODAY()+3))</formula>
    </cfRule>
    <cfRule type="expression" dxfId="4232" priority="5782" stopIfTrue="1">
      <formula>$B713="Tender Received"</formula>
    </cfRule>
  </conditionalFormatting>
  <conditionalFormatting sqref="L713">
    <cfRule type="expression" dxfId="4231" priority="5779" stopIfTrue="1">
      <formula>AND($B713="Tender Received",$D713&lt;=(TODAY()+3))</formula>
    </cfRule>
    <cfRule type="expression" dxfId="4230" priority="5780" stopIfTrue="1">
      <formula>$B713="Tender Received"</formula>
    </cfRule>
  </conditionalFormatting>
  <conditionalFormatting sqref="L713">
    <cfRule type="expression" dxfId="4229" priority="5777" stopIfTrue="1">
      <formula>AND($B713="Tender Received",$D713&lt;=(TODAY()+3))</formula>
    </cfRule>
    <cfRule type="expression" dxfId="4228" priority="5778" stopIfTrue="1">
      <formula>$B713="Tender Received"</formula>
    </cfRule>
  </conditionalFormatting>
  <conditionalFormatting sqref="B714:K714 M714:R714">
    <cfRule type="expression" dxfId="4227" priority="5749" stopIfTrue="1">
      <formula>AND($B714="Tender Received",$D714&lt;=(TODAY()+3))</formula>
    </cfRule>
    <cfRule type="expression" dxfId="4226" priority="5750" stopIfTrue="1">
      <formula>$B714="Tender Received"</formula>
    </cfRule>
  </conditionalFormatting>
  <conditionalFormatting sqref="C714">
    <cfRule type="expression" dxfId="4225" priority="5747" stopIfTrue="1">
      <formula>AND($B714="Tender Received",$D714&lt;=(TODAY()+3))</formula>
    </cfRule>
    <cfRule type="expression" dxfId="4224" priority="5748" stopIfTrue="1">
      <formula>$B714="Tender Received"</formula>
    </cfRule>
  </conditionalFormatting>
  <conditionalFormatting sqref="L714">
    <cfRule type="expression" dxfId="4223" priority="5745" stopIfTrue="1">
      <formula>AND($B714="Tender Received",$D714&lt;=(TODAY()+3))</formula>
    </cfRule>
    <cfRule type="expression" dxfId="4222" priority="5746" stopIfTrue="1">
      <formula>$B714="Tender Received"</formula>
    </cfRule>
  </conditionalFormatting>
  <conditionalFormatting sqref="L714">
    <cfRule type="expression" dxfId="4221" priority="5743" stopIfTrue="1">
      <formula>AND($B714="Tender Received",$D714&lt;=(TODAY()+3))</formula>
    </cfRule>
    <cfRule type="expression" dxfId="4220" priority="5744" stopIfTrue="1">
      <formula>$B714="Tender Received"</formula>
    </cfRule>
  </conditionalFormatting>
  <conditionalFormatting sqref="J716:K716 D716:H716 B715:B716 D715:K715 O715:R716">
    <cfRule type="expression" dxfId="4219" priority="5667" stopIfTrue="1">
      <formula>AND($B715="Tender Received",$D715&lt;=(TODAY()+3))</formula>
    </cfRule>
    <cfRule type="expression" dxfId="4218" priority="5668" stopIfTrue="1">
      <formula>$B715="Tender Received"</formula>
    </cfRule>
  </conditionalFormatting>
  <conditionalFormatting sqref="I716">
    <cfRule type="expression" dxfId="4217" priority="5665" stopIfTrue="1">
      <formula>AND($B716="Tender Received",$D716&lt;=(TODAY()+3))</formula>
    </cfRule>
    <cfRule type="expression" dxfId="4216" priority="5666" stopIfTrue="1">
      <formula>$B716="Tender Received"</formula>
    </cfRule>
  </conditionalFormatting>
  <conditionalFormatting sqref="M715:N716">
    <cfRule type="expression" dxfId="4215" priority="5663" stopIfTrue="1">
      <formula>AND($B715="Tender Received",$D715&lt;=(TODAY()+3))</formula>
    </cfRule>
    <cfRule type="expression" dxfId="4214" priority="5664" stopIfTrue="1">
      <formula>$B715="Tender Received"</formula>
    </cfRule>
  </conditionalFormatting>
  <conditionalFormatting sqref="C716">
    <cfRule type="expression" dxfId="4213" priority="5661" stopIfTrue="1">
      <formula>AND($B716="Tender Received",$D716&lt;=(TODAY()+3))</formula>
    </cfRule>
    <cfRule type="expression" dxfId="4212" priority="5662" stopIfTrue="1">
      <formula>$B716="Tender Received"</formula>
    </cfRule>
  </conditionalFormatting>
  <conditionalFormatting sqref="O716:R716 D716:K716">
    <cfRule type="expression" dxfId="4211" priority="5659" stopIfTrue="1">
      <formula>AND($B716="Tender Received",$D716&lt;=(TODAY()+3))</formula>
    </cfRule>
    <cfRule type="expression" dxfId="4210" priority="5660" stopIfTrue="1">
      <formula>$B716="Tender Received"</formula>
    </cfRule>
  </conditionalFormatting>
  <conditionalFormatting sqref="L715">
    <cfRule type="expression" dxfId="4209" priority="5657" stopIfTrue="1">
      <formula>AND($B715="Tender Received",$D715&lt;=(TODAY()+3))</formula>
    </cfRule>
    <cfRule type="expression" dxfId="4208" priority="5658" stopIfTrue="1">
      <formula>$B715="Tender Received"</formula>
    </cfRule>
  </conditionalFormatting>
  <conditionalFormatting sqref="L715">
    <cfRule type="expression" dxfId="4207" priority="5655" stopIfTrue="1">
      <formula>AND($B715="Tender Received",$D715&lt;=(TODAY()+3))</formula>
    </cfRule>
    <cfRule type="expression" dxfId="4206" priority="5656" stopIfTrue="1">
      <formula>$B715="Tender Received"</formula>
    </cfRule>
  </conditionalFormatting>
  <conditionalFormatting sqref="M716:N716">
    <cfRule type="expression" dxfId="4205" priority="5653" stopIfTrue="1">
      <formula>AND($B716="Tender Received",$D716&lt;=(TODAY()+3))</formula>
    </cfRule>
    <cfRule type="expression" dxfId="4204" priority="5654" stopIfTrue="1">
      <formula>$B716="Tender Received"</formula>
    </cfRule>
  </conditionalFormatting>
  <conditionalFormatting sqref="C716">
    <cfRule type="expression" dxfId="4203" priority="5651" stopIfTrue="1">
      <formula>AND($B716="Tender Received",$D716&lt;=(TODAY()+3))</formula>
    </cfRule>
    <cfRule type="expression" dxfId="4202" priority="5652" stopIfTrue="1">
      <formula>$B716="Tender Received"</formula>
    </cfRule>
  </conditionalFormatting>
  <conditionalFormatting sqref="C715">
    <cfRule type="expression" dxfId="4201" priority="5649" stopIfTrue="1">
      <formula>AND($B715="Tender Received",$D715&lt;=(TODAY()+3))</formula>
    </cfRule>
    <cfRule type="expression" dxfId="4200" priority="5650" stopIfTrue="1">
      <formula>$B715="Tender Received"</formula>
    </cfRule>
  </conditionalFormatting>
  <conditionalFormatting sqref="L716">
    <cfRule type="expression" dxfId="4199" priority="5647" stopIfTrue="1">
      <formula>AND($B716="Tender Received",$D716&lt;=(TODAY()+3))</formula>
    </cfRule>
    <cfRule type="expression" dxfId="4198" priority="5648" stopIfTrue="1">
      <formula>$B716="Tender Received"</formula>
    </cfRule>
  </conditionalFormatting>
  <conditionalFormatting sqref="L716">
    <cfRule type="expression" dxfId="4197" priority="5645" stopIfTrue="1">
      <formula>AND($B716="Tender Received",$D716&lt;=(TODAY()+3))</formula>
    </cfRule>
    <cfRule type="expression" dxfId="4196" priority="5646" stopIfTrue="1">
      <formula>$B716="Tender Received"</formula>
    </cfRule>
  </conditionalFormatting>
  <conditionalFormatting sqref="B717 D717:K717 O717:R717">
    <cfRule type="expression" dxfId="4195" priority="5643" stopIfTrue="1">
      <formula>AND($B717="Tender Received",$D717&lt;=(TODAY()+3))</formula>
    </cfRule>
    <cfRule type="expression" dxfId="4194" priority="5644" stopIfTrue="1">
      <formula>$B717="Tender Received"</formula>
    </cfRule>
  </conditionalFormatting>
  <conditionalFormatting sqref="I717">
    <cfRule type="expression" dxfId="4193" priority="5641" stopIfTrue="1">
      <formula>AND($B717="Tender Received",$D717&lt;=(TODAY()+3))</formula>
    </cfRule>
    <cfRule type="expression" dxfId="4192" priority="5642" stopIfTrue="1">
      <formula>$B717="Tender Received"</formula>
    </cfRule>
  </conditionalFormatting>
  <conditionalFormatting sqref="M717:N717">
    <cfRule type="expression" dxfId="4191" priority="5639" stopIfTrue="1">
      <formula>AND($B717="Tender Received",$D717&lt;=(TODAY()+3))</formula>
    </cfRule>
    <cfRule type="expression" dxfId="4190" priority="5640" stopIfTrue="1">
      <formula>$B717="Tender Received"</formula>
    </cfRule>
  </conditionalFormatting>
  <conditionalFormatting sqref="C717">
    <cfRule type="expression" dxfId="4189" priority="5637" stopIfTrue="1">
      <formula>AND($B717="Tender Received",$D717&lt;=(TODAY()+3))</formula>
    </cfRule>
    <cfRule type="expression" dxfId="4188" priority="5638" stopIfTrue="1">
      <formula>$B717="Tender Received"</formula>
    </cfRule>
  </conditionalFormatting>
  <conditionalFormatting sqref="L717">
    <cfRule type="expression" dxfId="4187" priority="5635" stopIfTrue="1">
      <formula>AND($B717="Tender Received",$D717&lt;=(TODAY()+3))</formula>
    </cfRule>
    <cfRule type="expression" dxfId="4186" priority="5636" stopIfTrue="1">
      <formula>$B717="Tender Received"</formula>
    </cfRule>
  </conditionalFormatting>
  <conditionalFormatting sqref="L717">
    <cfRule type="expression" dxfId="4185" priority="5633" stopIfTrue="1">
      <formula>AND($B717="Tender Received",$D717&lt;=(TODAY()+3))</formula>
    </cfRule>
    <cfRule type="expression" dxfId="4184" priority="5634" stopIfTrue="1">
      <formula>$B717="Tender Received"</formula>
    </cfRule>
  </conditionalFormatting>
  <conditionalFormatting sqref="D718:K718 O718:R718">
    <cfRule type="expression" dxfId="4183" priority="5615" stopIfTrue="1">
      <formula>AND($B718="Tender Received",$D718&lt;=(TODAY()+3))</formula>
    </cfRule>
    <cfRule type="expression" dxfId="4182" priority="5616" stopIfTrue="1">
      <formula>$B718="Tender Received"</formula>
    </cfRule>
  </conditionalFormatting>
  <conditionalFormatting sqref="M718:N718">
    <cfRule type="expression" dxfId="4181" priority="5613" stopIfTrue="1">
      <formula>AND($B718="Tender Received",$D718&lt;=(TODAY()+3))</formula>
    </cfRule>
    <cfRule type="expression" dxfId="4180" priority="5614" stopIfTrue="1">
      <formula>$B718="Tender Received"</formula>
    </cfRule>
  </conditionalFormatting>
  <conditionalFormatting sqref="L718">
    <cfRule type="expression" dxfId="4179" priority="5611" stopIfTrue="1">
      <formula>AND($B718="Tender Received",$D718&lt;=(TODAY()+3))</formula>
    </cfRule>
    <cfRule type="expression" dxfId="4178" priority="5612" stopIfTrue="1">
      <formula>$B718="Tender Received"</formula>
    </cfRule>
  </conditionalFormatting>
  <conditionalFormatting sqref="L718">
    <cfRule type="expression" dxfId="4177" priority="5609" stopIfTrue="1">
      <formula>AND($B718="Tender Received",$D718&lt;=(TODAY()+3))</formula>
    </cfRule>
    <cfRule type="expression" dxfId="4176" priority="5610" stopIfTrue="1">
      <formula>$B718="Tender Received"</formula>
    </cfRule>
  </conditionalFormatting>
  <conditionalFormatting sqref="C718">
    <cfRule type="expression" dxfId="4175" priority="5607" stopIfTrue="1">
      <formula>AND($B718="Tender Received",$D718&lt;=(TODAY()+3))</formula>
    </cfRule>
    <cfRule type="expression" dxfId="4174" priority="5608" stopIfTrue="1">
      <formula>$B718="Tender Received"</formula>
    </cfRule>
  </conditionalFormatting>
  <conditionalFormatting sqref="B718">
    <cfRule type="expression" dxfId="4173" priority="5605" stopIfTrue="1">
      <formula>AND($B718="Tender Received",$D718&lt;=(TODAY()+3))</formula>
    </cfRule>
    <cfRule type="expression" dxfId="4172" priority="5606" stopIfTrue="1">
      <formula>$B718="Tender Received"</formula>
    </cfRule>
  </conditionalFormatting>
  <conditionalFormatting sqref="C719:R719">
    <cfRule type="expression" dxfId="4171" priority="5601" stopIfTrue="1">
      <formula>AND($B719="Tender Received",$D719&lt;=(TODAY()+3))</formula>
    </cfRule>
    <cfRule type="expression" dxfId="4170" priority="5602" stopIfTrue="1">
      <formula>$B719="Tender Received"</formula>
    </cfRule>
  </conditionalFormatting>
  <conditionalFormatting sqref="L719">
    <cfRule type="expression" dxfId="4169" priority="5599" stopIfTrue="1">
      <formula>AND($B719="Tender Received",$D719&lt;=(TODAY()+3))</formula>
    </cfRule>
    <cfRule type="expression" dxfId="4168" priority="5600" stopIfTrue="1">
      <formula>$B719="Tender Received"</formula>
    </cfRule>
  </conditionalFormatting>
  <conditionalFormatting sqref="C720:G720 J720:K720 M720:P720 R720">
    <cfRule type="expression" dxfId="4167" priority="5597" stopIfTrue="1">
      <formula>AND($B720="Tender Received",$D720&lt;=(TODAY()+3))</formula>
    </cfRule>
    <cfRule type="expression" dxfId="4166" priority="5598" stopIfTrue="1">
      <formula>$B720="Tender Received"</formula>
    </cfRule>
  </conditionalFormatting>
  <conditionalFormatting sqref="M720:N720">
    <cfRule type="expression" dxfId="4165" priority="5595" stopIfTrue="1">
      <formula>AND($B720="Tender Received",$D720&lt;=(TODAY()+3))</formula>
    </cfRule>
    <cfRule type="expression" dxfId="4164" priority="5596" stopIfTrue="1">
      <formula>$B720="Tender Received"</formula>
    </cfRule>
  </conditionalFormatting>
  <conditionalFormatting sqref="L720">
    <cfRule type="expression" dxfId="4163" priority="5593" stopIfTrue="1">
      <formula>AND($B720="Tender Received",$D720&lt;=(TODAY()+3))</formula>
    </cfRule>
    <cfRule type="expression" dxfId="4162" priority="5594" stopIfTrue="1">
      <formula>$B720="Tender Received"</formula>
    </cfRule>
  </conditionalFormatting>
  <conditionalFormatting sqref="C720">
    <cfRule type="expression" dxfId="4161" priority="5591" stopIfTrue="1">
      <formula>AND($B720="Tender Received",$D720&lt;=(TODAY()+3))</formula>
    </cfRule>
    <cfRule type="expression" dxfId="4160" priority="5592" stopIfTrue="1">
      <formula>$B720="Tender Received"</formula>
    </cfRule>
  </conditionalFormatting>
  <conditionalFormatting sqref="L720">
    <cfRule type="expression" dxfId="4159" priority="5589" stopIfTrue="1">
      <formula>AND($B720="Tender Received",$D720&lt;=(TODAY()+3))</formula>
    </cfRule>
    <cfRule type="expression" dxfId="4158" priority="5590" stopIfTrue="1">
      <formula>$B720="Tender Received"</formula>
    </cfRule>
  </conditionalFormatting>
  <conditionalFormatting sqref="H720:I720">
    <cfRule type="expression" dxfId="4157" priority="5587" stopIfTrue="1">
      <formula>AND($B720="Tender Received",$D720&lt;=(TODAY()+3))</formula>
    </cfRule>
    <cfRule type="expression" dxfId="4156" priority="5588" stopIfTrue="1">
      <formula>$B720="Tender Received"</formula>
    </cfRule>
  </conditionalFormatting>
  <conditionalFormatting sqref="Q720">
    <cfRule type="expression" dxfId="4155" priority="5585" stopIfTrue="1">
      <formula>AND($B720="Tender Received",$D720&lt;=(TODAY()+3))</formula>
    </cfRule>
    <cfRule type="expression" dxfId="4154" priority="5586" stopIfTrue="1">
      <formula>$B720="Tender Received"</formula>
    </cfRule>
  </conditionalFormatting>
  <conditionalFormatting sqref="C721 B721:B722 D721:K722 O722:R722 O721:P721 R721">
    <cfRule type="expression" dxfId="4153" priority="5555" stopIfTrue="1">
      <formula>AND($B721="Tender Received",$D721&lt;=(TODAY()+3))</formula>
    </cfRule>
    <cfRule type="expression" dxfId="4152" priority="5556" stopIfTrue="1">
      <formula>$B721="Tender Received"</formula>
    </cfRule>
  </conditionalFormatting>
  <conditionalFormatting sqref="I722">
    <cfRule type="expression" dxfId="4151" priority="5553" stopIfTrue="1">
      <formula>AND($B722="Tender Received",$D722&lt;=(TODAY()+3))</formula>
    </cfRule>
    <cfRule type="expression" dxfId="4150" priority="5554" stopIfTrue="1">
      <formula>$B722="Tender Received"</formula>
    </cfRule>
  </conditionalFormatting>
  <conditionalFormatting sqref="M721:N722">
    <cfRule type="expression" dxfId="4149" priority="5551" stopIfTrue="1">
      <formula>AND($B721="Tender Received",$D721&lt;=(TODAY()+3))</formula>
    </cfRule>
    <cfRule type="expression" dxfId="4148" priority="5552" stopIfTrue="1">
      <formula>$B721="Tender Received"</formula>
    </cfRule>
  </conditionalFormatting>
  <conditionalFormatting sqref="C721:C722">
    <cfRule type="expression" dxfId="4147" priority="5549" stopIfTrue="1">
      <formula>AND($B721="Tender Received",$D721&lt;=(TODAY()+3))</formula>
    </cfRule>
    <cfRule type="expression" dxfId="4146" priority="5550" stopIfTrue="1">
      <formula>$B721="Tender Received"</formula>
    </cfRule>
  </conditionalFormatting>
  <conditionalFormatting sqref="L722">
    <cfRule type="expression" dxfId="4145" priority="5547" stopIfTrue="1">
      <formula>AND($B722="Tender Received",$D722&lt;=(TODAY()+3))</formula>
    </cfRule>
    <cfRule type="expression" dxfId="4144" priority="5548" stopIfTrue="1">
      <formula>$B722="Tender Received"</formula>
    </cfRule>
  </conditionalFormatting>
  <conditionalFormatting sqref="L721">
    <cfRule type="expression" dxfId="4143" priority="5545" stopIfTrue="1">
      <formula>AND($B721="Tender Received",$D721&lt;=(TODAY()+3))</formula>
    </cfRule>
    <cfRule type="expression" dxfId="4142" priority="5546" stopIfTrue="1">
      <formula>$B721="Tender Received"</formula>
    </cfRule>
  </conditionalFormatting>
  <conditionalFormatting sqref="L722">
    <cfRule type="expression" dxfId="4141" priority="5543" stopIfTrue="1">
      <formula>AND($B722="Tender Received",$D722&lt;=(TODAY()+3))</formula>
    </cfRule>
    <cfRule type="expression" dxfId="4140" priority="5544" stopIfTrue="1">
      <formula>$B722="Tender Received"</formula>
    </cfRule>
  </conditionalFormatting>
  <conditionalFormatting sqref="I721">
    <cfRule type="expression" dxfId="4139" priority="5541" stopIfTrue="1">
      <formula>AND($B721="Tender Received",$D721&lt;=(TODAY()+3))</formula>
    </cfRule>
    <cfRule type="expression" dxfId="4138" priority="5542" stopIfTrue="1">
      <formula>$B721="Tender Received"</formula>
    </cfRule>
  </conditionalFormatting>
  <conditionalFormatting sqref="L721">
    <cfRule type="expression" dxfId="4137" priority="5539" stopIfTrue="1">
      <formula>AND($B721="Tender Received",$D721&lt;=(TODAY()+3))</formula>
    </cfRule>
    <cfRule type="expression" dxfId="4136" priority="5540" stopIfTrue="1">
      <formula>$B721="Tender Received"</formula>
    </cfRule>
  </conditionalFormatting>
  <conditionalFormatting sqref="Q721">
    <cfRule type="expression" dxfId="4135" priority="5537" stopIfTrue="1">
      <formula>AND($B721="Tender Received",$D721&lt;=(TODAY()+3))</formula>
    </cfRule>
    <cfRule type="expression" dxfId="4134" priority="5538" stopIfTrue="1">
      <formula>$B721="Tender Received"</formula>
    </cfRule>
  </conditionalFormatting>
  <conditionalFormatting sqref="B723:R724">
    <cfRule type="expression" dxfId="4133" priority="5535" stopIfTrue="1">
      <formula>AND($B723="Tender Received",$D723&lt;=(TODAY()+3))</formula>
    </cfRule>
    <cfRule type="expression" dxfId="4132" priority="5536" stopIfTrue="1">
      <formula>$B723="Tender Received"</formula>
    </cfRule>
  </conditionalFormatting>
  <conditionalFormatting sqref="B725 D725:I725 K725 O725:R725">
    <cfRule type="expression" dxfId="4131" priority="5533" stopIfTrue="1">
      <formula>AND($B725="Tender Received",$D725&lt;=(TODAY()+3))</formula>
    </cfRule>
    <cfRule type="expression" dxfId="4130" priority="5534" stopIfTrue="1">
      <formula>$B725="Tender Received"</formula>
    </cfRule>
  </conditionalFormatting>
  <conditionalFormatting sqref="M725:N725">
    <cfRule type="expression" dxfId="4129" priority="5531" stopIfTrue="1">
      <formula>AND($B725="Tender Received",$D725&lt;=(TODAY()+3))</formula>
    </cfRule>
    <cfRule type="expression" dxfId="4128" priority="5532" stopIfTrue="1">
      <formula>$B725="Tender Received"</formula>
    </cfRule>
  </conditionalFormatting>
  <conditionalFormatting sqref="C725">
    <cfRule type="expression" dxfId="4127" priority="5529" stopIfTrue="1">
      <formula>AND($B725="Tender Received",$D725&lt;=(TODAY()+3))</formula>
    </cfRule>
    <cfRule type="expression" dxfId="4126" priority="5530" stopIfTrue="1">
      <formula>$B725="Tender Received"</formula>
    </cfRule>
  </conditionalFormatting>
  <conditionalFormatting sqref="I725">
    <cfRule type="expression" dxfId="4125" priority="5527" stopIfTrue="1">
      <formula>AND($B725="Tender Received",$D725&lt;=(TODAY()+3))</formula>
    </cfRule>
    <cfRule type="expression" dxfId="4124" priority="5528" stopIfTrue="1">
      <formula>$B725="Tender Received"</formula>
    </cfRule>
  </conditionalFormatting>
  <conditionalFormatting sqref="L725">
    <cfRule type="expression" dxfId="4123" priority="5525" stopIfTrue="1">
      <formula>AND($B725="Tender Received",$D725&lt;=(TODAY()+3))</formula>
    </cfRule>
    <cfRule type="expression" dxfId="4122" priority="5526" stopIfTrue="1">
      <formula>$B725="Tender Received"</formula>
    </cfRule>
  </conditionalFormatting>
  <conditionalFormatting sqref="L725">
    <cfRule type="expression" dxfId="4121" priority="5523" stopIfTrue="1">
      <formula>AND($B725="Tender Received",$D725&lt;=(TODAY()+3))</formula>
    </cfRule>
    <cfRule type="expression" dxfId="4120" priority="5524" stopIfTrue="1">
      <formula>$B725="Tender Received"</formula>
    </cfRule>
  </conditionalFormatting>
  <conditionalFormatting sqref="J725">
    <cfRule type="expression" dxfId="4119" priority="5521" stopIfTrue="1">
      <formula>AND($B725="Tender Received",$D725&lt;=(TODAY()+3))</formula>
    </cfRule>
    <cfRule type="expression" dxfId="4118" priority="5522" stopIfTrue="1">
      <formula>$B725="Tender Received"</formula>
    </cfRule>
  </conditionalFormatting>
  <conditionalFormatting sqref="B726:R726">
    <cfRule type="expression" dxfId="4117" priority="5493" stopIfTrue="1">
      <formula>AND($B726="Tender Received",$D726&lt;=(TODAY()+3))</formula>
    </cfRule>
    <cfRule type="expression" dxfId="4116" priority="5494" stopIfTrue="1">
      <formula>$B726="Tender Received"</formula>
    </cfRule>
  </conditionalFormatting>
  <conditionalFormatting sqref="B727:R728">
    <cfRule type="expression" dxfId="4115" priority="5491" stopIfTrue="1">
      <formula>AND($B727="Tender Received",$D727&lt;=(TODAY()+3))</formula>
    </cfRule>
    <cfRule type="expression" dxfId="4114" priority="5492" stopIfTrue="1">
      <formula>$B727="Tender Received"</formula>
    </cfRule>
  </conditionalFormatting>
  <conditionalFormatting sqref="B729 D729:K729 O729:R729">
    <cfRule type="expression" dxfId="4113" priority="5467" stopIfTrue="1">
      <formula>AND($B729="Tender Received",$D729&lt;=(TODAY()+3))</formula>
    </cfRule>
    <cfRule type="expression" dxfId="4112" priority="5468" stopIfTrue="1">
      <formula>$B729="Tender Received"</formula>
    </cfRule>
  </conditionalFormatting>
  <conditionalFormatting sqref="M729:N729">
    <cfRule type="expression" dxfId="4111" priority="5465" stopIfTrue="1">
      <formula>AND($B729="Tender Received",$D729&lt;=(TODAY()+3))</formula>
    </cfRule>
    <cfRule type="expression" dxfId="4110" priority="5466" stopIfTrue="1">
      <formula>$B729="Tender Received"</formula>
    </cfRule>
  </conditionalFormatting>
  <conditionalFormatting sqref="L729">
    <cfRule type="expression" dxfId="4109" priority="5463" stopIfTrue="1">
      <formula>AND($B729="Tender Received",$D729&lt;=(TODAY()+3))</formula>
    </cfRule>
    <cfRule type="expression" dxfId="4108" priority="5464" stopIfTrue="1">
      <formula>$B729="Tender Received"</formula>
    </cfRule>
  </conditionalFormatting>
  <conditionalFormatting sqref="C729">
    <cfRule type="expression" dxfId="4107" priority="5461" stopIfTrue="1">
      <formula>AND($B729="Tender Received",$D729&lt;=(TODAY()+3))</formula>
    </cfRule>
    <cfRule type="expression" dxfId="4106" priority="5462" stopIfTrue="1">
      <formula>$B729="Tender Received"</formula>
    </cfRule>
  </conditionalFormatting>
  <conditionalFormatting sqref="I729">
    <cfRule type="expression" dxfId="4105" priority="5459" stopIfTrue="1">
      <formula>AND($B729="Tender Received",$D729&lt;=(TODAY()+3))</formula>
    </cfRule>
    <cfRule type="expression" dxfId="4104" priority="5460" stopIfTrue="1">
      <formula>$B729="Tender Received"</formula>
    </cfRule>
  </conditionalFormatting>
  <conditionalFormatting sqref="L729">
    <cfRule type="expression" dxfId="4103" priority="5457" stopIfTrue="1">
      <formula>AND($B729="Tender Received",$D729&lt;=(TODAY()+3))</formula>
    </cfRule>
    <cfRule type="expression" dxfId="4102" priority="5458" stopIfTrue="1">
      <formula>$B729="Tender Received"</formula>
    </cfRule>
  </conditionalFormatting>
  <conditionalFormatting sqref="H35">
    <cfRule type="expression" dxfId="4101" priority="5451" stopIfTrue="1">
      <formula>AND($B35="Tender Received",$D35&lt;=(TODAY()+3))</formula>
    </cfRule>
    <cfRule type="expression" dxfId="4100" priority="5452" stopIfTrue="1">
      <formula>$B35="Tender Received"</formula>
    </cfRule>
  </conditionalFormatting>
  <conditionalFormatting sqref="B730 D730:K730 O730:R730">
    <cfRule type="expression" dxfId="4099" priority="5449" stopIfTrue="1">
      <formula>AND($B730="Tender Received",$D730&lt;=(TODAY()+3))</formula>
    </cfRule>
    <cfRule type="expression" dxfId="4098" priority="5450" stopIfTrue="1">
      <formula>$B730="Tender Received"</formula>
    </cfRule>
  </conditionalFormatting>
  <conditionalFormatting sqref="M730:N730">
    <cfRule type="expression" dxfId="4097" priority="5447" stopIfTrue="1">
      <formula>AND($B730="Tender Received",$D730&lt;=(TODAY()+3))</formula>
    </cfRule>
    <cfRule type="expression" dxfId="4096" priority="5448" stopIfTrue="1">
      <formula>$B730="Tender Received"</formula>
    </cfRule>
  </conditionalFormatting>
  <conditionalFormatting sqref="L730">
    <cfRule type="expression" dxfId="4095" priority="5445" stopIfTrue="1">
      <formula>AND($B730="Tender Received",$D730&lt;=(TODAY()+3))</formula>
    </cfRule>
    <cfRule type="expression" dxfId="4094" priority="5446" stopIfTrue="1">
      <formula>$B730="Tender Received"</formula>
    </cfRule>
  </conditionalFormatting>
  <conditionalFormatting sqref="C730">
    <cfRule type="expression" dxfId="4093" priority="5443" stopIfTrue="1">
      <formula>AND($B730="Tender Received",$D730&lt;=(TODAY()+3))</formula>
    </cfRule>
    <cfRule type="expression" dxfId="4092" priority="5444" stopIfTrue="1">
      <formula>$B730="Tender Received"</formula>
    </cfRule>
  </conditionalFormatting>
  <conditionalFormatting sqref="I730">
    <cfRule type="expression" dxfId="4091" priority="5441" stopIfTrue="1">
      <formula>AND($B730="Tender Received",$D730&lt;=(TODAY()+3))</formula>
    </cfRule>
    <cfRule type="expression" dxfId="4090" priority="5442" stopIfTrue="1">
      <formula>$B730="Tender Received"</formula>
    </cfRule>
  </conditionalFormatting>
  <conditionalFormatting sqref="L730">
    <cfRule type="expression" dxfId="4089" priority="5439" stopIfTrue="1">
      <formula>AND($B730="Tender Received",$D730&lt;=(TODAY()+3))</formula>
    </cfRule>
    <cfRule type="expression" dxfId="4088" priority="5440" stopIfTrue="1">
      <formula>$B730="Tender Received"</formula>
    </cfRule>
  </conditionalFormatting>
  <conditionalFormatting sqref="B731:K731 O731:P731 R731">
    <cfRule type="expression" dxfId="4087" priority="5437" stopIfTrue="1">
      <formula>AND($B731="Tender Received",$D731&lt;=(TODAY()+3))</formula>
    </cfRule>
    <cfRule type="expression" dxfId="4086" priority="5438" stopIfTrue="1">
      <formula>$B731="Tender Received"</formula>
    </cfRule>
  </conditionalFormatting>
  <conditionalFormatting sqref="M731:N731">
    <cfRule type="expression" dxfId="4085" priority="5435" stopIfTrue="1">
      <formula>AND($B731="Tender Received",$D731&lt;=(TODAY()+3))</formula>
    </cfRule>
    <cfRule type="expression" dxfId="4084" priority="5436" stopIfTrue="1">
      <formula>$B731="Tender Received"</formula>
    </cfRule>
  </conditionalFormatting>
  <conditionalFormatting sqref="L731">
    <cfRule type="expression" dxfId="4083" priority="5433" stopIfTrue="1">
      <formula>AND($B731="Tender Received",$D731&lt;=(TODAY()+3))</formula>
    </cfRule>
    <cfRule type="expression" dxfId="4082" priority="5434" stopIfTrue="1">
      <formula>$B731="Tender Received"</formula>
    </cfRule>
  </conditionalFormatting>
  <conditionalFormatting sqref="L731">
    <cfRule type="expression" dxfId="4081" priority="5431" stopIfTrue="1">
      <formula>AND($B731="Tender Received",$D731&lt;=(TODAY()+3))</formula>
    </cfRule>
    <cfRule type="expression" dxfId="4080" priority="5432" stopIfTrue="1">
      <formula>$B731="Tender Received"</formula>
    </cfRule>
  </conditionalFormatting>
  <conditionalFormatting sqref="Q731">
    <cfRule type="expression" dxfId="4079" priority="5429" stopIfTrue="1">
      <formula>AND($B731="Tender Received",$D731&lt;=(TODAY()+3))</formula>
    </cfRule>
    <cfRule type="expression" dxfId="4078" priority="5430" stopIfTrue="1">
      <formula>$B731="Tender Received"</formula>
    </cfRule>
  </conditionalFormatting>
  <conditionalFormatting sqref="H37">
    <cfRule type="expression" dxfId="4077" priority="5427" stopIfTrue="1">
      <formula>AND($B37="Tender Received",$D37&lt;=(TODAY()+3))</formula>
    </cfRule>
    <cfRule type="expression" dxfId="4076" priority="5428" stopIfTrue="1">
      <formula>$B37="Tender Received"</formula>
    </cfRule>
  </conditionalFormatting>
  <conditionalFormatting sqref="I37">
    <cfRule type="expression" dxfId="4075" priority="5425" stopIfTrue="1">
      <formula>AND($B37="Tender Received",$D37&lt;=(TODAY()+3))</formula>
    </cfRule>
    <cfRule type="expression" dxfId="4074" priority="5426" stopIfTrue="1">
      <formula>$B37="Tender Received"</formula>
    </cfRule>
  </conditionalFormatting>
  <conditionalFormatting sqref="B732:R734">
    <cfRule type="expression" dxfId="4073" priority="5423" stopIfTrue="1">
      <formula>AND($B732="Tender Received",$D732&lt;=(TODAY()+3))</formula>
    </cfRule>
    <cfRule type="expression" dxfId="4072" priority="5424" stopIfTrue="1">
      <formula>$B732="Tender Received"</formula>
    </cfRule>
  </conditionalFormatting>
  <conditionalFormatting sqref="J736:K736 D736:H736 B735:B736 D735:K735 O735:R736">
    <cfRule type="expression" dxfId="4071" priority="5417" stopIfTrue="1">
      <formula>AND($B735="Tender Received",$D735&lt;=(TODAY()+3))</formula>
    </cfRule>
    <cfRule type="expression" dxfId="4070" priority="5418" stopIfTrue="1">
      <formula>$B735="Tender Received"</formula>
    </cfRule>
  </conditionalFormatting>
  <conditionalFormatting sqref="I736">
    <cfRule type="expression" dxfId="4069" priority="5415" stopIfTrue="1">
      <formula>AND($B736="Tender Received",$D736&lt;=(TODAY()+3))</formula>
    </cfRule>
    <cfRule type="expression" dxfId="4068" priority="5416" stopIfTrue="1">
      <formula>$B736="Tender Received"</formula>
    </cfRule>
  </conditionalFormatting>
  <conditionalFormatting sqref="M735:N736">
    <cfRule type="expression" dxfId="4067" priority="5413" stopIfTrue="1">
      <formula>AND($B735="Tender Received",$D735&lt;=(TODAY()+3))</formula>
    </cfRule>
    <cfRule type="expression" dxfId="4066" priority="5414" stopIfTrue="1">
      <formula>$B735="Tender Received"</formula>
    </cfRule>
  </conditionalFormatting>
  <conditionalFormatting sqref="C736">
    <cfRule type="expression" dxfId="4065" priority="5411" stopIfTrue="1">
      <formula>AND($B736="Tender Received",$D736&lt;=(TODAY()+3))</formula>
    </cfRule>
    <cfRule type="expression" dxfId="4064" priority="5412" stopIfTrue="1">
      <formula>$B736="Tender Received"</formula>
    </cfRule>
  </conditionalFormatting>
  <conditionalFormatting sqref="O736:R736 D736:K736">
    <cfRule type="expression" dxfId="4063" priority="5409" stopIfTrue="1">
      <formula>AND($B736="Tender Received",$D736&lt;=(TODAY()+3))</formula>
    </cfRule>
    <cfRule type="expression" dxfId="4062" priority="5410" stopIfTrue="1">
      <formula>$B736="Tender Received"</formula>
    </cfRule>
  </conditionalFormatting>
  <conditionalFormatting sqref="L735">
    <cfRule type="expression" dxfId="4061" priority="5407" stopIfTrue="1">
      <formula>AND($B735="Tender Received",$D735&lt;=(TODAY()+3))</formula>
    </cfRule>
    <cfRule type="expression" dxfId="4060" priority="5408" stopIfTrue="1">
      <formula>$B735="Tender Received"</formula>
    </cfRule>
  </conditionalFormatting>
  <conditionalFormatting sqref="L735">
    <cfRule type="expression" dxfId="4059" priority="5405" stopIfTrue="1">
      <formula>AND($B735="Tender Received",$D735&lt;=(TODAY()+3))</formula>
    </cfRule>
    <cfRule type="expression" dxfId="4058" priority="5406" stopIfTrue="1">
      <formula>$B735="Tender Received"</formula>
    </cfRule>
  </conditionalFormatting>
  <conditionalFormatting sqref="M736:N736">
    <cfRule type="expression" dxfId="4057" priority="5403" stopIfTrue="1">
      <formula>AND($B736="Tender Received",$D736&lt;=(TODAY()+3))</formula>
    </cfRule>
    <cfRule type="expression" dxfId="4056" priority="5404" stopIfTrue="1">
      <formula>$B736="Tender Received"</formula>
    </cfRule>
  </conditionalFormatting>
  <conditionalFormatting sqref="C736">
    <cfRule type="expression" dxfId="4055" priority="5401" stopIfTrue="1">
      <formula>AND($B736="Tender Received",$D736&lt;=(TODAY()+3))</formula>
    </cfRule>
    <cfRule type="expression" dxfId="4054" priority="5402" stopIfTrue="1">
      <formula>$B736="Tender Received"</formula>
    </cfRule>
  </conditionalFormatting>
  <conditionalFormatting sqref="C735">
    <cfRule type="expression" dxfId="4053" priority="5399" stopIfTrue="1">
      <formula>AND($B735="Tender Received",$D735&lt;=(TODAY()+3))</formula>
    </cfRule>
    <cfRule type="expression" dxfId="4052" priority="5400" stopIfTrue="1">
      <formula>$B735="Tender Received"</formula>
    </cfRule>
  </conditionalFormatting>
  <conditionalFormatting sqref="L736">
    <cfRule type="expression" dxfId="4051" priority="5397" stopIfTrue="1">
      <formula>AND($B736="Tender Received",$D736&lt;=(TODAY()+3))</formula>
    </cfRule>
    <cfRule type="expression" dxfId="4050" priority="5398" stopIfTrue="1">
      <formula>$B736="Tender Received"</formula>
    </cfRule>
  </conditionalFormatting>
  <conditionalFormatting sqref="L736">
    <cfRule type="expression" dxfId="4049" priority="5395" stopIfTrue="1">
      <formula>AND($B736="Tender Received",$D736&lt;=(TODAY()+3))</formula>
    </cfRule>
    <cfRule type="expression" dxfId="4048" priority="5396" stopIfTrue="1">
      <formula>$B736="Tender Received"</formula>
    </cfRule>
  </conditionalFormatting>
  <conditionalFormatting sqref="B737:R737">
    <cfRule type="expression" dxfId="4047" priority="5393" stopIfTrue="1">
      <formula>AND($B737="Tender Received",$D737&lt;=(TODAY()+3))</formula>
    </cfRule>
    <cfRule type="expression" dxfId="4046" priority="5394" stopIfTrue="1">
      <formula>$B737="Tender Received"</formula>
    </cfRule>
  </conditionalFormatting>
  <conditionalFormatting sqref="B738:K738 O738:P738 R738">
    <cfRule type="expression" dxfId="4045" priority="5369" stopIfTrue="1">
      <formula>AND($B738="Tender Received",$D738&lt;=(TODAY()+3))</formula>
    </cfRule>
    <cfRule type="expression" dxfId="4044" priority="5370" stopIfTrue="1">
      <formula>$B738="Tender Received"</formula>
    </cfRule>
  </conditionalFormatting>
  <conditionalFormatting sqref="M738:N738">
    <cfRule type="expression" dxfId="4043" priority="5367" stopIfTrue="1">
      <formula>AND($B738="Tender Received",$D738&lt;=(TODAY()+3))</formula>
    </cfRule>
    <cfRule type="expression" dxfId="4042" priority="5368" stopIfTrue="1">
      <formula>$B738="Tender Received"</formula>
    </cfRule>
  </conditionalFormatting>
  <conditionalFormatting sqref="C738">
    <cfRule type="expression" dxfId="4041" priority="5365" stopIfTrue="1">
      <formula>AND($B738="Tender Received",$D738&lt;=(TODAY()+3))</formula>
    </cfRule>
    <cfRule type="expression" dxfId="4040" priority="5366" stopIfTrue="1">
      <formula>$B738="Tender Received"</formula>
    </cfRule>
  </conditionalFormatting>
  <conditionalFormatting sqref="L738">
    <cfRule type="expression" dxfId="4039" priority="5363" stopIfTrue="1">
      <formula>AND($B738="Tender Received",$D738&lt;=(TODAY()+3))</formula>
    </cfRule>
    <cfRule type="expression" dxfId="4038" priority="5364" stopIfTrue="1">
      <formula>$B738="Tender Received"</formula>
    </cfRule>
  </conditionalFormatting>
  <conditionalFormatting sqref="I738">
    <cfRule type="expression" dxfId="4037" priority="5361" stopIfTrue="1">
      <formula>AND($B738="Tender Received",$D738&lt;=(TODAY()+3))</formula>
    </cfRule>
    <cfRule type="expression" dxfId="4036" priority="5362" stopIfTrue="1">
      <formula>$B738="Tender Received"</formula>
    </cfRule>
  </conditionalFormatting>
  <conditionalFormatting sqref="L738">
    <cfRule type="expression" dxfId="4035" priority="5359" stopIfTrue="1">
      <formula>AND($B738="Tender Received",$D738&lt;=(TODAY()+3))</formula>
    </cfRule>
    <cfRule type="expression" dxfId="4034" priority="5360" stopIfTrue="1">
      <formula>$B738="Tender Received"</formula>
    </cfRule>
  </conditionalFormatting>
  <conditionalFormatting sqref="Q738">
    <cfRule type="expression" dxfId="4033" priority="5357" stopIfTrue="1">
      <formula>AND($B738="Tender Received",$D738&lt;=(TODAY()+3))</formula>
    </cfRule>
    <cfRule type="expression" dxfId="4032" priority="5358" stopIfTrue="1">
      <formula>$B738="Tender Received"</formula>
    </cfRule>
  </conditionalFormatting>
  <conditionalFormatting sqref="O739:R739 B739:H739 J739:K739">
    <cfRule type="expression" dxfId="4031" priority="5355" stopIfTrue="1">
      <formula>AND($B739="Tender Received",$D739&lt;=(TODAY()+3))</formula>
    </cfRule>
    <cfRule type="expression" dxfId="4030" priority="5356" stopIfTrue="1">
      <formula>$B739="Tender Received"</formula>
    </cfRule>
  </conditionalFormatting>
  <conditionalFormatting sqref="M739:N739">
    <cfRule type="expression" dxfId="4029" priority="5353" stopIfTrue="1">
      <formula>AND($B739="Tender Received",$D739&lt;=(TODAY()+3))</formula>
    </cfRule>
    <cfRule type="expression" dxfId="4028" priority="5354" stopIfTrue="1">
      <formula>$B739="Tender Received"</formula>
    </cfRule>
  </conditionalFormatting>
  <conditionalFormatting sqref="L739">
    <cfRule type="expression" dxfId="4027" priority="5351" stopIfTrue="1">
      <formula>AND($B739="Tender Received",$D739&lt;=(TODAY()+3))</formula>
    </cfRule>
    <cfRule type="expression" dxfId="4026" priority="5352" stopIfTrue="1">
      <formula>$B739="Tender Received"</formula>
    </cfRule>
  </conditionalFormatting>
  <conditionalFormatting sqref="L739">
    <cfRule type="expression" dxfId="4025" priority="5349" stopIfTrue="1">
      <formula>AND($B739="Tender Received",$D739&lt;=(TODAY()+3))</formula>
    </cfRule>
    <cfRule type="expression" dxfId="4024" priority="5350" stopIfTrue="1">
      <formula>$B739="Tender Received"</formula>
    </cfRule>
  </conditionalFormatting>
  <conditionalFormatting sqref="I739">
    <cfRule type="expression" dxfId="4023" priority="5347" stopIfTrue="1">
      <formula>AND($B739="Tender Received",$D739&lt;=(TODAY()+3))</formula>
    </cfRule>
    <cfRule type="expression" dxfId="4022" priority="5348" stopIfTrue="1">
      <formula>$B739="Tender Received"</formula>
    </cfRule>
  </conditionalFormatting>
  <conditionalFormatting sqref="B740:R746">
    <cfRule type="expression" dxfId="4021" priority="5345" stopIfTrue="1">
      <formula>AND($B740="Tender Received",$D740&lt;=(TODAY()+3))</formula>
    </cfRule>
    <cfRule type="expression" dxfId="4020" priority="5346" stopIfTrue="1">
      <formula>$B740="Tender Received"</formula>
    </cfRule>
  </conditionalFormatting>
  <conditionalFormatting sqref="B747:B748 D747:K747 D748:I748 K748 O747:R748">
    <cfRule type="expression" dxfId="4019" priority="5333" stopIfTrue="1">
      <formula>AND($B747="Tender Received",$D747&lt;=(TODAY()+3))</formula>
    </cfRule>
    <cfRule type="expression" dxfId="4018" priority="5334" stopIfTrue="1">
      <formula>$B747="Tender Received"</formula>
    </cfRule>
  </conditionalFormatting>
  <conditionalFormatting sqref="I747">
    <cfRule type="expression" dxfId="4017" priority="5331" stopIfTrue="1">
      <formula>AND($B747="Tender Received",$D747&lt;=(TODAY()+3))</formula>
    </cfRule>
    <cfRule type="expression" dxfId="4016" priority="5332" stopIfTrue="1">
      <formula>$B747="Tender Received"</formula>
    </cfRule>
  </conditionalFormatting>
  <conditionalFormatting sqref="M747:N748">
    <cfRule type="expression" dxfId="4015" priority="5329" stopIfTrue="1">
      <formula>AND($B747="Tender Received",$D747&lt;=(TODAY()+3))</formula>
    </cfRule>
    <cfRule type="expression" dxfId="4014" priority="5330" stopIfTrue="1">
      <formula>$B747="Tender Received"</formula>
    </cfRule>
  </conditionalFormatting>
  <conditionalFormatting sqref="C747:C748">
    <cfRule type="expression" dxfId="4013" priority="5327" stopIfTrue="1">
      <formula>AND($B747="Tender Received",$D747&lt;=(TODAY()+3))</formula>
    </cfRule>
    <cfRule type="expression" dxfId="4012" priority="5328" stopIfTrue="1">
      <formula>$B747="Tender Received"</formula>
    </cfRule>
  </conditionalFormatting>
  <conditionalFormatting sqref="I748">
    <cfRule type="expression" dxfId="4011" priority="5325" stopIfTrue="1">
      <formula>AND($B748="Tender Received",$D748&lt;=(TODAY()+3))</formula>
    </cfRule>
    <cfRule type="expression" dxfId="4010" priority="5326" stopIfTrue="1">
      <formula>$B748="Tender Received"</formula>
    </cfRule>
  </conditionalFormatting>
  <conditionalFormatting sqref="L748">
    <cfRule type="expression" dxfId="4009" priority="5323" stopIfTrue="1">
      <formula>AND($B748="Tender Received",$D748&lt;=(TODAY()+3))</formula>
    </cfRule>
    <cfRule type="expression" dxfId="4008" priority="5324" stopIfTrue="1">
      <formula>$B748="Tender Received"</formula>
    </cfRule>
  </conditionalFormatting>
  <conditionalFormatting sqref="L747">
    <cfRule type="expression" dxfId="4007" priority="5321" stopIfTrue="1">
      <formula>AND($B747="Tender Received",$D747&lt;=(TODAY()+3))</formula>
    </cfRule>
    <cfRule type="expression" dxfId="4006" priority="5322" stopIfTrue="1">
      <formula>$B747="Tender Received"</formula>
    </cfRule>
  </conditionalFormatting>
  <conditionalFormatting sqref="L747">
    <cfRule type="expression" dxfId="4005" priority="5319" stopIfTrue="1">
      <formula>AND($B747="Tender Received",$D747&lt;=(TODAY()+3))</formula>
    </cfRule>
    <cfRule type="expression" dxfId="4004" priority="5320" stopIfTrue="1">
      <formula>$B747="Tender Received"</formula>
    </cfRule>
  </conditionalFormatting>
  <conditionalFormatting sqref="L748">
    <cfRule type="expression" dxfId="4003" priority="5317" stopIfTrue="1">
      <formula>AND($B748="Tender Received",$D748&lt;=(TODAY()+3))</formula>
    </cfRule>
    <cfRule type="expression" dxfId="4002" priority="5318" stopIfTrue="1">
      <formula>$B748="Tender Received"</formula>
    </cfRule>
  </conditionalFormatting>
  <conditionalFormatting sqref="J748">
    <cfRule type="expression" dxfId="4001" priority="5315" stopIfTrue="1">
      <formula>AND($B748="Tender Received",$D748&lt;=(TODAY()+3))</formula>
    </cfRule>
    <cfRule type="expression" dxfId="4000" priority="5316" stopIfTrue="1">
      <formula>$B748="Tender Received"</formula>
    </cfRule>
  </conditionalFormatting>
  <conditionalFormatting sqref="B749:B750 D749:K750 O749:R750">
    <cfRule type="expression" dxfId="3999" priority="5309" stopIfTrue="1">
      <formula>AND($B749="Tender Received",$D749&lt;=(TODAY()+3))</formula>
    </cfRule>
    <cfRule type="expression" dxfId="3998" priority="5310" stopIfTrue="1">
      <formula>$B749="Tender Received"</formula>
    </cfRule>
  </conditionalFormatting>
  <conditionalFormatting sqref="M749:N750">
    <cfRule type="expression" dxfId="3997" priority="5307" stopIfTrue="1">
      <formula>AND($B749="Tender Received",$D749&lt;=(TODAY()+3))</formula>
    </cfRule>
    <cfRule type="expression" dxfId="3996" priority="5308" stopIfTrue="1">
      <formula>$B749="Tender Received"</formula>
    </cfRule>
  </conditionalFormatting>
  <conditionalFormatting sqref="L749">
    <cfRule type="expression" dxfId="3995" priority="5305" stopIfTrue="1">
      <formula>AND($B749="Tender Received",$D749&lt;=(TODAY()+3))</formula>
    </cfRule>
    <cfRule type="expression" dxfId="3994" priority="5306" stopIfTrue="1">
      <formula>$B749="Tender Received"</formula>
    </cfRule>
  </conditionalFormatting>
  <conditionalFormatting sqref="C749">
    <cfRule type="expression" dxfId="3993" priority="5303" stopIfTrue="1">
      <formula>AND($B749="Tender Received",$D749&lt;=(TODAY()+3))</formula>
    </cfRule>
    <cfRule type="expression" dxfId="3992" priority="5304" stopIfTrue="1">
      <formula>$B749="Tender Received"</formula>
    </cfRule>
  </conditionalFormatting>
  <conditionalFormatting sqref="L750">
    <cfRule type="expression" dxfId="3991" priority="5301" stopIfTrue="1">
      <formula>AND($B750="Tender Received",$D750&lt;=(TODAY()+3))</formula>
    </cfRule>
    <cfRule type="expression" dxfId="3990" priority="5302" stopIfTrue="1">
      <formula>$B750="Tender Received"</formula>
    </cfRule>
  </conditionalFormatting>
  <conditionalFormatting sqref="I749">
    <cfRule type="expression" dxfId="3989" priority="5299" stopIfTrue="1">
      <formula>AND($B749="Tender Received",$D749&lt;=(TODAY()+3))</formula>
    </cfRule>
    <cfRule type="expression" dxfId="3988" priority="5300" stopIfTrue="1">
      <formula>$B749="Tender Received"</formula>
    </cfRule>
  </conditionalFormatting>
  <conditionalFormatting sqref="L750">
    <cfRule type="expression" dxfId="3987" priority="5297" stopIfTrue="1">
      <formula>AND($B750="Tender Received",$D750&lt;=(TODAY()+3))</formula>
    </cfRule>
    <cfRule type="expression" dxfId="3986" priority="5298" stopIfTrue="1">
      <formula>$B750="Tender Received"</formula>
    </cfRule>
  </conditionalFormatting>
  <conditionalFormatting sqref="L749">
    <cfRule type="expression" dxfId="3985" priority="5295" stopIfTrue="1">
      <formula>AND($B749="Tender Received",$D749&lt;=(TODAY()+3))</formula>
    </cfRule>
    <cfRule type="expression" dxfId="3984" priority="5296" stopIfTrue="1">
      <formula>$B749="Tender Received"</formula>
    </cfRule>
  </conditionalFormatting>
  <conditionalFormatting sqref="C750">
    <cfRule type="expression" dxfId="3983" priority="5293" stopIfTrue="1">
      <formula>AND($B750="Tender Received",$D750&lt;=(TODAY()+3))</formula>
    </cfRule>
    <cfRule type="expression" dxfId="3982" priority="5294" stopIfTrue="1">
      <formula>$B750="Tender Received"</formula>
    </cfRule>
  </conditionalFormatting>
  <conditionalFormatting sqref="B751:R753">
    <cfRule type="expression" dxfId="3981" priority="5291" stopIfTrue="1">
      <formula>AND($B751="Tender Received",$D751&lt;=(TODAY()+3))</formula>
    </cfRule>
    <cfRule type="expression" dxfId="3980" priority="5292" stopIfTrue="1">
      <formula>$B751="Tender Received"</formula>
    </cfRule>
  </conditionalFormatting>
  <conditionalFormatting sqref="J754:K754 D755:K755 D754:H754 B754:B755 O754:R755">
    <cfRule type="expression" dxfId="3979" priority="5285" stopIfTrue="1">
      <formula>AND($B754="Tender Received",$D754&lt;=(TODAY()+3))</formula>
    </cfRule>
    <cfRule type="expression" dxfId="3978" priority="5286" stopIfTrue="1">
      <formula>$B754="Tender Received"</formula>
    </cfRule>
  </conditionalFormatting>
  <conditionalFormatting sqref="I754">
    <cfRule type="expression" dxfId="3977" priority="5283" stopIfTrue="1">
      <formula>AND($B754="Tender Received",$D754&lt;=(TODAY()+3))</formula>
    </cfRule>
    <cfRule type="expression" dxfId="3976" priority="5284" stopIfTrue="1">
      <formula>$B754="Tender Received"</formula>
    </cfRule>
  </conditionalFormatting>
  <conditionalFormatting sqref="M754:N755">
    <cfRule type="expression" dxfId="3975" priority="5281" stopIfTrue="1">
      <formula>AND($B754="Tender Received",$D754&lt;=(TODAY()+3))</formula>
    </cfRule>
    <cfRule type="expression" dxfId="3974" priority="5282" stopIfTrue="1">
      <formula>$B754="Tender Received"</formula>
    </cfRule>
  </conditionalFormatting>
  <conditionalFormatting sqref="L755">
    <cfRule type="expression" dxfId="3973" priority="5279" stopIfTrue="1">
      <formula>AND($B755="Tender Received",$D755&lt;=(TODAY()+3))</formula>
    </cfRule>
    <cfRule type="expression" dxfId="3972" priority="5280" stopIfTrue="1">
      <formula>$B755="Tender Received"</formula>
    </cfRule>
  </conditionalFormatting>
  <conditionalFormatting sqref="C754:C755">
    <cfRule type="expression" dxfId="3971" priority="5277" stopIfTrue="1">
      <formula>AND($B754="Tender Received",$D754&lt;=(TODAY()+3))</formula>
    </cfRule>
    <cfRule type="expression" dxfId="3970" priority="5278" stopIfTrue="1">
      <formula>$B754="Tender Received"</formula>
    </cfRule>
  </conditionalFormatting>
  <conditionalFormatting sqref="M755:R755 O754:R754 D754:K755">
    <cfRule type="expression" dxfId="3969" priority="5275" stopIfTrue="1">
      <formula>AND($B754="Tender Received",$D754&lt;=(TODAY()+3))</formula>
    </cfRule>
    <cfRule type="expression" dxfId="3968" priority="5276" stopIfTrue="1">
      <formula>$B754="Tender Received"</formula>
    </cfRule>
  </conditionalFormatting>
  <conditionalFormatting sqref="M754:N754">
    <cfRule type="expression" dxfId="3967" priority="5273" stopIfTrue="1">
      <formula>AND($B754="Tender Received",$D754&lt;=(TODAY()+3))</formula>
    </cfRule>
    <cfRule type="expression" dxfId="3966" priority="5274" stopIfTrue="1">
      <formula>$B754="Tender Received"</formula>
    </cfRule>
  </conditionalFormatting>
  <conditionalFormatting sqref="C754:C755">
    <cfRule type="expression" dxfId="3965" priority="5271" stopIfTrue="1">
      <formula>AND($B754="Tender Received",$D754&lt;=(TODAY()+3))</formula>
    </cfRule>
    <cfRule type="expression" dxfId="3964" priority="5272" stopIfTrue="1">
      <formula>$B754="Tender Received"</formula>
    </cfRule>
  </conditionalFormatting>
  <conditionalFormatting sqref="L755">
    <cfRule type="expression" dxfId="3963" priority="5269" stopIfTrue="1">
      <formula>AND($B755="Tender Received",$D755&lt;=(TODAY()+3))</formula>
    </cfRule>
    <cfRule type="expression" dxfId="3962" priority="5270" stopIfTrue="1">
      <formula>$B755="Tender Received"</formula>
    </cfRule>
  </conditionalFormatting>
  <conditionalFormatting sqref="L754">
    <cfRule type="expression" dxfId="3961" priority="5267" stopIfTrue="1">
      <formula>AND($B754="Tender Received",$D754&lt;=(TODAY()+3))</formula>
    </cfRule>
    <cfRule type="expression" dxfId="3960" priority="5268" stopIfTrue="1">
      <formula>$B754="Tender Received"</formula>
    </cfRule>
  </conditionalFormatting>
  <conditionalFormatting sqref="L754">
    <cfRule type="expression" dxfId="3959" priority="5265" stopIfTrue="1">
      <formula>AND($B754="Tender Received",$D754&lt;=(TODAY()+3))</formula>
    </cfRule>
    <cfRule type="expression" dxfId="3958" priority="5266" stopIfTrue="1">
      <formula>$B754="Tender Received"</formula>
    </cfRule>
  </conditionalFormatting>
  <conditionalFormatting sqref="B756:B757 E757:M757 Q757:R757">
    <cfRule type="expression" dxfId="3957" priority="5263" stopIfTrue="1">
      <formula>AND($B756="Tender Received",$D756&lt;=(TODAY()+3))</formula>
    </cfRule>
    <cfRule type="expression" dxfId="3956" priority="5264" stopIfTrue="1">
      <formula>$B756="Tender Received"</formula>
    </cfRule>
  </conditionalFormatting>
  <conditionalFormatting sqref="J756:K756 D756:H756 Q756:R756">
    <cfRule type="expression" dxfId="3955" priority="5261" stopIfTrue="1">
      <formula>AND($B756="Tender Received",$D756&lt;=(TODAY()+3))</formula>
    </cfRule>
    <cfRule type="expression" dxfId="3954" priority="5262" stopIfTrue="1">
      <formula>$B756="Tender Received"</formula>
    </cfRule>
  </conditionalFormatting>
  <conditionalFormatting sqref="I756">
    <cfRule type="expression" dxfId="3953" priority="5259" stopIfTrue="1">
      <formula>AND($B756="Tender Received",$D756&lt;=(TODAY()+3))</formula>
    </cfRule>
    <cfRule type="expression" dxfId="3952" priority="5260" stopIfTrue="1">
      <formula>$B756="Tender Received"</formula>
    </cfRule>
  </conditionalFormatting>
  <conditionalFormatting sqref="M756">
    <cfRule type="expression" dxfId="3951" priority="5257" stopIfTrue="1">
      <formula>AND($B756="Tender Received",$D756&lt;=(TODAY()+3))</formula>
    </cfRule>
    <cfRule type="expression" dxfId="3950" priority="5258" stopIfTrue="1">
      <formula>$B756="Tender Received"</formula>
    </cfRule>
  </conditionalFormatting>
  <conditionalFormatting sqref="C756">
    <cfRule type="expression" dxfId="3949" priority="5255" stopIfTrue="1">
      <formula>AND($B756="Tender Received",$D756&lt;=(TODAY()+3))</formula>
    </cfRule>
    <cfRule type="expression" dxfId="3948" priority="5256" stopIfTrue="1">
      <formula>$B756="Tender Received"</formula>
    </cfRule>
  </conditionalFormatting>
  <conditionalFormatting sqref="Q756:R756 D756:K756">
    <cfRule type="expression" dxfId="3947" priority="5253" stopIfTrue="1">
      <formula>AND($B756="Tender Received",$D756&lt;=(TODAY()+3))</formula>
    </cfRule>
    <cfRule type="expression" dxfId="3946" priority="5254" stopIfTrue="1">
      <formula>$B756="Tender Received"</formula>
    </cfRule>
  </conditionalFormatting>
  <conditionalFormatting sqref="M756">
    <cfRule type="expression" dxfId="3945" priority="5251" stopIfTrue="1">
      <formula>AND($B756="Tender Received",$D756&lt;=(TODAY()+3))</formula>
    </cfRule>
    <cfRule type="expression" dxfId="3944" priority="5252" stopIfTrue="1">
      <formula>$B756="Tender Received"</formula>
    </cfRule>
  </conditionalFormatting>
  <conditionalFormatting sqref="C756">
    <cfRule type="expression" dxfId="3943" priority="5249" stopIfTrue="1">
      <formula>AND($B756="Tender Received",$D756&lt;=(TODAY()+3))</formula>
    </cfRule>
    <cfRule type="expression" dxfId="3942" priority="5250" stopIfTrue="1">
      <formula>$B756="Tender Received"</formula>
    </cfRule>
  </conditionalFormatting>
  <conditionalFormatting sqref="L756">
    <cfRule type="expression" dxfId="3941" priority="5247" stopIfTrue="1">
      <formula>AND($B756="Tender Received",$D756&lt;=(TODAY()+3))</formula>
    </cfRule>
    <cfRule type="expression" dxfId="3940" priority="5248" stopIfTrue="1">
      <formula>$B756="Tender Received"</formula>
    </cfRule>
  </conditionalFormatting>
  <conditionalFormatting sqref="L756">
    <cfRule type="expression" dxfId="3939" priority="5245" stopIfTrue="1">
      <formula>AND($B756="Tender Received",$D756&lt;=(TODAY()+3))</formula>
    </cfRule>
    <cfRule type="expression" dxfId="3938" priority="5246" stopIfTrue="1">
      <formula>$B756="Tender Received"</formula>
    </cfRule>
  </conditionalFormatting>
  <conditionalFormatting sqref="N756:P756">
    <cfRule type="expression" dxfId="3937" priority="5243" stopIfTrue="1">
      <formula>AND($B756="Tender Received",$D756&lt;=(TODAY()+3))</formula>
    </cfRule>
    <cfRule type="expression" dxfId="3936" priority="5244" stopIfTrue="1">
      <formula>$B756="Tender Received"</formula>
    </cfRule>
  </conditionalFormatting>
  <conditionalFormatting sqref="D757">
    <cfRule type="expression" dxfId="3935" priority="5241" stopIfTrue="1">
      <formula>AND($B757="Tender Received",$D757&lt;=(TODAY()+3))</formula>
    </cfRule>
    <cfRule type="expression" dxfId="3934" priority="5242" stopIfTrue="1">
      <formula>$B757="Tender Received"</formula>
    </cfRule>
  </conditionalFormatting>
  <conditionalFormatting sqref="C757">
    <cfRule type="expression" dxfId="3933" priority="5239" stopIfTrue="1">
      <formula>AND($B757="Tender Received",$D757&lt;=(TODAY()+3))</formula>
    </cfRule>
    <cfRule type="expression" dxfId="3932" priority="5240" stopIfTrue="1">
      <formula>$B757="Tender Received"</formula>
    </cfRule>
  </conditionalFormatting>
  <conditionalFormatting sqref="D757">
    <cfRule type="expression" dxfId="3931" priority="5237" stopIfTrue="1">
      <formula>AND($B757="Tender Received",$D757&lt;=(TODAY()+3))</formula>
    </cfRule>
    <cfRule type="expression" dxfId="3930" priority="5238" stopIfTrue="1">
      <formula>$B757="Tender Received"</formula>
    </cfRule>
  </conditionalFormatting>
  <conditionalFormatting sqref="C757">
    <cfRule type="expression" dxfId="3929" priority="5235" stopIfTrue="1">
      <formula>AND($B757="Tender Received",$D757&lt;=(TODAY()+3))</formula>
    </cfRule>
    <cfRule type="expression" dxfId="3928" priority="5236" stopIfTrue="1">
      <formula>$B757="Tender Received"</formula>
    </cfRule>
  </conditionalFormatting>
  <conditionalFormatting sqref="N757:P757">
    <cfRule type="expression" dxfId="3927" priority="5233" stopIfTrue="1">
      <formula>AND($B757="Tender Received",$D757&lt;=(TODAY()+3))</formula>
    </cfRule>
    <cfRule type="expression" dxfId="3926" priority="5234" stopIfTrue="1">
      <formula>$B757="Tender Received"</formula>
    </cfRule>
  </conditionalFormatting>
  <conditionalFormatting sqref="O758:P758 R758 B758:K758">
    <cfRule type="expression" dxfId="3925" priority="5229" stopIfTrue="1">
      <formula>AND($B758="Tender Received",$D758&lt;=(TODAY()+3))</formula>
    </cfRule>
    <cfRule type="expression" dxfId="3924" priority="5230" stopIfTrue="1">
      <formula>$B758="Tender Received"</formula>
    </cfRule>
  </conditionalFormatting>
  <conditionalFormatting sqref="M758:N758">
    <cfRule type="expression" dxfId="3923" priority="5227" stopIfTrue="1">
      <formula>AND($B758="Tender Received",$D758&lt;=(TODAY()+3))</formula>
    </cfRule>
    <cfRule type="expression" dxfId="3922" priority="5228" stopIfTrue="1">
      <formula>$B758="Tender Received"</formula>
    </cfRule>
  </conditionalFormatting>
  <conditionalFormatting sqref="L758">
    <cfRule type="expression" dxfId="3921" priority="5225" stopIfTrue="1">
      <formula>AND($B758="Tender Received",$D758&lt;=(TODAY()+3))</formula>
    </cfRule>
    <cfRule type="expression" dxfId="3920" priority="5226" stopIfTrue="1">
      <formula>$B758="Tender Received"</formula>
    </cfRule>
  </conditionalFormatting>
  <conditionalFormatting sqref="L758">
    <cfRule type="expression" dxfId="3919" priority="5223" stopIfTrue="1">
      <formula>AND($B758="Tender Received",$D758&lt;=(TODAY()+3))</formula>
    </cfRule>
    <cfRule type="expression" dxfId="3918" priority="5224" stopIfTrue="1">
      <formula>$B758="Tender Received"</formula>
    </cfRule>
  </conditionalFormatting>
  <conditionalFormatting sqref="Q758">
    <cfRule type="expression" dxfId="3917" priority="5221" stopIfTrue="1">
      <formula>AND($B758="Tender Received",$D758&lt;=(TODAY()+3))</formula>
    </cfRule>
    <cfRule type="expression" dxfId="3916" priority="5222" stopIfTrue="1">
      <formula>$B758="Tender Received"</formula>
    </cfRule>
  </conditionalFormatting>
  <conditionalFormatting sqref="C759:R759 B759:B761">
    <cfRule type="expression" dxfId="3915" priority="5219" stopIfTrue="1">
      <formula>AND($B759="Tender Received",$D759&lt;=(TODAY()+3))</formula>
    </cfRule>
    <cfRule type="expression" dxfId="3914" priority="5220" stopIfTrue="1">
      <formula>$B759="Tender Received"</formula>
    </cfRule>
  </conditionalFormatting>
  <conditionalFormatting sqref="L759">
    <cfRule type="expression" dxfId="3913" priority="5217" stopIfTrue="1">
      <formula>AND($B759="Tender Received",$D759&lt;=(TODAY()+3))</formula>
    </cfRule>
    <cfRule type="expression" dxfId="3912" priority="5218" stopIfTrue="1">
      <formula>$B759="Tender Received"</formula>
    </cfRule>
  </conditionalFormatting>
  <conditionalFormatting sqref="C760:H760 J760:K760 M760:R760">
    <cfRule type="expression" dxfId="3911" priority="5215" stopIfTrue="1">
      <formula>AND($B760="Tender Received",$D760&lt;=(TODAY()+3))</formula>
    </cfRule>
    <cfRule type="expression" dxfId="3910" priority="5216" stopIfTrue="1">
      <formula>$B760="Tender Received"</formula>
    </cfRule>
  </conditionalFormatting>
  <conditionalFormatting sqref="L760">
    <cfRule type="expression" dxfId="3909" priority="5213" stopIfTrue="1">
      <formula>AND($B760="Tender Received",$D760&lt;=(TODAY()+3))</formula>
    </cfRule>
    <cfRule type="expression" dxfId="3908" priority="5214" stopIfTrue="1">
      <formula>$B760="Tender Received"</formula>
    </cfRule>
  </conditionalFormatting>
  <conditionalFormatting sqref="I760">
    <cfRule type="expression" dxfId="3907" priority="5211" stopIfTrue="1">
      <formula>AND($B760="Tender Received",$D760&lt;=(TODAY()+3))</formula>
    </cfRule>
    <cfRule type="expression" dxfId="3906" priority="5212" stopIfTrue="1">
      <formula>$B760="Tender Received"</formula>
    </cfRule>
  </conditionalFormatting>
  <conditionalFormatting sqref="J761:M761 C761:G761 Q761:R761">
    <cfRule type="expression" dxfId="3905" priority="5209" stopIfTrue="1">
      <formula>AND($B761="Tender Received",$D761&lt;=(TODAY()+3))</formula>
    </cfRule>
    <cfRule type="expression" dxfId="3904" priority="5210" stopIfTrue="1">
      <formula>$B761="Tender Received"</formula>
    </cfRule>
  </conditionalFormatting>
  <conditionalFormatting sqref="I761">
    <cfRule type="expression" dxfId="3903" priority="5207" stopIfTrue="1">
      <formula>AND($B761="Tender Received",$D761&lt;=(TODAY()+3))</formula>
    </cfRule>
    <cfRule type="expression" dxfId="3902" priority="5208" stopIfTrue="1">
      <formula>$B761="Tender Received"</formula>
    </cfRule>
  </conditionalFormatting>
  <conditionalFormatting sqref="N761:P761">
    <cfRule type="expression" dxfId="3901" priority="5205" stopIfTrue="1">
      <formula>AND($B761="Tender Received",$D761&lt;=(TODAY()+3))</formula>
    </cfRule>
    <cfRule type="expression" dxfId="3900" priority="5206" stopIfTrue="1">
      <formula>$B761="Tender Received"</formula>
    </cfRule>
  </conditionalFormatting>
  <conditionalFormatting sqref="H761">
    <cfRule type="expression" dxfId="3899" priority="5203" stopIfTrue="1">
      <formula>AND($B761="Tender Received",$D761&lt;=(TODAY()+3))</formula>
    </cfRule>
    <cfRule type="expression" dxfId="3898" priority="5204" stopIfTrue="1">
      <formula>$B761="Tender Received"</formula>
    </cfRule>
  </conditionalFormatting>
  <conditionalFormatting sqref="C759:H759 J759:K759 M759:R759">
    <cfRule type="expression" dxfId="3897" priority="5201" stopIfTrue="1">
      <formula>AND($B759="Tender Received",$D759&lt;=(TODAY()+3))</formula>
    </cfRule>
    <cfRule type="expression" dxfId="3896" priority="5202" stopIfTrue="1">
      <formula>$B759="Tender Received"</formula>
    </cfRule>
  </conditionalFormatting>
  <conditionalFormatting sqref="L759">
    <cfRule type="expression" dxfId="3895" priority="5199" stopIfTrue="1">
      <formula>AND($B759="Tender Received",$D759&lt;=(TODAY()+3))</formula>
    </cfRule>
    <cfRule type="expression" dxfId="3894" priority="5200" stopIfTrue="1">
      <formula>$B759="Tender Received"</formula>
    </cfRule>
  </conditionalFormatting>
  <conditionalFormatting sqref="I759">
    <cfRule type="expression" dxfId="3893" priority="5197" stopIfTrue="1">
      <formula>AND($B759="Tender Received",$D759&lt;=(TODAY()+3))</formula>
    </cfRule>
    <cfRule type="expression" dxfId="3892" priority="5198" stopIfTrue="1">
      <formula>$B759="Tender Received"</formula>
    </cfRule>
  </conditionalFormatting>
  <conditionalFormatting sqref="J760:M760 C760:G760 Q760:R760">
    <cfRule type="expression" dxfId="3891" priority="5195" stopIfTrue="1">
      <formula>AND($B760="Tender Received",$D760&lt;=(TODAY()+3))</formula>
    </cfRule>
    <cfRule type="expression" dxfId="3890" priority="5196" stopIfTrue="1">
      <formula>$B760="Tender Received"</formula>
    </cfRule>
  </conditionalFormatting>
  <conditionalFormatting sqref="I760">
    <cfRule type="expression" dxfId="3889" priority="5193" stopIfTrue="1">
      <formula>AND($B760="Tender Received",$D760&lt;=(TODAY()+3))</formula>
    </cfRule>
    <cfRule type="expression" dxfId="3888" priority="5194" stopIfTrue="1">
      <formula>$B760="Tender Received"</formula>
    </cfRule>
  </conditionalFormatting>
  <conditionalFormatting sqref="N760:P760">
    <cfRule type="expression" dxfId="3887" priority="5191" stopIfTrue="1">
      <formula>AND($B760="Tender Received",$D760&lt;=(TODAY()+3))</formula>
    </cfRule>
    <cfRule type="expression" dxfId="3886" priority="5192" stopIfTrue="1">
      <formula>$B760="Tender Received"</formula>
    </cfRule>
  </conditionalFormatting>
  <conditionalFormatting sqref="H760">
    <cfRule type="expression" dxfId="3885" priority="5189" stopIfTrue="1">
      <formula>AND($B760="Tender Received",$D760&lt;=(TODAY()+3))</formula>
    </cfRule>
    <cfRule type="expression" dxfId="3884" priority="5190" stopIfTrue="1">
      <formula>$B760="Tender Received"</formula>
    </cfRule>
  </conditionalFormatting>
  <conditionalFormatting sqref="B762:B764">
    <cfRule type="expression" dxfId="3883" priority="5145" stopIfTrue="1">
      <formula>AND($B762="Tender Received",$D762&lt;=(TODAY()+3))</formula>
    </cfRule>
    <cfRule type="expression" dxfId="3882" priority="5146" stopIfTrue="1">
      <formula>$B762="Tender Received"</formula>
    </cfRule>
  </conditionalFormatting>
  <conditionalFormatting sqref="E762:M764 Q762:R764">
    <cfRule type="expression" dxfId="3881" priority="5143" stopIfTrue="1">
      <formula>AND($B762="Tender Received",$D762&lt;=(TODAY()+3))</formula>
    </cfRule>
    <cfRule type="expression" dxfId="3880" priority="5144" stopIfTrue="1">
      <formula>$B762="Tender Received"</formula>
    </cfRule>
  </conditionalFormatting>
  <conditionalFormatting sqref="D762:D764">
    <cfRule type="expression" dxfId="3879" priority="5141" stopIfTrue="1">
      <formula>AND($B762="Tender Received",$D762&lt;=(TODAY()+3))</formula>
    </cfRule>
    <cfRule type="expression" dxfId="3878" priority="5142" stopIfTrue="1">
      <formula>$B762="Tender Received"</formula>
    </cfRule>
  </conditionalFormatting>
  <conditionalFormatting sqref="C762:C764">
    <cfRule type="expression" dxfId="3877" priority="5139" stopIfTrue="1">
      <formula>AND($B762="Tender Received",$D762&lt;=(TODAY()+3))</formula>
    </cfRule>
    <cfRule type="expression" dxfId="3876" priority="5140" stopIfTrue="1">
      <formula>$B762="Tender Received"</formula>
    </cfRule>
  </conditionalFormatting>
  <conditionalFormatting sqref="D762:D764">
    <cfRule type="expression" dxfId="3875" priority="5137" stopIfTrue="1">
      <formula>AND($B762="Tender Received",$D762&lt;=(TODAY()+3))</formula>
    </cfRule>
    <cfRule type="expression" dxfId="3874" priority="5138" stopIfTrue="1">
      <formula>$B762="Tender Received"</formula>
    </cfRule>
  </conditionalFormatting>
  <conditionalFormatting sqref="C762:C764">
    <cfRule type="expression" dxfId="3873" priority="5135" stopIfTrue="1">
      <formula>AND($B762="Tender Received",$D762&lt;=(TODAY()+3))</formula>
    </cfRule>
    <cfRule type="expression" dxfId="3872" priority="5136" stopIfTrue="1">
      <formula>$B762="Tender Received"</formula>
    </cfRule>
  </conditionalFormatting>
  <conditionalFormatting sqref="N762:P764">
    <cfRule type="expression" dxfId="3871" priority="5133" stopIfTrue="1">
      <formula>AND($B762="Tender Received",$D762&lt;=(TODAY()+3))</formula>
    </cfRule>
    <cfRule type="expression" dxfId="3870" priority="5134" stopIfTrue="1">
      <formula>$B762="Tender Received"</formula>
    </cfRule>
  </conditionalFormatting>
  <conditionalFormatting sqref="I91">
    <cfRule type="expression" dxfId="3869" priority="5131" stopIfTrue="1">
      <formula>AND($B91="Tender Received",$D91&lt;=(TODAY()+3))</formula>
    </cfRule>
    <cfRule type="expression" dxfId="3868" priority="5132" stopIfTrue="1">
      <formula>$B91="Tender Received"</formula>
    </cfRule>
  </conditionalFormatting>
  <conditionalFormatting sqref="H80">
    <cfRule type="expression" dxfId="3867" priority="5129" stopIfTrue="1">
      <formula>AND($B80="Tender Received",$D80&lt;=(TODAY()+3))</formula>
    </cfRule>
    <cfRule type="expression" dxfId="3866" priority="5130" stopIfTrue="1">
      <formula>$B80="Tender Received"</formula>
    </cfRule>
  </conditionalFormatting>
  <conditionalFormatting sqref="Q80">
    <cfRule type="expression" dxfId="3865" priority="5127" stopIfTrue="1">
      <formula>AND($B80="Tender Received",$D80&lt;=(TODAY()+3))</formula>
    </cfRule>
    <cfRule type="expression" dxfId="3864" priority="5128" stopIfTrue="1">
      <formula>$B80="Tender Received"</formula>
    </cfRule>
  </conditionalFormatting>
  <conditionalFormatting sqref="J765:K765 D766:K766 D765:H765 B765:B766 O765:R766">
    <cfRule type="expression" dxfId="3863" priority="5105" stopIfTrue="1">
      <formula>AND($B765="Tender Received",$D765&lt;=(TODAY()+3))</formula>
    </cfRule>
    <cfRule type="expression" dxfId="3862" priority="5106" stopIfTrue="1">
      <formula>$B765="Tender Received"</formula>
    </cfRule>
  </conditionalFormatting>
  <conditionalFormatting sqref="I765">
    <cfRule type="expression" dxfId="3861" priority="5103" stopIfTrue="1">
      <formula>AND($B765="Tender Received",$D765&lt;=(TODAY()+3))</formula>
    </cfRule>
    <cfRule type="expression" dxfId="3860" priority="5104" stopIfTrue="1">
      <formula>$B765="Tender Received"</formula>
    </cfRule>
  </conditionalFormatting>
  <conditionalFormatting sqref="M765:N766">
    <cfRule type="expression" dxfId="3859" priority="5101" stopIfTrue="1">
      <formula>AND($B765="Tender Received",$D765&lt;=(TODAY()+3))</formula>
    </cfRule>
    <cfRule type="expression" dxfId="3858" priority="5102" stopIfTrue="1">
      <formula>$B765="Tender Received"</formula>
    </cfRule>
  </conditionalFormatting>
  <conditionalFormatting sqref="L766">
    <cfRule type="expression" dxfId="3857" priority="5099" stopIfTrue="1">
      <formula>AND($B766="Tender Received",$D766&lt;=(TODAY()+3))</formula>
    </cfRule>
    <cfRule type="expression" dxfId="3856" priority="5100" stopIfTrue="1">
      <formula>$B766="Tender Received"</formula>
    </cfRule>
  </conditionalFormatting>
  <conditionalFormatting sqref="C765:C766">
    <cfRule type="expression" dxfId="3855" priority="5097" stopIfTrue="1">
      <formula>AND($B765="Tender Received",$D765&lt;=(TODAY()+3))</formula>
    </cfRule>
    <cfRule type="expression" dxfId="3854" priority="5098" stopIfTrue="1">
      <formula>$B765="Tender Received"</formula>
    </cfRule>
  </conditionalFormatting>
  <conditionalFormatting sqref="M766:R766 O765:R765 D765:K766">
    <cfRule type="expression" dxfId="3853" priority="5095" stopIfTrue="1">
      <formula>AND($B765="Tender Received",$D765&lt;=(TODAY()+3))</formula>
    </cfRule>
    <cfRule type="expression" dxfId="3852" priority="5096" stopIfTrue="1">
      <formula>$B765="Tender Received"</formula>
    </cfRule>
  </conditionalFormatting>
  <conditionalFormatting sqref="M765:N765">
    <cfRule type="expression" dxfId="3851" priority="5093" stopIfTrue="1">
      <formula>AND($B765="Tender Received",$D765&lt;=(TODAY()+3))</formula>
    </cfRule>
    <cfRule type="expression" dxfId="3850" priority="5094" stopIfTrue="1">
      <formula>$B765="Tender Received"</formula>
    </cfRule>
  </conditionalFormatting>
  <conditionalFormatting sqref="C765:C766">
    <cfRule type="expression" dxfId="3849" priority="5091" stopIfTrue="1">
      <formula>AND($B765="Tender Received",$D765&lt;=(TODAY()+3))</formula>
    </cfRule>
    <cfRule type="expression" dxfId="3848" priority="5092" stopIfTrue="1">
      <formula>$B765="Tender Received"</formula>
    </cfRule>
  </conditionalFormatting>
  <conditionalFormatting sqref="L766">
    <cfRule type="expression" dxfId="3847" priority="5089" stopIfTrue="1">
      <formula>AND($B766="Tender Received",$D766&lt;=(TODAY()+3))</formula>
    </cfRule>
    <cfRule type="expression" dxfId="3846" priority="5090" stopIfTrue="1">
      <formula>$B766="Tender Received"</formula>
    </cfRule>
  </conditionalFormatting>
  <conditionalFormatting sqref="L765">
    <cfRule type="expression" dxfId="3845" priority="5087" stopIfTrue="1">
      <formula>AND($B765="Tender Received",$D765&lt;=(TODAY()+3))</formula>
    </cfRule>
    <cfRule type="expression" dxfId="3844" priority="5088" stopIfTrue="1">
      <formula>$B765="Tender Received"</formula>
    </cfRule>
  </conditionalFormatting>
  <conditionalFormatting sqref="L765">
    <cfRule type="expression" dxfId="3843" priority="5085" stopIfTrue="1">
      <formula>AND($B765="Tender Received",$D765&lt;=(TODAY()+3))</formula>
    </cfRule>
    <cfRule type="expression" dxfId="3842" priority="5086" stopIfTrue="1">
      <formula>$B765="Tender Received"</formula>
    </cfRule>
  </conditionalFormatting>
  <conditionalFormatting sqref="B767">
    <cfRule type="expression" dxfId="3841" priority="5083" stopIfTrue="1">
      <formula>AND($B767="Tender Received",$D767&lt;=(TODAY()+3))</formula>
    </cfRule>
    <cfRule type="expression" dxfId="3840" priority="5084" stopIfTrue="1">
      <formula>$B767="Tender Received"</formula>
    </cfRule>
  </conditionalFormatting>
  <conditionalFormatting sqref="C767:G767 J767:K767 M767:P767 R767">
    <cfRule type="expression" dxfId="3839" priority="5081" stopIfTrue="1">
      <formula>AND($B767="Tender Received",$D767&lt;=(TODAY()+3))</formula>
    </cfRule>
    <cfRule type="expression" dxfId="3838" priority="5082" stopIfTrue="1">
      <formula>$B767="Tender Received"</formula>
    </cfRule>
  </conditionalFormatting>
  <conditionalFormatting sqref="M767:N767">
    <cfRule type="expression" dxfId="3837" priority="5079" stopIfTrue="1">
      <formula>AND($B767="Tender Received",$D767&lt;=(TODAY()+3))</formula>
    </cfRule>
    <cfRule type="expression" dxfId="3836" priority="5080" stopIfTrue="1">
      <formula>$B767="Tender Received"</formula>
    </cfRule>
  </conditionalFormatting>
  <conditionalFormatting sqref="L767">
    <cfRule type="expression" dxfId="3835" priority="5077" stopIfTrue="1">
      <formula>AND($B767="Tender Received",$D767&lt;=(TODAY()+3))</formula>
    </cfRule>
    <cfRule type="expression" dxfId="3834" priority="5078" stopIfTrue="1">
      <formula>$B767="Tender Received"</formula>
    </cfRule>
  </conditionalFormatting>
  <conditionalFormatting sqref="C767">
    <cfRule type="expression" dxfId="3833" priority="5075" stopIfTrue="1">
      <formula>AND($B767="Tender Received",$D767&lt;=(TODAY()+3))</formula>
    </cfRule>
    <cfRule type="expression" dxfId="3832" priority="5076" stopIfTrue="1">
      <formula>$B767="Tender Received"</formula>
    </cfRule>
  </conditionalFormatting>
  <conditionalFormatting sqref="L767">
    <cfRule type="expression" dxfId="3831" priority="5073" stopIfTrue="1">
      <formula>AND($B767="Tender Received",$D767&lt;=(TODAY()+3))</formula>
    </cfRule>
    <cfRule type="expression" dxfId="3830" priority="5074" stopIfTrue="1">
      <formula>$B767="Tender Received"</formula>
    </cfRule>
  </conditionalFormatting>
  <conditionalFormatting sqref="H767:I767">
    <cfRule type="expression" dxfId="3829" priority="5071" stopIfTrue="1">
      <formula>AND($B767="Tender Received",$D767&lt;=(TODAY()+3))</formula>
    </cfRule>
    <cfRule type="expression" dxfId="3828" priority="5072" stopIfTrue="1">
      <formula>$B767="Tender Received"</formula>
    </cfRule>
  </conditionalFormatting>
  <conditionalFormatting sqref="Q767">
    <cfRule type="expression" dxfId="3827" priority="5069" stopIfTrue="1">
      <formula>AND($B767="Tender Received",$D767&lt;=(TODAY()+3))</formula>
    </cfRule>
    <cfRule type="expression" dxfId="3826" priority="5070" stopIfTrue="1">
      <formula>$B767="Tender Received"</formula>
    </cfRule>
  </conditionalFormatting>
  <conditionalFormatting sqref="B770:R770 B768:B769">
    <cfRule type="expression" dxfId="3825" priority="5067" stopIfTrue="1">
      <formula>AND($B768="Tender Received",$D768&lt;=(TODAY()+3))</formula>
    </cfRule>
    <cfRule type="expression" dxfId="3824" priority="5068" stopIfTrue="1">
      <formula>$B768="Tender Received"</formula>
    </cfRule>
  </conditionalFormatting>
  <conditionalFormatting sqref="J768:K770 M768:P770 R768:R770 C768:G770">
    <cfRule type="expression" dxfId="3823" priority="5065" stopIfTrue="1">
      <formula>AND($B768="Tender Received",$D768&lt;=(TODAY()+3))</formula>
    </cfRule>
    <cfRule type="expression" dxfId="3822" priority="5066" stopIfTrue="1">
      <formula>$B768="Tender Received"</formula>
    </cfRule>
  </conditionalFormatting>
  <conditionalFormatting sqref="M768:N770">
    <cfRule type="expression" dxfId="3821" priority="5063" stopIfTrue="1">
      <formula>AND($B768="Tender Received",$D768&lt;=(TODAY()+3))</formula>
    </cfRule>
    <cfRule type="expression" dxfId="3820" priority="5064" stopIfTrue="1">
      <formula>$B768="Tender Received"</formula>
    </cfRule>
  </conditionalFormatting>
  <conditionalFormatting sqref="L768:L770">
    <cfRule type="expression" dxfId="3819" priority="5061" stopIfTrue="1">
      <formula>AND($B768="Tender Received",$D768&lt;=(TODAY()+3))</formula>
    </cfRule>
    <cfRule type="expression" dxfId="3818" priority="5062" stopIfTrue="1">
      <formula>$B768="Tender Received"</formula>
    </cfRule>
  </conditionalFormatting>
  <conditionalFormatting sqref="C768:C770">
    <cfRule type="expression" dxfId="3817" priority="5059" stopIfTrue="1">
      <formula>AND($B768="Tender Received",$D768&lt;=(TODAY()+3))</formula>
    </cfRule>
    <cfRule type="expression" dxfId="3816" priority="5060" stopIfTrue="1">
      <formula>$B768="Tender Received"</formula>
    </cfRule>
  </conditionalFormatting>
  <conditionalFormatting sqref="L768:L770">
    <cfRule type="expression" dxfId="3815" priority="5057" stopIfTrue="1">
      <formula>AND($B768="Tender Received",$D768&lt;=(TODAY()+3))</formula>
    </cfRule>
    <cfRule type="expression" dxfId="3814" priority="5058" stopIfTrue="1">
      <formula>$B768="Tender Received"</formula>
    </cfRule>
  </conditionalFormatting>
  <conditionalFormatting sqref="H768:I770">
    <cfRule type="expression" dxfId="3813" priority="5055" stopIfTrue="1">
      <formula>AND($B768="Tender Received",$D768&lt;=(TODAY()+3))</formula>
    </cfRule>
    <cfRule type="expression" dxfId="3812" priority="5056" stopIfTrue="1">
      <formula>$B768="Tender Received"</formula>
    </cfRule>
  </conditionalFormatting>
  <conditionalFormatting sqref="Q768:Q770">
    <cfRule type="expression" dxfId="3811" priority="5053" stopIfTrue="1">
      <formula>AND($B768="Tender Received",$D768&lt;=(TODAY()+3))</formula>
    </cfRule>
    <cfRule type="expression" dxfId="3810" priority="5054" stopIfTrue="1">
      <formula>$B768="Tender Received"</formula>
    </cfRule>
  </conditionalFormatting>
  <conditionalFormatting sqref="B771">
    <cfRule type="expression" dxfId="3809" priority="5043" stopIfTrue="1">
      <formula>AND($B771="Tender Received",$D771&lt;=(TODAY()+3))</formula>
    </cfRule>
    <cfRule type="expression" dxfId="3808" priority="5044" stopIfTrue="1">
      <formula>$B771="Tender Received"</formula>
    </cfRule>
  </conditionalFormatting>
  <conditionalFormatting sqref="O771:P771 R771 C771:K771">
    <cfRule type="expression" dxfId="3807" priority="5041" stopIfTrue="1">
      <formula>AND($B771="Tender Received",$D771&lt;=(TODAY()+3))</formula>
    </cfRule>
    <cfRule type="expression" dxfId="3806" priority="5042" stopIfTrue="1">
      <formula>$B771="Tender Received"</formula>
    </cfRule>
  </conditionalFormatting>
  <conditionalFormatting sqref="M771:N771">
    <cfRule type="expression" dxfId="3805" priority="5039" stopIfTrue="1">
      <formula>AND($B771="Tender Received",$D771&lt;=(TODAY()+3))</formula>
    </cfRule>
    <cfRule type="expression" dxfId="3804" priority="5040" stopIfTrue="1">
      <formula>$B771="Tender Received"</formula>
    </cfRule>
  </conditionalFormatting>
  <conditionalFormatting sqref="L771">
    <cfRule type="expression" dxfId="3803" priority="5037" stopIfTrue="1">
      <formula>AND($B771="Tender Received",$D771&lt;=(TODAY()+3))</formula>
    </cfRule>
    <cfRule type="expression" dxfId="3802" priority="5038" stopIfTrue="1">
      <formula>$B771="Tender Received"</formula>
    </cfRule>
  </conditionalFormatting>
  <conditionalFormatting sqref="L771">
    <cfRule type="expression" dxfId="3801" priority="5035" stopIfTrue="1">
      <formula>AND($B771="Tender Received",$D771&lt;=(TODAY()+3))</formula>
    </cfRule>
    <cfRule type="expression" dxfId="3800" priority="5036" stopIfTrue="1">
      <formula>$B771="Tender Received"</formula>
    </cfRule>
  </conditionalFormatting>
  <conditionalFormatting sqref="Q771">
    <cfRule type="expression" dxfId="3799" priority="5033" stopIfTrue="1">
      <formula>AND($B771="Tender Received",$D771&lt;=(TODAY()+3))</formula>
    </cfRule>
    <cfRule type="expression" dxfId="3798" priority="5034" stopIfTrue="1">
      <formula>$B771="Tender Received"</formula>
    </cfRule>
  </conditionalFormatting>
  <conditionalFormatting sqref="B772:B774">
    <cfRule type="expression" dxfId="3797" priority="5029" stopIfTrue="1">
      <formula>AND($B772="Tender Received",$D772&lt;=(TODAY()+3))</formula>
    </cfRule>
    <cfRule type="expression" dxfId="3796" priority="5030" stopIfTrue="1">
      <formula>$B772="Tender Received"</formula>
    </cfRule>
  </conditionalFormatting>
  <conditionalFormatting sqref="O772:P774 R772:R774 C772:K774">
    <cfRule type="expression" dxfId="3795" priority="5027" stopIfTrue="1">
      <formula>AND($B772="Tender Received",$D772&lt;=(TODAY()+3))</formula>
    </cfRule>
    <cfRule type="expression" dxfId="3794" priority="5028" stopIfTrue="1">
      <formula>$B772="Tender Received"</formula>
    </cfRule>
  </conditionalFormatting>
  <conditionalFormatting sqref="M772:N774">
    <cfRule type="expression" dxfId="3793" priority="5025" stopIfTrue="1">
      <formula>AND($B772="Tender Received",$D772&lt;=(TODAY()+3))</formula>
    </cfRule>
    <cfRule type="expression" dxfId="3792" priority="5026" stopIfTrue="1">
      <formula>$B772="Tender Received"</formula>
    </cfRule>
  </conditionalFormatting>
  <conditionalFormatting sqref="L772:L774">
    <cfRule type="expression" dxfId="3791" priority="5023" stopIfTrue="1">
      <formula>AND($B772="Tender Received",$D772&lt;=(TODAY()+3))</formula>
    </cfRule>
    <cfRule type="expression" dxfId="3790" priority="5024" stopIfTrue="1">
      <formula>$B772="Tender Received"</formula>
    </cfRule>
  </conditionalFormatting>
  <conditionalFormatting sqref="L772:L774">
    <cfRule type="expression" dxfId="3789" priority="5021" stopIfTrue="1">
      <formula>AND($B772="Tender Received",$D772&lt;=(TODAY()+3))</formula>
    </cfRule>
    <cfRule type="expression" dxfId="3788" priority="5022" stopIfTrue="1">
      <formula>$B772="Tender Received"</formula>
    </cfRule>
  </conditionalFormatting>
  <conditionalFormatting sqref="Q772:Q774">
    <cfRule type="expression" dxfId="3787" priority="5019" stopIfTrue="1">
      <formula>AND($B772="Tender Received",$D772&lt;=(TODAY()+3))</formula>
    </cfRule>
    <cfRule type="expression" dxfId="3786" priority="5020" stopIfTrue="1">
      <formula>$B772="Tender Received"</formula>
    </cfRule>
  </conditionalFormatting>
  <conditionalFormatting sqref="B775">
    <cfRule type="expression" dxfId="3785" priority="5001" stopIfTrue="1">
      <formula>AND($B775="Tender Received",$D775&lt;=(TODAY()+3))</formula>
    </cfRule>
    <cfRule type="expression" dxfId="3784" priority="5002" stopIfTrue="1">
      <formula>$B775="Tender Received"</formula>
    </cfRule>
  </conditionalFormatting>
  <conditionalFormatting sqref="O775:P775 R775 C775:K775">
    <cfRule type="expression" dxfId="3783" priority="4999" stopIfTrue="1">
      <formula>AND($B775="Tender Received",$D775&lt;=(TODAY()+3))</formula>
    </cfRule>
    <cfRule type="expression" dxfId="3782" priority="5000" stopIfTrue="1">
      <formula>$B775="Tender Received"</formula>
    </cfRule>
  </conditionalFormatting>
  <conditionalFormatting sqref="M775:N775">
    <cfRule type="expression" dxfId="3781" priority="4997" stopIfTrue="1">
      <formula>AND($B775="Tender Received",$D775&lt;=(TODAY()+3))</formula>
    </cfRule>
    <cfRule type="expression" dxfId="3780" priority="4998" stopIfTrue="1">
      <formula>$B775="Tender Received"</formula>
    </cfRule>
  </conditionalFormatting>
  <conditionalFormatting sqref="L775">
    <cfRule type="expression" dxfId="3779" priority="4995" stopIfTrue="1">
      <formula>AND($B775="Tender Received",$D775&lt;=(TODAY()+3))</formula>
    </cfRule>
    <cfRule type="expression" dxfId="3778" priority="4996" stopIfTrue="1">
      <formula>$B775="Tender Received"</formula>
    </cfRule>
  </conditionalFormatting>
  <conditionalFormatting sqref="L775">
    <cfRule type="expression" dxfId="3777" priority="4993" stopIfTrue="1">
      <formula>AND($B775="Tender Received",$D775&lt;=(TODAY()+3))</formula>
    </cfRule>
    <cfRule type="expression" dxfId="3776" priority="4994" stopIfTrue="1">
      <formula>$B775="Tender Received"</formula>
    </cfRule>
  </conditionalFormatting>
  <conditionalFormatting sqref="Q775">
    <cfRule type="expression" dxfId="3775" priority="4991" stopIfTrue="1">
      <formula>AND($B775="Tender Received",$D775&lt;=(TODAY()+3))</formula>
    </cfRule>
    <cfRule type="expression" dxfId="3774" priority="4992" stopIfTrue="1">
      <formula>$B775="Tender Received"</formula>
    </cfRule>
  </conditionalFormatting>
  <conditionalFormatting sqref="C777 O777:R778 B777:B778 D777:K778">
    <cfRule type="expression" dxfId="3773" priority="4989" stopIfTrue="1">
      <formula>AND($B777="Tender Received",$D777&lt;=(TODAY()+3))</formula>
    </cfRule>
    <cfRule type="expression" dxfId="3772" priority="4990" stopIfTrue="1">
      <formula>$B777="Tender Received"</formula>
    </cfRule>
  </conditionalFormatting>
  <conditionalFormatting sqref="I777">
    <cfRule type="expression" dxfId="3771" priority="4987" stopIfTrue="1">
      <formula>AND($B777="Tender Received",$D777&lt;=(TODAY()+3))</formula>
    </cfRule>
    <cfRule type="expression" dxfId="3770" priority="4988" stopIfTrue="1">
      <formula>$B777="Tender Received"</formula>
    </cfRule>
  </conditionalFormatting>
  <conditionalFormatting sqref="M777:N778">
    <cfRule type="expression" dxfId="3769" priority="4985" stopIfTrue="1">
      <formula>AND($B777="Tender Received",$D777&lt;=(TODAY()+3))</formula>
    </cfRule>
    <cfRule type="expression" dxfId="3768" priority="4986" stopIfTrue="1">
      <formula>$B777="Tender Received"</formula>
    </cfRule>
  </conditionalFormatting>
  <conditionalFormatting sqref="C777:C778">
    <cfRule type="expression" dxfId="3767" priority="4983" stopIfTrue="1">
      <formula>AND($B777="Tender Received",$D777&lt;=(TODAY()+3))</formula>
    </cfRule>
    <cfRule type="expression" dxfId="3766" priority="4984" stopIfTrue="1">
      <formula>$B777="Tender Received"</formula>
    </cfRule>
  </conditionalFormatting>
  <conditionalFormatting sqref="L777">
    <cfRule type="expression" dxfId="3765" priority="4981" stopIfTrue="1">
      <formula>AND($B777="Tender Received",$D777&lt;=(TODAY()+3))</formula>
    </cfRule>
    <cfRule type="expression" dxfId="3764" priority="4982" stopIfTrue="1">
      <formula>$B777="Tender Received"</formula>
    </cfRule>
  </conditionalFormatting>
  <conditionalFormatting sqref="L777">
    <cfRule type="expression" dxfId="3763" priority="4977" stopIfTrue="1">
      <formula>AND($B777="Tender Received",$D777&lt;=(TODAY()+3))</formula>
    </cfRule>
    <cfRule type="expression" dxfId="3762" priority="4978" stopIfTrue="1">
      <formula>$B777="Tender Received"</formula>
    </cfRule>
  </conditionalFormatting>
  <conditionalFormatting sqref="B778:R778">
    <cfRule type="expression" dxfId="3761" priority="4969" stopIfTrue="1">
      <formula>AND($B778="Tender Received",$D778&lt;=(TODAY()+3))</formula>
    </cfRule>
    <cfRule type="expression" dxfId="3760" priority="4970" stopIfTrue="1">
      <formula>$B778="Tender Received"</formula>
    </cfRule>
  </conditionalFormatting>
  <conditionalFormatting sqref="I778">
    <cfRule type="expression" dxfId="3759" priority="4951" stopIfTrue="1">
      <formula>AND($B778="Tender Received",$D778&lt;=(TODAY()+3))</formula>
    </cfRule>
    <cfRule type="expression" dxfId="3758" priority="4952" stopIfTrue="1">
      <formula>$B778="Tender Received"</formula>
    </cfRule>
  </conditionalFormatting>
  <conditionalFormatting sqref="L778">
    <cfRule type="expression" dxfId="3757" priority="4949" stopIfTrue="1">
      <formula>AND($B778="Tender Received",$D778&lt;=(TODAY()+3))</formula>
    </cfRule>
    <cfRule type="expression" dxfId="3756" priority="4950" stopIfTrue="1">
      <formula>$B778="Tender Received"</formula>
    </cfRule>
  </conditionalFormatting>
  <conditionalFormatting sqref="L777">
    <cfRule type="expression" dxfId="3755" priority="4947" stopIfTrue="1">
      <formula>AND($B777="Tender Received",$D777&lt;=(TODAY()+3))</formula>
    </cfRule>
    <cfRule type="expression" dxfId="3754" priority="4948" stopIfTrue="1">
      <formula>$B777="Tender Received"</formula>
    </cfRule>
  </conditionalFormatting>
  <conditionalFormatting sqref="L778">
    <cfRule type="expression" dxfId="3753" priority="4945" stopIfTrue="1">
      <formula>AND($B778="Tender Received",$D778&lt;=(TODAY()+3))</formula>
    </cfRule>
    <cfRule type="expression" dxfId="3752" priority="4946" stopIfTrue="1">
      <formula>$B778="Tender Received"</formula>
    </cfRule>
  </conditionalFormatting>
  <conditionalFormatting sqref="I777">
    <cfRule type="expression" dxfId="3751" priority="4943" stopIfTrue="1">
      <formula>AND($B777="Tender Received",$D777&lt;=(TODAY()+3))</formula>
    </cfRule>
    <cfRule type="expression" dxfId="3750" priority="4944" stopIfTrue="1">
      <formula>$B777="Tender Received"</formula>
    </cfRule>
  </conditionalFormatting>
  <conditionalFormatting sqref="L777">
    <cfRule type="expression" dxfId="3749" priority="4941" stopIfTrue="1">
      <formula>AND($B777="Tender Received",$D777&lt;=(TODAY()+3))</formula>
    </cfRule>
    <cfRule type="expression" dxfId="3748" priority="4942" stopIfTrue="1">
      <formula>$B777="Tender Received"</formula>
    </cfRule>
  </conditionalFormatting>
  <conditionalFormatting sqref="Q777">
    <cfRule type="expression" dxfId="3747" priority="4939" stopIfTrue="1">
      <formula>AND($B777="Tender Received",$D777&lt;=(TODAY()+3))</formula>
    </cfRule>
    <cfRule type="expression" dxfId="3746" priority="4940" stopIfTrue="1">
      <formula>$B777="Tender Received"</formula>
    </cfRule>
  </conditionalFormatting>
  <conditionalFormatting sqref="O776:R776 B776:K776">
    <cfRule type="expression" dxfId="3745" priority="4937" stopIfTrue="1">
      <formula>AND($B776="Tender Received",$D776&lt;=(TODAY()+3))</formula>
    </cfRule>
    <cfRule type="expression" dxfId="3744" priority="4938" stopIfTrue="1">
      <formula>$B776="Tender Received"</formula>
    </cfRule>
  </conditionalFormatting>
  <conditionalFormatting sqref="M776:N776">
    <cfRule type="expression" dxfId="3743" priority="4935" stopIfTrue="1">
      <formula>AND($B776="Tender Received",$D776&lt;=(TODAY()+3))</formula>
    </cfRule>
    <cfRule type="expression" dxfId="3742" priority="4936" stopIfTrue="1">
      <formula>$B776="Tender Received"</formula>
    </cfRule>
  </conditionalFormatting>
  <conditionalFormatting sqref="C776">
    <cfRule type="expression" dxfId="3741" priority="4933" stopIfTrue="1">
      <formula>AND($B776="Tender Received",$D776&lt;=(TODAY()+3))</formula>
    </cfRule>
    <cfRule type="expression" dxfId="3740" priority="4934" stopIfTrue="1">
      <formula>$B776="Tender Received"</formula>
    </cfRule>
  </conditionalFormatting>
  <conditionalFormatting sqref="L776">
    <cfRule type="expression" dxfId="3739" priority="4931" stopIfTrue="1">
      <formula>AND($B776="Tender Received",$D776&lt;=(TODAY()+3))</formula>
    </cfRule>
    <cfRule type="expression" dxfId="3738" priority="4932" stopIfTrue="1">
      <formula>$B776="Tender Received"</formula>
    </cfRule>
  </conditionalFormatting>
  <conditionalFormatting sqref="I776">
    <cfRule type="expression" dxfId="3737" priority="4929" stopIfTrue="1">
      <formula>AND($B776="Tender Received",$D776&lt;=(TODAY()+3))</formula>
    </cfRule>
    <cfRule type="expression" dxfId="3736" priority="4930" stopIfTrue="1">
      <formula>$B776="Tender Received"</formula>
    </cfRule>
  </conditionalFormatting>
  <conditionalFormatting sqref="L776">
    <cfRule type="expression" dxfId="3735" priority="4927" stopIfTrue="1">
      <formula>AND($B776="Tender Received",$D776&lt;=(TODAY()+3))</formula>
    </cfRule>
    <cfRule type="expression" dxfId="3734" priority="4928" stopIfTrue="1">
      <formula>$B776="Tender Received"</formula>
    </cfRule>
  </conditionalFormatting>
  <conditionalFormatting sqref="B779:R779">
    <cfRule type="expression" dxfId="3733" priority="4925" stopIfTrue="1">
      <formula>AND($B779="Tender Received",$D779&lt;=(TODAY()+3))</formula>
    </cfRule>
    <cfRule type="expression" dxfId="3732" priority="4926" stopIfTrue="1">
      <formula>$B779="Tender Received"</formula>
    </cfRule>
  </conditionalFormatting>
  <conditionalFormatting sqref="B780:R782">
    <cfRule type="expression" dxfId="3731" priority="4923" stopIfTrue="1">
      <formula>AND($B780="Tender Received",$D780&lt;=(TODAY()+3))</formula>
    </cfRule>
    <cfRule type="expression" dxfId="3730" priority="4924" stopIfTrue="1">
      <formula>$B780="Tender Received"</formula>
    </cfRule>
  </conditionalFormatting>
  <conditionalFormatting sqref="B787:R788 B783:B786">
    <cfRule type="expression" dxfId="3729" priority="4909" stopIfTrue="1">
      <formula>AND($B783="Tender Received",$D783&lt;=(TODAY()+3))</formula>
    </cfRule>
    <cfRule type="expression" dxfId="3728" priority="4910" stopIfTrue="1">
      <formula>$B783="Tender Received"</formula>
    </cfRule>
  </conditionalFormatting>
  <conditionalFormatting sqref="C783:R786 C787:C788">
    <cfRule type="expression" dxfId="3727" priority="4907" stopIfTrue="1">
      <formula>AND($B783="Tender Received",$D783&lt;=(TODAY()+3))</formula>
    </cfRule>
    <cfRule type="expression" dxfId="3726" priority="4908" stopIfTrue="1">
      <formula>$B783="Tender Received"</formula>
    </cfRule>
  </conditionalFormatting>
  <conditionalFormatting sqref="B789:R789">
    <cfRule type="expression" dxfId="3725" priority="4905" stopIfTrue="1">
      <formula>AND($B789="Tender Received",$D789&lt;=(TODAY()+3))</formula>
    </cfRule>
    <cfRule type="expression" dxfId="3724" priority="4906" stopIfTrue="1">
      <formula>$B789="Tender Received"</formula>
    </cfRule>
  </conditionalFormatting>
  <conditionalFormatting sqref="C789">
    <cfRule type="expression" dxfId="3723" priority="4903" stopIfTrue="1">
      <formula>AND($B789="Tender Received",$D789&lt;=(TODAY()+3))</formula>
    </cfRule>
    <cfRule type="expression" dxfId="3722" priority="4904" stopIfTrue="1">
      <formula>$B789="Tender Received"</formula>
    </cfRule>
  </conditionalFormatting>
  <conditionalFormatting sqref="B791:K791 B790:G790 J790:K790 M790:P791 R790:R791">
    <cfRule type="expression" dxfId="3721" priority="4899" stopIfTrue="1">
      <formula>AND($B790="Tender Received",$D790&lt;=(TODAY()+3))</formula>
    </cfRule>
    <cfRule type="expression" dxfId="3720" priority="4900" stopIfTrue="1">
      <formula>$B790="Tender Received"</formula>
    </cfRule>
  </conditionalFormatting>
  <conditionalFormatting sqref="M790:N790">
    <cfRule type="expression" dxfId="3719" priority="4897" stopIfTrue="1">
      <formula>AND($B790="Tender Received",$D790&lt;=(TODAY()+3))</formula>
    </cfRule>
    <cfRule type="expression" dxfId="3718" priority="4898" stopIfTrue="1">
      <formula>$B790="Tender Received"</formula>
    </cfRule>
  </conditionalFormatting>
  <conditionalFormatting sqref="L790">
    <cfRule type="expression" dxfId="3717" priority="4895" stopIfTrue="1">
      <formula>AND($B790="Tender Received",$D790&lt;=(TODAY()+3))</formula>
    </cfRule>
    <cfRule type="expression" dxfId="3716" priority="4896" stopIfTrue="1">
      <formula>$B790="Tender Received"</formula>
    </cfRule>
  </conditionalFormatting>
  <conditionalFormatting sqref="C790:C791">
    <cfRule type="expression" dxfId="3715" priority="4893" stopIfTrue="1">
      <formula>AND($B790="Tender Received",$D790&lt;=(TODAY()+3))</formula>
    </cfRule>
    <cfRule type="expression" dxfId="3714" priority="4894" stopIfTrue="1">
      <formula>$B790="Tender Received"</formula>
    </cfRule>
  </conditionalFormatting>
  <conditionalFormatting sqref="L791">
    <cfRule type="expression" dxfId="3713" priority="4891" stopIfTrue="1">
      <formula>AND($B791="Tender Received",$D791&lt;=(TODAY()+3))</formula>
    </cfRule>
    <cfRule type="expression" dxfId="3712" priority="4892" stopIfTrue="1">
      <formula>$B791="Tender Received"</formula>
    </cfRule>
  </conditionalFormatting>
  <conditionalFormatting sqref="L790:L791">
    <cfRule type="expression" dxfId="3711" priority="4889" stopIfTrue="1">
      <formula>AND($B790="Tender Received",$D790&lt;=(TODAY()+3))</formula>
    </cfRule>
    <cfRule type="expression" dxfId="3710" priority="4890" stopIfTrue="1">
      <formula>$B790="Tender Received"</formula>
    </cfRule>
  </conditionalFormatting>
  <conditionalFormatting sqref="H790:I790">
    <cfRule type="expression" dxfId="3709" priority="4887" stopIfTrue="1">
      <formula>AND($B790="Tender Received",$D790&lt;=(TODAY()+3))</formula>
    </cfRule>
    <cfRule type="expression" dxfId="3708" priority="4888" stopIfTrue="1">
      <formula>$B790="Tender Received"</formula>
    </cfRule>
  </conditionalFormatting>
  <conditionalFormatting sqref="Q790">
    <cfRule type="expression" dxfId="3707" priority="4885" stopIfTrue="1">
      <formula>AND($B790="Tender Received",$D790&lt;=(TODAY()+3))</formula>
    </cfRule>
    <cfRule type="expression" dxfId="3706" priority="4886" stopIfTrue="1">
      <formula>$B790="Tender Received"</formula>
    </cfRule>
  </conditionalFormatting>
  <conditionalFormatting sqref="Q791">
    <cfRule type="expression" dxfId="3705" priority="4883" stopIfTrue="1">
      <formula>AND($B791="Tender Received",$D791&lt;=(TODAY()+3))</formula>
    </cfRule>
    <cfRule type="expression" dxfId="3704" priority="4884" stopIfTrue="1">
      <formula>$B791="Tender Received"</formula>
    </cfRule>
  </conditionalFormatting>
  <conditionalFormatting sqref="B792">
    <cfRule type="expression" dxfId="3703" priority="4881" stopIfTrue="1">
      <formula>AND($B792="Tender Received",$D792&lt;=(TODAY()+3))</formula>
    </cfRule>
    <cfRule type="expression" dxfId="3702" priority="4882" stopIfTrue="1">
      <formula>$B792="Tender Received"</formula>
    </cfRule>
  </conditionalFormatting>
  <conditionalFormatting sqref="C792:G792 J792:K792 M792:P792 R792">
    <cfRule type="expression" dxfId="3701" priority="4879" stopIfTrue="1">
      <formula>AND($B792="Tender Received",$D792&lt;=(TODAY()+3))</formula>
    </cfRule>
    <cfRule type="expression" dxfId="3700" priority="4880" stopIfTrue="1">
      <formula>$B792="Tender Received"</formula>
    </cfRule>
  </conditionalFormatting>
  <conditionalFormatting sqref="M792:N792">
    <cfRule type="expression" dxfId="3699" priority="4877" stopIfTrue="1">
      <formula>AND($B792="Tender Received",$D792&lt;=(TODAY()+3))</formula>
    </cfRule>
    <cfRule type="expression" dxfId="3698" priority="4878" stopIfTrue="1">
      <formula>$B792="Tender Received"</formula>
    </cfRule>
  </conditionalFormatting>
  <conditionalFormatting sqref="L792">
    <cfRule type="expression" dxfId="3697" priority="4875" stopIfTrue="1">
      <formula>AND($B792="Tender Received",$D792&lt;=(TODAY()+3))</formula>
    </cfRule>
    <cfRule type="expression" dxfId="3696" priority="4876" stopIfTrue="1">
      <formula>$B792="Tender Received"</formula>
    </cfRule>
  </conditionalFormatting>
  <conditionalFormatting sqref="C792">
    <cfRule type="expression" dxfId="3695" priority="4873" stopIfTrue="1">
      <formula>AND($B792="Tender Received",$D792&lt;=(TODAY()+3))</formula>
    </cfRule>
    <cfRule type="expression" dxfId="3694" priority="4874" stopIfTrue="1">
      <formula>$B792="Tender Received"</formula>
    </cfRule>
  </conditionalFormatting>
  <conditionalFormatting sqref="L792">
    <cfRule type="expression" dxfId="3693" priority="4871" stopIfTrue="1">
      <formula>AND($B792="Tender Received",$D792&lt;=(TODAY()+3))</formula>
    </cfRule>
    <cfRule type="expression" dxfId="3692" priority="4872" stopIfTrue="1">
      <formula>$B792="Tender Received"</formula>
    </cfRule>
  </conditionalFormatting>
  <conditionalFormatting sqref="H792:I792">
    <cfRule type="expression" dxfId="3691" priority="4869" stopIfTrue="1">
      <formula>AND($B792="Tender Received",$D792&lt;=(TODAY()+3))</formula>
    </cfRule>
    <cfRule type="expression" dxfId="3690" priority="4870" stopIfTrue="1">
      <formula>$B792="Tender Received"</formula>
    </cfRule>
  </conditionalFormatting>
  <conditionalFormatting sqref="Q792">
    <cfRule type="expression" dxfId="3689" priority="4867" stopIfTrue="1">
      <formula>AND($B792="Tender Received",$D792&lt;=(TODAY()+3))</formula>
    </cfRule>
    <cfRule type="expression" dxfId="3688" priority="4868" stopIfTrue="1">
      <formula>$B792="Tender Received"</formula>
    </cfRule>
  </conditionalFormatting>
  <conditionalFormatting sqref="B793:B795">
    <cfRule type="expression" dxfId="3687" priority="4859" stopIfTrue="1">
      <formula>AND($B793="Tender Received",$D793&lt;=(TODAY()+3))</formula>
    </cfRule>
    <cfRule type="expression" dxfId="3686" priority="4860" stopIfTrue="1">
      <formula>$B793="Tender Received"</formula>
    </cfRule>
  </conditionalFormatting>
  <conditionalFormatting sqref="J793:K795 M793:P795 R793:R795 C793:G795">
    <cfRule type="expression" dxfId="3685" priority="4857" stopIfTrue="1">
      <formula>AND($B793="Tender Received",$D793&lt;=(TODAY()+3))</formula>
    </cfRule>
    <cfRule type="expression" dxfId="3684" priority="4858" stopIfTrue="1">
      <formula>$B793="Tender Received"</formula>
    </cfRule>
  </conditionalFormatting>
  <conditionalFormatting sqref="M793:N795">
    <cfRule type="expression" dxfId="3683" priority="4855" stopIfTrue="1">
      <formula>AND($B793="Tender Received",$D793&lt;=(TODAY()+3))</formula>
    </cfRule>
    <cfRule type="expression" dxfId="3682" priority="4856" stopIfTrue="1">
      <formula>$B793="Tender Received"</formula>
    </cfRule>
  </conditionalFormatting>
  <conditionalFormatting sqref="L793:L795">
    <cfRule type="expression" dxfId="3681" priority="4853" stopIfTrue="1">
      <formula>AND($B793="Tender Received",$D793&lt;=(TODAY()+3))</formula>
    </cfRule>
    <cfRule type="expression" dxfId="3680" priority="4854" stopIfTrue="1">
      <formula>$B793="Tender Received"</formula>
    </cfRule>
  </conditionalFormatting>
  <conditionalFormatting sqref="C793:C795">
    <cfRule type="expression" dxfId="3679" priority="4851" stopIfTrue="1">
      <formula>AND($B793="Tender Received",$D793&lt;=(TODAY()+3))</formula>
    </cfRule>
    <cfRule type="expression" dxfId="3678" priority="4852" stopIfTrue="1">
      <formula>$B793="Tender Received"</formula>
    </cfRule>
  </conditionalFormatting>
  <conditionalFormatting sqref="L793:L795">
    <cfRule type="expression" dxfId="3677" priority="4849" stopIfTrue="1">
      <formula>AND($B793="Tender Received",$D793&lt;=(TODAY()+3))</formula>
    </cfRule>
    <cfRule type="expression" dxfId="3676" priority="4850" stopIfTrue="1">
      <formula>$B793="Tender Received"</formula>
    </cfRule>
  </conditionalFormatting>
  <conditionalFormatting sqref="H793:I795">
    <cfRule type="expression" dxfId="3675" priority="4847" stopIfTrue="1">
      <formula>AND($B793="Tender Received",$D793&lt;=(TODAY()+3))</formula>
    </cfRule>
    <cfRule type="expression" dxfId="3674" priority="4848" stopIfTrue="1">
      <formula>$B793="Tender Received"</formula>
    </cfRule>
  </conditionalFormatting>
  <conditionalFormatting sqref="Q793:Q795">
    <cfRule type="expression" dxfId="3673" priority="4845" stopIfTrue="1">
      <formula>AND($B793="Tender Received",$D793&lt;=(TODAY()+3))</formula>
    </cfRule>
    <cfRule type="expression" dxfId="3672" priority="4846" stopIfTrue="1">
      <formula>$B793="Tender Received"</formula>
    </cfRule>
  </conditionalFormatting>
  <conditionalFormatting sqref="B796:R796">
    <cfRule type="expression" dxfId="3671" priority="4841" stopIfTrue="1">
      <formula>AND($B796="Tender Received",$D796&lt;=(TODAY()+3))</formula>
    </cfRule>
    <cfRule type="expression" dxfId="3670" priority="4842" stopIfTrue="1">
      <formula>$B796="Tender Received"</formula>
    </cfRule>
  </conditionalFormatting>
  <conditionalFormatting sqref="Q796">
    <cfRule type="expression" dxfId="3669" priority="4843" stopIfTrue="1">
      <formula>AND($B798="Tender Received",$D798&lt;=(TODAY()+3))</formula>
    </cfRule>
    <cfRule type="expression" dxfId="3668" priority="4844" stopIfTrue="1">
      <formula>$B798="Tender Received"</formula>
    </cfRule>
  </conditionalFormatting>
  <conditionalFormatting sqref="H78:I78">
    <cfRule type="expression" dxfId="3667" priority="4839" stopIfTrue="1">
      <formula>AND($B78="Tender Received",$D78&lt;=(TODAY()+3))</formula>
    </cfRule>
    <cfRule type="expression" dxfId="3666" priority="4840" stopIfTrue="1">
      <formula>$B78="Tender Received"</formula>
    </cfRule>
  </conditionalFormatting>
  <conditionalFormatting sqref="H85">
    <cfRule type="expression" dxfId="3665" priority="4837" stopIfTrue="1">
      <formula>AND($B85="Tender Received",$D85&lt;=(TODAY()+3))</formula>
    </cfRule>
    <cfRule type="expression" dxfId="3664" priority="4838" stopIfTrue="1">
      <formula>$B85="Tender Received"</formula>
    </cfRule>
  </conditionalFormatting>
  <conditionalFormatting sqref="Q85">
    <cfRule type="expression" dxfId="3663" priority="4835" stopIfTrue="1">
      <formula>AND($B85="Tender Received",$D85&lt;=(TODAY()+3))</formula>
    </cfRule>
    <cfRule type="expression" dxfId="3662" priority="4836" stopIfTrue="1">
      <formula>$B85="Tender Received"</formula>
    </cfRule>
  </conditionalFormatting>
  <conditionalFormatting sqref="H117">
    <cfRule type="expression" dxfId="3661" priority="4833" stopIfTrue="1">
      <formula>AND($B117="Tender Received",$D117&lt;=(TODAY()+3))</formula>
    </cfRule>
    <cfRule type="expression" dxfId="3660" priority="4834" stopIfTrue="1">
      <formula>$B117="Tender Received"</formula>
    </cfRule>
  </conditionalFormatting>
  <conditionalFormatting sqref="Q117">
    <cfRule type="expression" dxfId="3659" priority="4831" stopIfTrue="1">
      <formula>AND($B117="Tender Received",$D117&lt;=(TODAY()+3))</formula>
    </cfRule>
    <cfRule type="expression" dxfId="3658" priority="4832" stopIfTrue="1">
      <formula>$B117="Tender Received"</formula>
    </cfRule>
  </conditionalFormatting>
  <conditionalFormatting sqref="B797:K798 B799 L798:R798 M797:P797 R797">
    <cfRule type="expression" dxfId="3657" priority="4829" stopIfTrue="1">
      <formula>AND($B797="Tender Received",$D797&lt;=(TODAY()+3))</formula>
    </cfRule>
    <cfRule type="expression" dxfId="3656" priority="4830" stopIfTrue="1">
      <formula>$B797="Tender Received"</formula>
    </cfRule>
  </conditionalFormatting>
  <conditionalFormatting sqref="L798">
    <cfRule type="expression" dxfId="3655" priority="4827" stopIfTrue="1">
      <formula>AND($B798="Tender Received",$D798&lt;=(TODAY()+3))</formula>
    </cfRule>
    <cfRule type="expression" dxfId="3654" priority="4828" stopIfTrue="1">
      <formula>$B798="Tender Received"</formula>
    </cfRule>
  </conditionalFormatting>
  <conditionalFormatting sqref="C797">
    <cfRule type="expression" dxfId="3653" priority="4825" stopIfTrue="1">
      <formula>AND($B797="Tender Received",$D797&lt;=(TODAY()+3))</formula>
    </cfRule>
    <cfRule type="expression" dxfId="3652" priority="4826" stopIfTrue="1">
      <formula>$B797="Tender Received"</formula>
    </cfRule>
  </conditionalFormatting>
  <conditionalFormatting sqref="L797">
    <cfRule type="expression" dxfId="3651" priority="4823" stopIfTrue="1">
      <formula>AND($B797="Tender Received",$D797&lt;=(TODAY()+3))</formula>
    </cfRule>
    <cfRule type="expression" dxfId="3650" priority="4824" stopIfTrue="1">
      <formula>$B797="Tender Received"</formula>
    </cfRule>
  </conditionalFormatting>
  <conditionalFormatting sqref="L797">
    <cfRule type="expression" dxfId="3649" priority="4821" stopIfTrue="1">
      <formula>AND($B797="Tender Received",$D797&lt;=(TODAY()+3))</formula>
    </cfRule>
    <cfRule type="expression" dxfId="3648" priority="4822" stopIfTrue="1">
      <formula>$B797="Tender Received"</formula>
    </cfRule>
  </conditionalFormatting>
  <conditionalFormatting sqref="C799:H799 J799:K799 M799:R799">
    <cfRule type="expression" dxfId="3647" priority="4819" stopIfTrue="1">
      <formula>AND($B799="Tender Received",$D799&lt;=(TODAY()+3))</formula>
    </cfRule>
    <cfRule type="expression" dxfId="3646" priority="4820" stopIfTrue="1">
      <formula>$B799="Tender Received"</formula>
    </cfRule>
  </conditionalFormatting>
  <conditionalFormatting sqref="L799">
    <cfRule type="expression" dxfId="3645" priority="4817" stopIfTrue="1">
      <formula>AND($B799="Tender Received",$D799&lt;=(TODAY()+3))</formula>
    </cfRule>
    <cfRule type="expression" dxfId="3644" priority="4818" stopIfTrue="1">
      <formula>$B799="Tender Received"</formula>
    </cfRule>
  </conditionalFormatting>
  <conditionalFormatting sqref="I799">
    <cfRule type="expression" dxfId="3643" priority="4815" stopIfTrue="1">
      <formula>AND($B799="Tender Received",$D799&lt;=(TODAY()+3))</formula>
    </cfRule>
    <cfRule type="expression" dxfId="3642" priority="4816" stopIfTrue="1">
      <formula>$B799="Tender Received"</formula>
    </cfRule>
  </conditionalFormatting>
  <conditionalFormatting sqref="C798:H798 J798:K798 M798:R798">
    <cfRule type="expression" dxfId="3641" priority="4813" stopIfTrue="1">
      <formula>AND($B798="Tender Received",$D798&lt;=(TODAY()+3))</formula>
    </cfRule>
    <cfRule type="expression" dxfId="3640" priority="4814" stopIfTrue="1">
      <formula>$B798="Tender Received"</formula>
    </cfRule>
  </conditionalFormatting>
  <conditionalFormatting sqref="L798">
    <cfRule type="expression" dxfId="3639" priority="4811" stopIfTrue="1">
      <formula>AND($B798="Tender Received",$D798&lt;=(TODAY()+3))</formula>
    </cfRule>
    <cfRule type="expression" dxfId="3638" priority="4812" stopIfTrue="1">
      <formula>$B798="Tender Received"</formula>
    </cfRule>
  </conditionalFormatting>
  <conditionalFormatting sqref="I798">
    <cfRule type="expression" dxfId="3637" priority="4809" stopIfTrue="1">
      <formula>AND($B798="Tender Received",$D798&lt;=(TODAY()+3))</formula>
    </cfRule>
    <cfRule type="expression" dxfId="3636" priority="4810" stopIfTrue="1">
      <formula>$B798="Tender Received"</formula>
    </cfRule>
  </conditionalFormatting>
  <conditionalFormatting sqref="J799:M799 C799:G799 Q799:R799">
    <cfRule type="expression" dxfId="3635" priority="4807" stopIfTrue="1">
      <formula>AND($B799="Tender Received",$D799&lt;=(TODAY()+3))</formula>
    </cfRule>
    <cfRule type="expression" dxfId="3634" priority="4808" stopIfTrue="1">
      <formula>$B799="Tender Received"</formula>
    </cfRule>
  </conditionalFormatting>
  <conditionalFormatting sqref="I799">
    <cfRule type="expression" dxfId="3633" priority="4805" stopIfTrue="1">
      <formula>AND($B799="Tender Received",$D799&lt;=(TODAY()+3))</formula>
    </cfRule>
    <cfRule type="expression" dxfId="3632" priority="4806" stopIfTrue="1">
      <formula>$B799="Tender Received"</formula>
    </cfRule>
  </conditionalFormatting>
  <conditionalFormatting sqref="N799:P799">
    <cfRule type="expression" dxfId="3631" priority="4803" stopIfTrue="1">
      <formula>AND($B799="Tender Received",$D799&lt;=(TODAY()+3))</formula>
    </cfRule>
    <cfRule type="expression" dxfId="3630" priority="4804" stopIfTrue="1">
      <formula>$B799="Tender Received"</formula>
    </cfRule>
  </conditionalFormatting>
  <conditionalFormatting sqref="H799">
    <cfRule type="expression" dxfId="3629" priority="4801" stopIfTrue="1">
      <formula>AND($B799="Tender Received",$D799&lt;=(TODAY()+3))</formula>
    </cfRule>
    <cfRule type="expression" dxfId="3628" priority="4802" stopIfTrue="1">
      <formula>$B799="Tender Received"</formula>
    </cfRule>
  </conditionalFormatting>
  <conditionalFormatting sqref="Q797">
    <cfRule type="expression" dxfId="3627" priority="4799" stopIfTrue="1">
      <formula>AND($B797="Tender Received",$D797&lt;=(TODAY()+3))</formula>
    </cfRule>
    <cfRule type="expression" dxfId="3626" priority="4800" stopIfTrue="1">
      <formula>$B797="Tender Received"</formula>
    </cfRule>
  </conditionalFormatting>
  <conditionalFormatting sqref="B800 B801:R802">
    <cfRule type="expression" dxfId="3625" priority="4797" stopIfTrue="1">
      <formula>AND($B800="Tender Received",$D800&lt;=(TODAY()+3))</formula>
    </cfRule>
    <cfRule type="expression" dxfId="3624" priority="4798" stopIfTrue="1">
      <formula>$B800="Tender Received"</formula>
    </cfRule>
  </conditionalFormatting>
  <conditionalFormatting sqref="C800:D802">
    <cfRule type="expression" dxfId="3623" priority="4795" stopIfTrue="1">
      <formula>AND($B800="Tender Received",$D800&lt;=(TODAY()+3))</formula>
    </cfRule>
    <cfRule type="expression" dxfId="3622" priority="4796" stopIfTrue="1">
      <formula>$B800="Tender Received"</formula>
    </cfRule>
  </conditionalFormatting>
  <conditionalFormatting sqref="C800:C802">
    <cfRule type="expression" dxfId="3621" priority="4793" stopIfTrue="1">
      <formula>AND($B800="Tender Received",$D800&lt;=(TODAY()+3))</formula>
    </cfRule>
    <cfRule type="expression" dxfId="3620" priority="4794" stopIfTrue="1">
      <formula>$B800="Tender Received"</formula>
    </cfRule>
  </conditionalFormatting>
  <conditionalFormatting sqref="J800:K802 M800:P802 R800:R802 E800:G802">
    <cfRule type="expression" dxfId="3619" priority="4791" stopIfTrue="1">
      <formula>AND($B800="Tender Received",$D800&lt;=(TODAY()+3))</formula>
    </cfRule>
    <cfRule type="expression" dxfId="3618" priority="4792" stopIfTrue="1">
      <formula>$B800="Tender Received"</formula>
    </cfRule>
  </conditionalFormatting>
  <conditionalFormatting sqref="M800:N802">
    <cfRule type="expression" dxfId="3617" priority="4789" stopIfTrue="1">
      <formula>AND($B800="Tender Received",$D800&lt;=(TODAY()+3))</formula>
    </cfRule>
    <cfRule type="expression" dxfId="3616" priority="4790" stopIfTrue="1">
      <formula>$B800="Tender Received"</formula>
    </cfRule>
  </conditionalFormatting>
  <conditionalFormatting sqref="L800:L802">
    <cfRule type="expression" dxfId="3615" priority="4787" stopIfTrue="1">
      <formula>AND($B800="Tender Received",$D800&lt;=(TODAY()+3))</formula>
    </cfRule>
    <cfRule type="expression" dxfId="3614" priority="4788" stopIfTrue="1">
      <formula>$B800="Tender Received"</formula>
    </cfRule>
  </conditionalFormatting>
  <conditionalFormatting sqref="L800:L802">
    <cfRule type="expression" dxfId="3613" priority="4785" stopIfTrue="1">
      <formula>AND($B800="Tender Received",$D800&lt;=(TODAY()+3))</formula>
    </cfRule>
    <cfRule type="expression" dxfId="3612" priority="4786" stopIfTrue="1">
      <formula>$B800="Tender Received"</formula>
    </cfRule>
  </conditionalFormatting>
  <conditionalFormatting sqref="H800:I802">
    <cfRule type="expression" dxfId="3611" priority="4783" stopIfTrue="1">
      <formula>AND($B800="Tender Received",$D800&lt;=(TODAY()+3))</formula>
    </cfRule>
    <cfRule type="expression" dxfId="3610" priority="4784" stopIfTrue="1">
      <formula>$B800="Tender Received"</formula>
    </cfRule>
  </conditionalFormatting>
  <conditionalFormatting sqref="Q800:Q802">
    <cfRule type="expression" dxfId="3609" priority="4781" stopIfTrue="1">
      <formula>AND($B800="Tender Received",$D800&lt;=(TODAY()+3))</formula>
    </cfRule>
    <cfRule type="expression" dxfId="3608" priority="4782" stopIfTrue="1">
      <formula>$B800="Tender Received"</formula>
    </cfRule>
  </conditionalFormatting>
  <conditionalFormatting sqref="B803">
    <cfRule type="expression" dxfId="3607" priority="4773" stopIfTrue="1">
      <formula>AND($B803="Tender Received",$D803&lt;=(TODAY()+3))</formula>
    </cfRule>
    <cfRule type="expression" dxfId="3606" priority="4774" stopIfTrue="1">
      <formula>$B803="Tender Received"</formula>
    </cfRule>
  </conditionalFormatting>
  <conditionalFormatting sqref="L803:M803 Q803:R803">
    <cfRule type="expression" dxfId="3605" priority="4771" stopIfTrue="1">
      <formula>AND($B803="Tender Received",$D803&lt;=(TODAY()+3))</formula>
    </cfRule>
    <cfRule type="expression" dxfId="3604" priority="4772" stopIfTrue="1">
      <formula>$B803="Tender Received"</formula>
    </cfRule>
  </conditionalFormatting>
  <conditionalFormatting sqref="D803:K803">
    <cfRule type="expression" dxfId="3603" priority="4769" stopIfTrue="1">
      <formula>AND($B803="Tender Received",$D803&lt;=(TODAY()+3))</formula>
    </cfRule>
    <cfRule type="expression" dxfId="3602" priority="4770" stopIfTrue="1">
      <formula>$B803="Tender Received"</formula>
    </cfRule>
  </conditionalFormatting>
  <conditionalFormatting sqref="N803:P803">
    <cfRule type="expression" dxfId="3601" priority="4767" stopIfTrue="1">
      <formula>AND($B803="Tender Received",$D803&lt;=(TODAY()+3))</formula>
    </cfRule>
    <cfRule type="expression" dxfId="3600" priority="4768" stopIfTrue="1">
      <formula>$B803="Tender Received"</formula>
    </cfRule>
  </conditionalFormatting>
  <conditionalFormatting sqref="C803">
    <cfRule type="expression" dxfId="3599" priority="4765" stopIfTrue="1">
      <formula>AND($B803="Tender Received",$D803&lt;=(TODAY()+3))</formula>
    </cfRule>
    <cfRule type="expression" dxfId="3598" priority="4766" stopIfTrue="1">
      <formula>$B803="Tender Received"</formula>
    </cfRule>
  </conditionalFormatting>
  <conditionalFormatting sqref="B804">
    <cfRule type="expression" dxfId="3597" priority="4755" stopIfTrue="1">
      <formula>AND($B804="Tender Received",$D804&lt;=(TODAY()+3))</formula>
    </cfRule>
    <cfRule type="expression" dxfId="3596" priority="4756" stopIfTrue="1">
      <formula>$B804="Tender Received"</formula>
    </cfRule>
  </conditionalFormatting>
  <conditionalFormatting sqref="C804:F804 H804:I804 K804:R804">
    <cfRule type="expression" dxfId="3595" priority="4753" stopIfTrue="1">
      <formula>AND($B804="Tender Received",$D804&lt;=(TODAY()+3))</formula>
    </cfRule>
    <cfRule type="expression" dxfId="3594" priority="4754" stopIfTrue="1">
      <formula>$B804="Tender Received"</formula>
    </cfRule>
  </conditionalFormatting>
  <conditionalFormatting sqref="C804:D804">
    <cfRule type="expression" dxfId="3593" priority="4751" stopIfTrue="1">
      <formula>AND($B804="Tender Received",$D804&lt;=(TODAY()+3))</formula>
    </cfRule>
    <cfRule type="expression" dxfId="3592" priority="4752" stopIfTrue="1">
      <formula>$B804="Tender Received"</formula>
    </cfRule>
  </conditionalFormatting>
  <conditionalFormatting sqref="C804">
    <cfRule type="expression" dxfId="3591" priority="4749" stopIfTrue="1">
      <formula>AND($B804="Tender Received",$D804&lt;=(TODAY()+3))</formula>
    </cfRule>
    <cfRule type="expression" dxfId="3590" priority="4750" stopIfTrue="1">
      <formula>$B804="Tender Received"</formula>
    </cfRule>
  </conditionalFormatting>
  <conditionalFormatting sqref="K804 M804:P804 R804 E804:F804">
    <cfRule type="expression" dxfId="3589" priority="4747" stopIfTrue="1">
      <formula>AND($B804="Tender Received",$D804&lt;=(TODAY()+3))</formula>
    </cfRule>
    <cfRule type="expression" dxfId="3588" priority="4748" stopIfTrue="1">
      <formula>$B804="Tender Received"</formula>
    </cfRule>
  </conditionalFormatting>
  <conditionalFormatting sqref="M804:N804">
    <cfRule type="expression" dxfId="3587" priority="4745" stopIfTrue="1">
      <formula>AND($B804="Tender Received",$D804&lt;=(TODAY()+3))</formula>
    </cfRule>
    <cfRule type="expression" dxfId="3586" priority="4746" stopIfTrue="1">
      <formula>$B804="Tender Received"</formula>
    </cfRule>
  </conditionalFormatting>
  <conditionalFormatting sqref="L804">
    <cfRule type="expression" dxfId="3585" priority="4743" stopIfTrue="1">
      <formula>AND($B804="Tender Received",$D804&lt;=(TODAY()+3))</formula>
    </cfRule>
    <cfRule type="expression" dxfId="3584" priority="4744" stopIfTrue="1">
      <formula>$B804="Tender Received"</formula>
    </cfRule>
  </conditionalFormatting>
  <conditionalFormatting sqref="L804">
    <cfRule type="expression" dxfId="3583" priority="4741" stopIfTrue="1">
      <formula>AND($B804="Tender Received",$D804&lt;=(TODAY()+3))</formula>
    </cfRule>
    <cfRule type="expression" dxfId="3582" priority="4742" stopIfTrue="1">
      <formula>$B804="Tender Received"</formula>
    </cfRule>
  </conditionalFormatting>
  <conditionalFormatting sqref="H804:I804">
    <cfRule type="expression" dxfId="3581" priority="4739" stopIfTrue="1">
      <formula>AND($B804="Tender Received",$D804&lt;=(TODAY()+3))</formula>
    </cfRule>
    <cfRule type="expression" dxfId="3580" priority="4740" stopIfTrue="1">
      <formula>$B804="Tender Received"</formula>
    </cfRule>
  </conditionalFormatting>
  <conditionalFormatting sqref="Q804">
    <cfRule type="expression" dxfId="3579" priority="4737" stopIfTrue="1">
      <formula>AND($B804="Tender Received",$D804&lt;=(TODAY()+3))</formula>
    </cfRule>
    <cfRule type="expression" dxfId="3578" priority="4738" stopIfTrue="1">
      <formula>$B804="Tender Received"</formula>
    </cfRule>
  </conditionalFormatting>
  <conditionalFormatting sqref="G804">
    <cfRule type="expression" dxfId="3577" priority="4735" stopIfTrue="1">
      <formula>AND($B804="Tender Received",$D804&lt;=(TODAY()+3))</formula>
    </cfRule>
    <cfRule type="expression" dxfId="3576" priority="4736" stopIfTrue="1">
      <formula>$B804="Tender Received"</formula>
    </cfRule>
  </conditionalFormatting>
  <conditionalFormatting sqref="G804">
    <cfRule type="expression" dxfId="3575" priority="4733" stopIfTrue="1">
      <formula>AND($B804="Tender Received",$D804&lt;=(TODAY()+3))</formula>
    </cfRule>
    <cfRule type="expression" dxfId="3574" priority="4734" stopIfTrue="1">
      <formula>$B804="Tender Received"</formula>
    </cfRule>
  </conditionalFormatting>
  <conditionalFormatting sqref="J804">
    <cfRule type="expression" dxfId="3573" priority="4731" stopIfTrue="1">
      <formula>AND($B804="Tender Received",$D804&lt;=(TODAY()+3))</formula>
    </cfRule>
    <cfRule type="expression" dxfId="3572" priority="4732" stopIfTrue="1">
      <formula>$B804="Tender Received"</formula>
    </cfRule>
  </conditionalFormatting>
  <conditionalFormatting sqref="J804">
    <cfRule type="expression" dxfId="3571" priority="4729" stopIfTrue="1">
      <formula>AND($B804="Tender Received",$D804&lt;=(TODAY()+3))</formula>
    </cfRule>
    <cfRule type="expression" dxfId="3570" priority="4730" stopIfTrue="1">
      <formula>$B804="Tender Received"</formula>
    </cfRule>
  </conditionalFormatting>
  <conditionalFormatting sqref="B805">
    <cfRule type="expression" dxfId="3569" priority="4727" stopIfTrue="1">
      <formula>AND($B805="Tender Received",$D805&lt;=(TODAY()+3))</formula>
    </cfRule>
    <cfRule type="expression" dxfId="3568" priority="4728" stopIfTrue="1">
      <formula>$B805="Tender Received"</formula>
    </cfRule>
  </conditionalFormatting>
  <conditionalFormatting sqref="C805:F805 H805:I805 K805:R805">
    <cfRule type="expression" dxfId="3567" priority="4725" stopIfTrue="1">
      <formula>AND($B805="Tender Received",$D805&lt;=(TODAY()+3))</formula>
    </cfRule>
    <cfRule type="expression" dxfId="3566" priority="4726" stopIfTrue="1">
      <formula>$B805="Tender Received"</formula>
    </cfRule>
  </conditionalFormatting>
  <conditionalFormatting sqref="C805:D805">
    <cfRule type="expression" dxfId="3565" priority="4723" stopIfTrue="1">
      <formula>AND($B805="Tender Received",$D805&lt;=(TODAY()+3))</formula>
    </cfRule>
    <cfRule type="expression" dxfId="3564" priority="4724" stopIfTrue="1">
      <formula>$B805="Tender Received"</formula>
    </cfRule>
  </conditionalFormatting>
  <conditionalFormatting sqref="C805">
    <cfRule type="expression" dxfId="3563" priority="4721" stopIfTrue="1">
      <formula>AND($B805="Tender Received",$D805&lt;=(TODAY()+3))</formula>
    </cfRule>
    <cfRule type="expression" dxfId="3562" priority="4722" stopIfTrue="1">
      <formula>$B805="Tender Received"</formula>
    </cfRule>
  </conditionalFormatting>
  <conditionalFormatting sqref="K805 M805:P805 R805 E805:F805">
    <cfRule type="expression" dxfId="3561" priority="4719" stopIfTrue="1">
      <formula>AND($B805="Tender Received",$D805&lt;=(TODAY()+3))</formula>
    </cfRule>
    <cfRule type="expression" dxfId="3560" priority="4720" stopIfTrue="1">
      <formula>$B805="Tender Received"</formula>
    </cfRule>
  </conditionalFormatting>
  <conditionalFormatting sqref="M805:N805">
    <cfRule type="expression" dxfId="3559" priority="4717" stopIfTrue="1">
      <formula>AND($B805="Tender Received",$D805&lt;=(TODAY()+3))</formula>
    </cfRule>
    <cfRule type="expression" dxfId="3558" priority="4718" stopIfTrue="1">
      <formula>$B805="Tender Received"</formula>
    </cfRule>
  </conditionalFormatting>
  <conditionalFormatting sqref="L805">
    <cfRule type="expression" dxfId="3557" priority="4715" stopIfTrue="1">
      <formula>AND($B805="Tender Received",$D805&lt;=(TODAY()+3))</formula>
    </cfRule>
    <cfRule type="expression" dxfId="3556" priority="4716" stopIfTrue="1">
      <formula>$B805="Tender Received"</formula>
    </cfRule>
  </conditionalFormatting>
  <conditionalFormatting sqref="L805">
    <cfRule type="expression" dxfId="3555" priority="4713" stopIfTrue="1">
      <formula>AND($B805="Tender Received",$D805&lt;=(TODAY()+3))</formula>
    </cfRule>
    <cfRule type="expression" dxfId="3554" priority="4714" stopIfTrue="1">
      <formula>$B805="Tender Received"</formula>
    </cfRule>
  </conditionalFormatting>
  <conditionalFormatting sqref="H805:I805">
    <cfRule type="expression" dxfId="3553" priority="4711" stopIfTrue="1">
      <formula>AND($B805="Tender Received",$D805&lt;=(TODAY()+3))</formula>
    </cfRule>
    <cfRule type="expression" dxfId="3552" priority="4712" stopIfTrue="1">
      <formula>$B805="Tender Received"</formula>
    </cfRule>
  </conditionalFormatting>
  <conditionalFormatting sqref="Q805">
    <cfRule type="expression" dxfId="3551" priority="4709" stopIfTrue="1">
      <formula>AND($B805="Tender Received",$D805&lt;=(TODAY()+3))</formula>
    </cfRule>
    <cfRule type="expression" dxfId="3550" priority="4710" stopIfTrue="1">
      <formula>$B805="Tender Received"</formula>
    </cfRule>
  </conditionalFormatting>
  <conditionalFormatting sqref="G805">
    <cfRule type="expression" dxfId="3549" priority="4707" stopIfTrue="1">
      <formula>AND($B805="Tender Received",$D805&lt;=(TODAY()+3))</formula>
    </cfRule>
    <cfRule type="expression" dxfId="3548" priority="4708" stopIfTrue="1">
      <formula>$B805="Tender Received"</formula>
    </cfRule>
  </conditionalFormatting>
  <conditionalFormatting sqref="G805">
    <cfRule type="expression" dxfId="3547" priority="4705" stopIfTrue="1">
      <formula>AND($B805="Tender Received",$D805&lt;=(TODAY()+3))</formula>
    </cfRule>
    <cfRule type="expression" dxfId="3546" priority="4706" stopIfTrue="1">
      <formula>$B805="Tender Received"</formula>
    </cfRule>
  </conditionalFormatting>
  <conditionalFormatting sqref="J805">
    <cfRule type="expression" dxfId="3545" priority="4703" stopIfTrue="1">
      <formula>AND($B805="Tender Received",$D805&lt;=(TODAY()+3))</formula>
    </cfRule>
    <cfRule type="expression" dxfId="3544" priority="4704" stopIfTrue="1">
      <formula>$B805="Tender Received"</formula>
    </cfRule>
  </conditionalFormatting>
  <conditionalFormatting sqref="J805">
    <cfRule type="expression" dxfId="3543" priority="4701" stopIfTrue="1">
      <formula>AND($B805="Tender Received",$D805&lt;=(TODAY()+3))</formula>
    </cfRule>
    <cfRule type="expression" dxfId="3542" priority="4702" stopIfTrue="1">
      <formula>$B805="Tender Received"</formula>
    </cfRule>
  </conditionalFormatting>
  <conditionalFormatting sqref="B806">
    <cfRule type="expression" dxfId="3541" priority="4699" stopIfTrue="1">
      <formula>AND($B806="Tender Received",$D806&lt;=(TODAY()+3))</formula>
    </cfRule>
    <cfRule type="expression" dxfId="3540" priority="4700" stopIfTrue="1">
      <formula>$B806="Tender Received"</formula>
    </cfRule>
  </conditionalFormatting>
  <conditionalFormatting sqref="C806:F806 H806:I806 K806:R806">
    <cfRule type="expression" dxfId="3539" priority="4697" stopIfTrue="1">
      <formula>AND($B806="Tender Received",$D806&lt;=(TODAY()+3))</formula>
    </cfRule>
    <cfRule type="expression" dxfId="3538" priority="4698" stopIfTrue="1">
      <formula>$B806="Tender Received"</formula>
    </cfRule>
  </conditionalFormatting>
  <conditionalFormatting sqref="C806:D806">
    <cfRule type="expression" dxfId="3537" priority="4695" stopIfTrue="1">
      <formula>AND($B806="Tender Received",$D806&lt;=(TODAY()+3))</formula>
    </cfRule>
    <cfRule type="expression" dxfId="3536" priority="4696" stopIfTrue="1">
      <formula>$B806="Tender Received"</formula>
    </cfRule>
  </conditionalFormatting>
  <conditionalFormatting sqref="C806">
    <cfRule type="expression" dxfId="3535" priority="4693" stopIfTrue="1">
      <formula>AND($B806="Tender Received",$D806&lt;=(TODAY()+3))</formula>
    </cfRule>
    <cfRule type="expression" dxfId="3534" priority="4694" stopIfTrue="1">
      <formula>$B806="Tender Received"</formula>
    </cfRule>
  </conditionalFormatting>
  <conditionalFormatting sqref="K806 M806:P806 R806 E806:F806">
    <cfRule type="expression" dxfId="3533" priority="4691" stopIfTrue="1">
      <formula>AND($B806="Tender Received",$D806&lt;=(TODAY()+3))</formula>
    </cfRule>
    <cfRule type="expression" dxfId="3532" priority="4692" stopIfTrue="1">
      <formula>$B806="Tender Received"</formula>
    </cfRule>
  </conditionalFormatting>
  <conditionalFormatting sqref="M806:N806">
    <cfRule type="expression" dxfId="3531" priority="4689" stopIfTrue="1">
      <formula>AND($B806="Tender Received",$D806&lt;=(TODAY()+3))</formula>
    </cfRule>
    <cfRule type="expression" dxfId="3530" priority="4690" stopIfTrue="1">
      <formula>$B806="Tender Received"</formula>
    </cfRule>
  </conditionalFormatting>
  <conditionalFormatting sqref="L806">
    <cfRule type="expression" dxfId="3529" priority="4687" stopIfTrue="1">
      <formula>AND($B806="Tender Received",$D806&lt;=(TODAY()+3))</formula>
    </cfRule>
    <cfRule type="expression" dxfId="3528" priority="4688" stopIfTrue="1">
      <formula>$B806="Tender Received"</formula>
    </cfRule>
  </conditionalFormatting>
  <conditionalFormatting sqref="L806">
    <cfRule type="expression" dxfId="3527" priority="4685" stopIfTrue="1">
      <formula>AND($B806="Tender Received",$D806&lt;=(TODAY()+3))</formula>
    </cfRule>
    <cfRule type="expression" dxfId="3526" priority="4686" stopIfTrue="1">
      <formula>$B806="Tender Received"</formula>
    </cfRule>
  </conditionalFormatting>
  <conditionalFormatting sqref="H806:I806">
    <cfRule type="expression" dxfId="3525" priority="4683" stopIfTrue="1">
      <formula>AND($B806="Tender Received",$D806&lt;=(TODAY()+3))</formula>
    </cfRule>
    <cfRule type="expression" dxfId="3524" priority="4684" stopIfTrue="1">
      <formula>$B806="Tender Received"</formula>
    </cfRule>
  </conditionalFormatting>
  <conditionalFormatting sqref="Q806">
    <cfRule type="expression" dxfId="3523" priority="4681" stopIfTrue="1">
      <formula>AND($B806="Tender Received",$D806&lt;=(TODAY()+3))</formula>
    </cfRule>
    <cfRule type="expression" dxfId="3522" priority="4682" stopIfTrue="1">
      <formula>$B806="Tender Received"</formula>
    </cfRule>
  </conditionalFormatting>
  <conditionalFormatting sqref="G806">
    <cfRule type="expression" dxfId="3521" priority="4679" stopIfTrue="1">
      <formula>AND($B806="Tender Received",$D806&lt;=(TODAY()+3))</formula>
    </cfRule>
    <cfRule type="expression" dxfId="3520" priority="4680" stopIfTrue="1">
      <formula>$B806="Tender Received"</formula>
    </cfRule>
  </conditionalFormatting>
  <conditionalFormatting sqref="G806">
    <cfRule type="expression" dxfId="3519" priority="4677" stopIfTrue="1">
      <formula>AND($B806="Tender Received",$D806&lt;=(TODAY()+3))</formula>
    </cfRule>
    <cfRule type="expression" dxfId="3518" priority="4678" stopIfTrue="1">
      <formula>$B806="Tender Received"</formula>
    </cfRule>
  </conditionalFormatting>
  <conditionalFormatting sqref="J806">
    <cfRule type="expression" dxfId="3517" priority="4675" stopIfTrue="1">
      <formula>AND($B806="Tender Received",$D806&lt;=(TODAY()+3))</formula>
    </cfRule>
    <cfRule type="expression" dxfId="3516" priority="4676" stopIfTrue="1">
      <formula>$B806="Tender Received"</formula>
    </cfRule>
  </conditionalFormatting>
  <conditionalFormatting sqref="J806">
    <cfRule type="expression" dxfId="3515" priority="4673" stopIfTrue="1">
      <formula>AND($B806="Tender Received",$D806&lt;=(TODAY()+3))</formula>
    </cfRule>
    <cfRule type="expression" dxfId="3514" priority="4674" stopIfTrue="1">
      <formula>$B806="Tender Received"</formula>
    </cfRule>
  </conditionalFormatting>
  <conditionalFormatting sqref="J807:K807 D807:H807 B807 O807:R807">
    <cfRule type="expression" dxfId="3513" priority="4667" stopIfTrue="1">
      <formula>AND($B807="Tender Received",$D807&lt;=(TODAY()+3))</formula>
    </cfRule>
    <cfRule type="expression" dxfId="3512" priority="4668" stopIfTrue="1">
      <formula>$B807="Tender Received"</formula>
    </cfRule>
  </conditionalFormatting>
  <conditionalFormatting sqref="I807">
    <cfRule type="expression" dxfId="3511" priority="4665" stopIfTrue="1">
      <formula>AND($B807="Tender Received",$D807&lt;=(TODAY()+3))</formula>
    </cfRule>
    <cfRule type="expression" dxfId="3510" priority="4666" stopIfTrue="1">
      <formula>$B807="Tender Received"</formula>
    </cfRule>
  </conditionalFormatting>
  <conditionalFormatting sqref="M807:N807">
    <cfRule type="expression" dxfId="3509" priority="4663" stopIfTrue="1">
      <formula>AND($B807="Tender Received",$D807&lt;=(TODAY()+3))</formula>
    </cfRule>
    <cfRule type="expression" dxfId="3508" priority="4664" stopIfTrue="1">
      <formula>$B807="Tender Received"</formula>
    </cfRule>
  </conditionalFormatting>
  <conditionalFormatting sqref="C807">
    <cfRule type="expression" dxfId="3507" priority="4661" stopIfTrue="1">
      <formula>AND($B807="Tender Received",$D807&lt;=(TODAY()+3))</formula>
    </cfRule>
    <cfRule type="expression" dxfId="3506" priority="4662" stopIfTrue="1">
      <formula>$B807="Tender Received"</formula>
    </cfRule>
  </conditionalFormatting>
  <conditionalFormatting sqref="O807:R807 D807:K807">
    <cfRule type="expression" dxfId="3505" priority="4659" stopIfTrue="1">
      <formula>AND($B807="Tender Received",$D807&lt;=(TODAY()+3))</formula>
    </cfRule>
    <cfRule type="expression" dxfId="3504" priority="4660" stopIfTrue="1">
      <formula>$B807="Tender Received"</formula>
    </cfRule>
  </conditionalFormatting>
  <conditionalFormatting sqref="M807:N807">
    <cfRule type="expression" dxfId="3503" priority="4657" stopIfTrue="1">
      <formula>AND($B807="Tender Received",$D807&lt;=(TODAY()+3))</formula>
    </cfRule>
    <cfRule type="expression" dxfId="3502" priority="4658" stopIfTrue="1">
      <formula>$B807="Tender Received"</formula>
    </cfRule>
  </conditionalFormatting>
  <conditionalFormatting sqref="C807">
    <cfRule type="expression" dxfId="3501" priority="4655" stopIfTrue="1">
      <formula>AND($B807="Tender Received",$D807&lt;=(TODAY()+3))</formula>
    </cfRule>
    <cfRule type="expression" dxfId="3500" priority="4656" stopIfTrue="1">
      <formula>$B807="Tender Received"</formula>
    </cfRule>
  </conditionalFormatting>
  <conditionalFormatting sqref="L807">
    <cfRule type="expression" dxfId="3499" priority="4653" stopIfTrue="1">
      <formula>AND($B807="Tender Received",$D807&lt;=(TODAY()+3))</formula>
    </cfRule>
    <cfRule type="expression" dxfId="3498" priority="4654" stopIfTrue="1">
      <formula>$B807="Tender Received"</formula>
    </cfRule>
  </conditionalFormatting>
  <conditionalFormatting sqref="L807">
    <cfRule type="expression" dxfId="3497" priority="4651" stopIfTrue="1">
      <formula>AND($B807="Tender Received",$D807&lt;=(TODAY()+3))</formula>
    </cfRule>
    <cfRule type="expression" dxfId="3496" priority="4652" stopIfTrue="1">
      <formula>$B807="Tender Received"</formula>
    </cfRule>
  </conditionalFormatting>
  <conditionalFormatting sqref="B808">
    <cfRule type="expression" dxfId="3495" priority="4649" stopIfTrue="1">
      <formula>AND($B808="Tender Received",$D808&lt;=(TODAY()+3))</formula>
    </cfRule>
    <cfRule type="expression" dxfId="3494" priority="4650" stopIfTrue="1">
      <formula>$B808="Tender Received"</formula>
    </cfRule>
  </conditionalFormatting>
  <conditionalFormatting sqref="C808:F808 H808:I808 K808:R808">
    <cfRule type="expression" dxfId="3493" priority="4647" stopIfTrue="1">
      <formula>AND($B808="Tender Received",$D808&lt;=(TODAY()+3))</formula>
    </cfRule>
    <cfRule type="expression" dxfId="3492" priority="4648" stopIfTrue="1">
      <formula>$B808="Tender Received"</formula>
    </cfRule>
  </conditionalFormatting>
  <conditionalFormatting sqref="C808:D808">
    <cfRule type="expression" dxfId="3491" priority="4645" stopIfTrue="1">
      <formula>AND($B808="Tender Received",$D808&lt;=(TODAY()+3))</formula>
    </cfRule>
    <cfRule type="expression" dxfId="3490" priority="4646" stopIfTrue="1">
      <formula>$B808="Tender Received"</formula>
    </cfRule>
  </conditionalFormatting>
  <conditionalFormatting sqref="C808">
    <cfRule type="expression" dxfId="3489" priority="4643" stopIfTrue="1">
      <formula>AND($B808="Tender Received",$D808&lt;=(TODAY()+3))</formula>
    </cfRule>
    <cfRule type="expression" dxfId="3488" priority="4644" stopIfTrue="1">
      <formula>$B808="Tender Received"</formula>
    </cfRule>
  </conditionalFormatting>
  <conditionalFormatting sqref="K808 M808:P808 R808 E808:F808">
    <cfRule type="expression" dxfId="3487" priority="4641" stopIfTrue="1">
      <formula>AND($B808="Tender Received",$D808&lt;=(TODAY()+3))</formula>
    </cfRule>
    <cfRule type="expression" dxfId="3486" priority="4642" stopIfTrue="1">
      <formula>$B808="Tender Received"</formula>
    </cfRule>
  </conditionalFormatting>
  <conditionalFormatting sqref="M808:N808">
    <cfRule type="expression" dxfId="3485" priority="4639" stopIfTrue="1">
      <formula>AND($B808="Tender Received",$D808&lt;=(TODAY()+3))</formula>
    </cfRule>
    <cfRule type="expression" dxfId="3484" priority="4640" stopIfTrue="1">
      <formula>$B808="Tender Received"</formula>
    </cfRule>
  </conditionalFormatting>
  <conditionalFormatting sqref="L808">
    <cfRule type="expression" dxfId="3483" priority="4637" stopIfTrue="1">
      <formula>AND($B808="Tender Received",$D808&lt;=(TODAY()+3))</formula>
    </cfRule>
    <cfRule type="expression" dxfId="3482" priority="4638" stopIfTrue="1">
      <formula>$B808="Tender Received"</formula>
    </cfRule>
  </conditionalFormatting>
  <conditionalFormatting sqref="L808">
    <cfRule type="expression" dxfId="3481" priority="4635" stopIfTrue="1">
      <formula>AND($B808="Tender Received",$D808&lt;=(TODAY()+3))</formula>
    </cfRule>
    <cfRule type="expression" dxfId="3480" priority="4636" stopIfTrue="1">
      <formula>$B808="Tender Received"</formula>
    </cfRule>
  </conditionalFormatting>
  <conditionalFormatting sqref="H808:I808">
    <cfRule type="expression" dxfId="3479" priority="4633" stopIfTrue="1">
      <formula>AND($B808="Tender Received",$D808&lt;=(TODAY()+3))</formula>
    </cfRule>
    <cfRule type="expression" dxfId="3478" priority="4634" stopIfTrue="1">
      <formula>$B808="Tender Received"</formula>
    </cfRule>
  </conditionalFormatting>
  <conditionalFormatting sqref="Q808">
    <cfRule type="expression" dxfId="3477" priority="4631" stopIfTrue="1">
      <formula>AND($B808="Tender Received",$D808&lt;=(TODAY()+3))</formula>
    </cfRule>
    <cfRule type="expression" dxfId="3476" priority="4632" stopIfTrue="1">
      <formula>$B808="Tender Received"</formula>
    </cfRule>
  </conditionalFormatting>
  <conditionalFormatting sqref="G808">
    <cfRule type="expression" dxfId="3475" priority="4629" stopIfTrue="1">
      <formula>AND($B808="Tender Received",$D808&lt;=(TODAY()+3))</formula>
    </cfRule>
    <cfRule type="expression" dxfId="3474" priority="4630" stopIfTrue="1">
      <formula>$B808="Tender Received"</formula>
    </cfRule>
  </conditionalFormatting>
  <conditionalFormatting sqref="G808">
    <cfRule type="expression" dxfId="3473" priority="4627" stopIfTrue="1">
      <formula>AND($B808="Tender Received",$D808&lt;=(TODAY()+3))</formula>
    </cfRule>
    <cfRule type="expression" dxfId="3472" priority="4628" stopIfTrue="1">
      <formula>$B808="Tender Received"</formula>
    </cfRule>
  </conditionalFormatting>
  <conditionalFormatting sqref="J808">
    <cfRule type="expression" dxfId="3471" priority="4625" stopIfTrue="1">
      <formula>AND($B808="Tender Received",$D808&lt;=(TODAY()+3))</formula>
    </cfRule>
    <cfRule type="expression" dxfId="3470" priority="4626" stopIfTrue="1">
      <formula>$B808="Tender Received"</formula>
    </cfRule>
  </conditionalFormatting>
  <conditionalFormatting sqref="J808">
    <cfRule type="expression" dxfId="3469" priority="4623" stopIfTrue="1">
      <formula>AND($B808="Tender Received",$D808&lt;=(TODAY()+3))</formula>
    </cfRule>
    <cfRule type="expression" dxfId="3468" priority="4624" stopIfTrue="1">
      <formula>$B808="Tender Received"</formula>
    </cfRule>
  </conditionalFormatting>
  <conditionalFormatting sqref="B809">
    <cfRule type="expression" dxfId="3467" priority="4621" stopIfTrue="1">
      <formula>AND($B809="Tender Received",$D809&lt;=(TODAY()+3))</formula>
    </cfRule>
    <cfRule type="expression" dxfId="3466" priority="4622" stopIfTrue="1">
      <formula>$B809="Tender Received"</formula>
    </cfRule>
  </conditionalFormatting>
  <conditionalFormatting sqref="C809:F809 H809:I809 K809:R809">
    <cfRule type="expression" dxfId="3465" priority="4619" stopIfTrue="1">
      <formula>AND($B809="Tender Received",$D809&lt;=(TODAY()+3))</formula>
    </cfRule>
    <cfRule type="expression" dxfId="3464" priority="4620" stopIfTrue="1">
      <formula>$B809="Tender Received"</formula>
    </cfRule>
  </conditionalFormatting>
  <conditionalFormatting sqref="C809:D809">
    <cfRule type="expression" dxfId="3463" priority="4617" stopIfTrue="1">
      <formula>AND($B809="Tender Received",$D809&lt;=(TODAY()+3))</formula>
    </cfRule>
    <cfRule type="expression" dxfId="3462" priority="4618" stopIfTrue="1">
      <formula>$B809="Tender Received"</formula>
    </cfRule>
  </conditionalFormatting>
  <conditionalFormatting sqref="C809">
    <cfRule type="expression" dxfId="3461" priority="4615" stopIfTrue="1">
      <formula>AND($B809="Tender Received",$D809&lt;=(TODAY()+3))</formula>
    </cfRule>
    <cfRule type="expression" dxfId="3460" priority="4616" stopIfTrue="1">
      <formula>$B809="Tender Received"</formula>
    </cfRule>
  </conditionalFormatting>
  <conditionalFormatting sqref="K809 M809:P809 R809 E809:F809">
    <cfRule type="expression" dxfId="3459" priority="4613" stopIfTrue="1">
      <formula>AND($B809="Tender Received",$D809&lt;=(TODAY()+3))</formula>
    </cfRule>
    <cfRule type="expression" dxfId="3458" priority="4614" stopIfTrue="1">
      <formula>$B809="Tender Received"</formula>
    </cfRule>
  </conditionalFormatting>
  <conditionalFormatting sqref="M809:N809">
    <cfRule type="expression" dxfId="3457" priority="4611" stopIfTrue="1">
      <formula>AND($B809="Tender Received",$D809&lt;=(TODAY()+3))</formula>
    </cfRule>
    <cfRule type="expression" dxfId="3456" priority="4612" stopIfTrue="1">
      <formula>$B809="Tender Received"</formula>
    </cfRule>
  </conditionalFormatting>
  <conditionalFormatting sqref="L809">
    <cfRule type="expression" dxfId="3455" priority="4609" stopIfTrue="1">
      <formula>AND($B809="Tender Received",$D809&lt;=(TODAY()+3))</formula>
    </cfRule>
    <cfRule type="expression" dxfId="3454" priority="4610" stopIfTrue="1">
      <formula>$B809="Tender Received"</formula>
    </cfRule>
  </conditionalFormatting>
  <conditionalFormatting sqref="L809">
    <cfRule type="expression" dxfId="3453" priority="4607" stopIfTrue="1">
      <formula>AND($B809="Tender Received",$D809&lt;=(TODAY()+3))</formula>
    </cfRule>
    <cfRule type="expression" dxfId="3452" priority="4608" stopIfTrue="1">
      <formula>$B809="Tender Received"</formula>
    </cfRule>
  </conditionalFormatting>
  <conditionalFormatting sqref="H809:I809">
    <cfRule type="expression" dxfId="3451" priority="4605" stopIfTrue="1">
      <formula>AND($B809="Tender Received",$D809&lt;=(TODAY()+3))</formula>
    </cfRule>
    <cfRule type="expression" dxfId="3450" priority="4606" stopIfTrue="1">
      <formula>$B809="Tender Received"</formula>
    </cfRule>
  </conditionalFormatting>
  <conditionalFormatting sqref="Q809">
    <cfRule type="expression" dxfId="3449" priority="4603" stopIfTrue="1">
      <formula>AND($B809="Tender Received",$D809&lt;=(TODAY()+3))</formula>
    </cfRule>
    <cfRule type="expression" dxfId="3448" priority="4604" stopIfTrue="1">
      <formula>$B809="Tender Received"</formula>
    </cfRule>
  </conditionalFormatting>
  <conditionalFormatting sqref="G809">
    <cfRule type="expression" dxfId="3447" priority="4601" stopIfTrue="1">
      <formula>AND($B809="Tender Received",$D809&lt;=(TODAY()+3))</formula>
    </cfRule>
    <cfRule type="expression" dxfId="3446" priority="4602" stopIfTrue="1">
      <formula>$B809="Tender Received"</formula>
    </cfRule>
  </conditionalFormatting>
  <conditionalFormatting sqref="G809">
    <cfRule type="expression" dxfId="3445" priority="4599" stopIfTrue="1">
      <formula>AND($B809="Tender Received",$D809&lt;=(TODAY()+3))</formula>
    </cfRule>
    <cfRule type="expression" dxfId="3444" priority="4600" stopIfTrue="1">
      <formula>$B809="Tender Received"</formula>
    </cfRule>
  </conditionalFormatting>
  <conditionalFormatting sqref="J809">
    <cfRule type="expression" dxfId="3443" priority="4597" stopIfTrue="1">
      <formula>AND($B809="Tender Received",$D809&lt;=(TODAY()+3))</formula>
    </cfRule>
    <cfRule type="expression" dxfId="3442" priority="4598" stopIfTrue="1">
      <formula>$B809="Tender Received"</formula>
    </cfRule>
  </conditionalFormatting>
  <conditionalFormatting sqref="J809">
    <cfRule type="expression" dxfId="3441" priority="4595" stopIfTrue="1">
      <formula>AND($B809="Tender Received",$D809&lt;=(TODAY()+3))</formula>
    </cfRule>
    <cfRule type="expression" dxfId="3440" priority="4596" stopIfTrue="1">
      <formula>$B809="Tender Received"</formula>
    </cfRule>
  </conditionalFormatting>
  <conditionalFormatting sqref="J810:R810 C810:G810">
    <cfRule type="expression" dxfId="3439" priority="4593" stopIfTrue="1">
      <formula>AND($B810="Tender Received",$D810&lt;=(TODAY()+3))</formula>
    </cfRule>
    <cfRule type="expression" dxfId="3438" priority="4594" stopIfTrue="1">
      <formula>$B810="Tender Received"</formula>
    </cfRule>
  </conditionalFormatting>
  <conditionalFormatting sqref="H810:I810">
    <cfRule type="expression" dxfId="3437" priority="4591" stopIfTrue="1">
      <formula>AND($B810="Tender Received",$D810&lt;=(TODAY()+3))</formula>
    </cfRule>
    <cfRule type="expression" dxfId="3436" priority="4592" stopIfTrue="1">
      <formula>$B810="Tender Received"</formula>
    </cfRule>
  </conditionalFormatting>
  <conditionalFormatting sqref="D811:K811 B811 O811:R811">
    <cfRule type="expression" dxfId="3435" priority="4581" stopIfTrue="1">
      <formula>AND($B811="Tender Received",$D811&lt;=(TODAY()+3))</formula>
    </cfRule>
    <cfRule type="expression" dxfId="3434" priority="4582" stopIfTrue="1">
      <formula>$B811="Tender Received"</formula>
    </cfRule>
  </conditionalFormatting>
  <conditionalFormatting sqref="M811:N811">
    <cfRule type="expression" dxfId="3433" priority="4579" stopIfTrue="1">
      <formula>AND($B811="Tender Received",$D811&lt;=(TODAY()+3))</formula>
    </cfRule>
    <cfRule type="expression" dxfId="3432" priority="4580" stopIfTrue="1">
      <formula>$B811="Tender Received"</formula>
    </cfRule>
  </conditionalFormatting>
  <conditionalFormatting sqref="L811">
    <cfRule type="expression" dxfId="3431" priority="4577" stopIfTrue="1">
      <formula>AND($B811="Tender Received",$D811&lt;=(TODAY()+3))</formula>
    </cfRule>
    <cfRule type="expression" dxfId="3430" priority="4578" stopIfTrue="1">
      <formula>$B811="Tender Received"</formula>
    </cfRule>
  </conditionalFormatting>
  <conditionalFormatting sqref="C811">
    <cfRule type="expression" dxfId="3429" priority="4575" stopIfTrue="1">
      <formula>AND($B811="Tender Received",$D811&lt;=(TODAY()+3))</formula>
    </cfRule>
    <cfRule type="expression" dxfId="3428" priority="4576" stopIfTrue="1">
      <formula>$B811="Tender Received"</formula>
    </cfRule>
  </conditionalFormatting>
  <conditionalFormatting sqref="M811:R811 D811:K811 B813:K814 B815 B812:G812 J812:K812 L814:R814 M812:P813 R812:R813">
    <cfRule type="expression" dxfId="3427" priority="4573" stopIfTrue="1">
      <formula>AND($B811="Tender Received",$D811&lt;=(TODAY()+3))</formula>
    </cfRule>
    <cfRule type="expression" dxfId="3426" priority="4574" stopIfTrue="1">
      <formula>$B811="Tender Received"</formula>
    </cfRule>
  </conditionalFormatting>
  <conditionalFormatting sqref="M812:N812">
    <cfRule type="expression" dxfId="3425" priority="4571" stopIfTrue="1">
      <formula>AND($B812="Tender Received",$D812&lt;=(TODAY()+3))</formula>
    </cfRule>
    <cfRule type="expression" dxfId="3424" priority="4572" stopIfTrue="1">
      <formula>$B812="Tender Received"</formula>
    </cfRule>
  </conditionalFormatting>
  <conditionalFormatting sqref="L814">
    <cfRule type="expression" dxfId="3423" priority="4569" stopIfTrue="1">
      <formula>AND($B814="Tender Received",$D814&lt;=(TODAY()+3))</formula>
    </cfRule>
    <cfRule type="expression" dxfId="3422" priority="4570" stopIfTrue="1">
      <formula>$B814="Tender Received"</formula>
    </cfRule>
  </conditionalFormatting>
  <conditionalFormatting sqref="L812">
    <cfRule type="expression" dxfId="3421" priority="4567" stopIfTrue="1">
      <formula>AND($B812="Tender Received",$D812&lt;=(TODAY()+3))</formula>
    </cfRule>
    <cfRule type="expression" dxfId="3420" priority="4568" stopIfTrue="1">
      <formula>$B812="Tender Received"</formula>
    </cfRule>
  </conditionalFormatting>
  <conditionalFormatting sqref="C812:C813">
    <cfRule type="expression" dxfId="3419" priority="4565" stopIfTrue="1">
      <formula>AND($B812="Tender Received",$D812&lt;=(TODAY()+3))</formula>
    </cfRule>
    <cfRule type="expression" dxfId="3418" priority="4566" stopIfTrue="1">
      <formula>$B812="Tender Received"</formula>
    </cfRule>
  </conditionalFormatting>
  <conditionalFormatting sqref="L813">
    <cfRule type="expression" dxfId="3417" priority="4563" stopIfTrue="1">
      <formula>AND($B813="Tender Received",$D813&lt;=(TODAY()+3))</formula>
    </cfRule>
    <cfRule type="expression" dxfId="3416" priority="4564" stopIfTrue="1">
      <formula>$B813="Tender Received"</formula>
    </cfRule>
  </conditionalFormatting>
  <conditionalFormatting sqref="L812:L813">
    <cfRule type="expression" dxfId="3415" priority="4561" stopIfTrue="1">
      <formula>AND($B812="Tender Received",$D812&lt;=(TODAY()+3))</formula>
    </cfRule>
    <cfRule type="expression" dxfId="3414" priority="4562" stopIfTrue="1">
      <formula>$B812="Tender Received"</formula>
    </cfRule>
  </conditionalFormatting>
  <conditionalFormatting sqref="C811">
    <cfRule type="expression" dxfId="3413" priority="4559" stopIfTrue="1">
      <formula>AND($B811="Tender Received",$D811&lt;=(TODAY()+3))</formula>
    </cfRule>
    <cfRule type="expression" dxfId="3412" priority="4560" stopIfTrue="1">
      <formula>$B811="Tender Received"</formula>
    </cfRule>
  </conditionalFormatting>
  <conditionalFormatting sqref="L811">
    <cfRule type="expression" dxfId="3411" priority="4557" stopIfTrue="1">
      <formula>AND($B811="Tender Received",$D811&lt;=(TODAY()+3))</formula>
    </cfRule>
    <cfRule type="expression" dxfId="3410" priority="4558" stopIfTrue="1">
      <formula>$B811="Tender Received"</formula>
    </cfRule>
  </conditionalFormatting>
  <conditionalFormatting sqref="C815:H815 J815:K815 M815:P815 R815">
    <cfRule type="expression" dxfId="3409" priority="4555" stopIfTrue="1">
      <formula>AND($B815="Tender Received",$D815&lt;=(TODAY()+3))</formula>
    </cfRule>
    <cfRule type="expression" dxfId="3408" priority="4556" stopIfTrue="1">
      <formula>$B815="Tender Received"</formula>
    </cfRule>
  </conditionalFormatting>
  <conditionalFormatting sqref="L815">
    <cfRule type="expression" dxfId="3407" priority="4553" stopIfTrue="1">
      <formula>AND($B815="Tender Received",$D815&lt;=(TODAY()+3))</formula>
    </cfRule>
    <cfRule type="expression" dxfId="3406" priority="4554" stopIfTrue="1">
      <formula>$B815="Tender Received"</formula>
    </cfRule>
  </conditionalFormatting>
  <conditionalFormatting sqref="I815">
    <cfRule type="expression" dxfId="3405" priority="4551" stopIfTrue="1">
      <formula>AND($B815="Tender Received",$D815&lt;=(TODAY()+3))</formula>
    </cfRule>
    <cfRule type="expression" dxfId="3404" priority="4552" stopIfTrue="1">
      <formula>$B815="Tender Received"</formula>
    </cfRule>
  </conditionalFormatting>
  <conditionalFormatting sqref="H812:I812">
    <cfRule type="expression" dxfId="3403" priority="4549" stopIfTrue="1">
      <formula>AND($B812="Tender Received",$D812&lt;=(TODAY()+3))</formula>
    </cfRule>
    <cfRule type="expression" dxfId="3402" priority="4550" stopIfTrue="1">
      <formula>$B812="Tender Received"</formula>
    </cfRule>
  </conditionalFormatting>
  <conditionalFormatting sqref="Q812">
    <cfRule type="expression" dxfId="3401" priority="4547" stopIfTrue="1">
      <formula>AND($B812="Tender Received",$D812&lt;=(TODAY()+3))</formula>
    </cfRule>
    <cfRule type="expression" dxfId="3400" priority="4548" stopIfTrue="1">
      <formula>$B812="Tender Received"</formula>
    </cfRule>
  </conditionalFormatting>
  <conditionalFormatting sqref="C814:H814 J814:K814 M814:R814">
    <cfRule type="expression" dxfId="3399" priority="4545" stopIfTrue="1">
      <formula>AND($B814="Tender Received",$D814&lt;=(TODAY()+3))</formula>
    </cfRule>
    <cfRule type="expression" dxfId="3398" priority="4546" stopIfTrue="1">
      <formula>$B814="Tender Received"</formula>
    </cfRule>
  </conditionalFormatting>
  <conditionalFormatting sqref="L814">
    <cfRule type="expression" dxfId="3397" priority="4543" stopIfTrue="1">
      <formula>AND($B814="Tender Received",$D814&lt;=(TODAY()+3))</formula>
    </cfRule>
    <cfRule type="expression" dxfId="3396" priority="4544" stopIfTrue="1">
      <formula>$B814="Tender Received"</formula>
    </cfRule>
  </conditionalFormatting>
  <conditionalFormatting sqref="I814">
    <cfRule type="expression" dxfId="3395" priority="4541" stopIfTrue="1">
      <formula>AND($B814="Tender Received",$D814&lt;=(TODAY()+3))</formula>
    </cfRule>
    <cfRule type="expression" dxfId="3394" priority="4542" stopIfTrue="1">
      <formula>$B814="Tender Received"</formula>
    </cfRule>
  </conditionalFormatting>
  <conditionalFormatting sqref="J815:M815 C815:G815 R815">
    <cfRule type="expression" dxfId="3393" priority="4539" stopIfTrue="1">
      <formula>AND($B815="Tender Received",$D815&lt;=(TODAY()+3))</formula>
    </cfRule>
    <cfRule type="expression" dxfId="3392" priority="4540" stopIfTrue="1">
      <formula>$B815="Tender Received"</formula>
    </cfRule>
  </conditionalFormatting>
  <conditionalFormatting sqref="I815">
    <cfRule type="expression" dxfId="3391" priority="4537" stopIfTrue="1">
      <formula>AND($B815="Tender Received",$D815&lt;=(TODAY()+3))</formula>
    </cfRule>
    <cfRule type="expression" dxfId="3390" priority="4538" stopIfTrue="1">
      <formula>$B815="Tender Received"</formula>
    </cfRule>
  </conditionalFormatting>
  <conditionalFormatting sqref="N815:P815">
    <cfRule type="expression" dxfId="3389" priority="4535" stopIfTrue="1">
      <formula>AND($B815="Tender Received",$D815&lt;=(TODAY()+3))</formula>
    </cfRule>
    <cfRule type="expression" dxfId="3388" priority="4536" stopIfTrue="1">
      <formula>$B815="Tender Received"</formula>
    </cfRule>
  </conditionalFormatting>
  <conditionalFormatting sqref="H815">
    <cfRule type="expression" dxfId="3387" priority="4533" stopIfTrue="1">
      <formula>AND($B815="Tender Received",$D815&lt;=(TODAY()+3))</formula>
    </cfRule>
    <cfRule type="expression" dxfId="3386" priority="4534" stopIfTrue="1">
      <formula>$B815="Tender Received"</formula>
    </cfRule>
  </conditionalFormatting>
  <conditionalFormatting sqref="Q813">
    <cfRule type="expression" dxfId="3385" priority="4531" stopIfTrue="1">
      <formula>AND($B813="Tender Received",$D813&lt;=(TODAY()+3))</formula>
    </cfRule>
    <cfRule type="expression" dxfId="3384" priority="4532" stopIfTrue="1">
      <formula>$B813="Tender Received"</formula>
    </cfRule>
  </conditionalFormatting>
  <conditionalFormatting sqref="Q815">
    <cfRule type="expression" dxfId="3383" priority="4529" stopIfTrue="1">
      <formula>AND($B815="Tender Received",$D815&lt;=(TODAY()+3))</formula>
    </cfRule>
    <cfRule type="expression" dxfId="3382" priority="4530" stopIfTrue="1">
      <formula>$B815="Tender Received"</formula>
    </cfRule>
  </conditionalFormatting>
  <conditionalFormatting sqref="Q815">
    <cfRule type="expression" dxfId="3381" priority="4527" stopIfTrue="1">
      <formula>AND($B815="Tender Received",$D815&lt;=(TODAY()+3))</formula>
    </cfRule>
    <cfRule type="expression" dxfId="3380" priority="4528" stopIfTrue="1">
      <formula>$B815="Tender Received"</formula>
    </cfRule>
  </conditionalFormatting>
  <conditionalFormatting sqref="B816:B817">
    <cfRule type="expression" dxfId="3379" priority="4525" stopIfTrue="1">
      <formula>AND($B816="Tender Received",$D816&lt;=(TODAY()+3))</formula>
    </cfRule>
    <cfRule type="expression" dxfId="3378" priority="4526" stopIfTrue="1">
      <formula>$B816="Tender Received"</formula>
    </cfRule>
  </conditionalFormatting>
  <conditionalFormatting sqref="M816:P817 R816:R817 C816:K817">
    <cfRule type="expression" dxfId="3377" priority="4523" stopIfTrue="1">
      <formula>AND($B816="Tender Received",$D816&lt;=(TODAY()+3))</formula>
    </cfRule>
    <cfRule type="expression" dxfId="3376" priority="4524" stopIfTrue="1">
      <formula>$B816="Tender Received"</formula>
    </cfRule>
  </conditionalFormatting>
  <conditionalFormatting sqref="C816:C817">
    <cfRule type="expression" dxfId="3375" priority="4521" stopIfTrue="1">
      <formula>AND($B816="Tender Received",$D816&lt;=(TODAY()+3))</formula>
    </cfRule>
    <cfRule type="expression" dxfId="3374" priority="4522" stopIfTrue="1">
      <formula>$B816="Tender Received"</formula>
    </cfRule>
  </conditionalFormatting>
  <conditionalFormatting sqref="L816:L817">
    <cfRule type="expression" dxfId="3373" priority="4519" stopIfTrue="1">
      <formula>AND($B816="Tender Received",$D816&lt;=(TODAY()+3))</formula>
    </cfRule>
    <cfRule type="expression" dxfId="3372" priority="4520" stopIfTrue="1">
      <formula>$B816="Tender Received"</formula>
    </cfRule>
  </conditionalFormatting>
  <conditionalFormatting sqref="L816:L817">
    <cfRule type="expression" dxfId="3371" priority="4517" stopIfTrue="1">
      <formula>AND($B816="Tender Received",$D816&lt;=(TODAY()+3))</formula>
    </cfRule>
    <cfRule type="expression" dxfId="3370" priority="4518" stopIfTrue="1">
      <formula>$B816="Tender Received"</formula>
    </cfRule>
  </conditionalFormatting>
  <conditionalFormatting sqref="Q816:Q817">
    <cfRule type="expression" dxfId="3369" priority="4515" stopIfTrue="1">
      <formula>AND($B816="Tender Received",$D816&lt;=(TODAY()+3))</formula>
    </cfRule>
    <cfRule type="expression" dxfId="3368" priority="4516" stopIfTrue="1">
      <formula>$B816="Tender Received"</formula>
    </cfRule>
  </conditionalFormatting>
  <conditionalFormatting sqref="B818:B820 D818:K818 K819 O818:R820 D819 F819:I819 D820:K820">
    <cfRule type="expression" dxfId="3367" priority="4497" stopIfTrue="1">
      <formula>AND($B818="Tender Received",$D818&lt;=(TODAY()+3))</formula>
    </cfRule>
    <cfRule type="expression" dxfId="3366" priority="4498" stopIfTrue="1">
      <formula>$B818="Tender Received"</formula>
    </cfRule>
  </conditionalFormatting>
  <conditionalFormatting sqref="I818">
    <cfRule type="expression" dxfId="3365" priority="4495" stopIfTrue="1">
      <formula>AND($B818="Tender Received",$D818&lt;=(TODAY()+3))</formula>
    </cfRule>
    <cfRule type="expression" dxfId="3364" priority="4496" stopIfTrue="1">
      <formula>$B818="Tender Received"</formula>
    </cfRule>
  </conditionalFormatting>
  <conditionalFormatting sqref="M818:N820">
    <cfRule type="expression" dxfId="3363" priority="4493" stopIfTrue="1">
      <formula>AND($B818="Tender Received",$D818&lt;=(TODAY()+3))</formula>
    </cfRule>
    <cfRule type="expression" dxfId="3362" priority="4494" stopIfTrue="1">
      <formula>$B818="Tender Received"</formula>
    </cfRule>
  </conditionalFormatting>
  <conditionalFormatting sqref="L820">
    <cfRule type="expression" dxfId="3361" priority="4491" stopIfTrue="1">
      <formula>AND($B820="Tender Received",$D820&lt;=(TODAY()+3))</formula>
    </cfRule>
    <cfRule type="expression" dxfId="3360" priority="4492" stopIfTrue="1">
      <formula>$B820="Tender Received"</formula>
    </cfRule>
  </conditionalFormatting>
  <conditionalFormatting sqref="C818:C820">
    <cfRule type="expression" dxfId="3359" priority="4489" stopIfTrue="1">
      <formula>AND($B818="Tender Received",$D818&lt;=(TODAY()+3))</formula>
    </cfRule>
    <cfRule type="expression" dxfId="3358" priority="4490" stopIfTrue="1">
      <formula>$B818="Tender Received"</formula>
    </cfRule>
  </conditionalFormatting>
  <conditionalFormatting sqref="I819">
    <cfRule type="expression" dxfId="3357" priority="4487" stopIfTrue="1">
      <formula>AND($B819="Tender Received",$D819&lt;=(TODAY()+3))</formula>
    </cfRule>
    <cfRule type="expression" dxfId="3356" priority="4488" stopIfTrue="1">
      <formula>$B819="Tender Received"</formula>
    </cfRule>
  </conditionalFormatting>
  <conditionalFormatting sqref="L819">
    <cfRule type="expression" dxfId="3355" priority="4485" stopIfTrue="1">
      <formula>AND($B819="Tender Received",$D819&lt;=(TODAY()+3))</formula>
    </cfRule>
    <cfRule type="expression" dxfId="3354" priority="4486" stopIfTrue="1">
      <formula>$B819="Tender Received"</formula>
    </cfRule>
  </conditionalFormatting>
  <conditionalFormatting sqref="L818">
    <cfRule type="expression" dxfId="3353" priority="4483" stopIfTrue="1">
      <formula>AND($B818="Tender Received",$D818&lt;=(TODAY()+3))</formula>
    </cfRule>
    <cfRule type="expression" dxfId="3352" priority="4484" stopIfTrue="1">
      <formula>$B818="Tender Received"</formula>
    </cfRule>
  </conditionalFormatting>
  <conditionalFormatting sqref="I820">
    <cfRule type="expression" dxfId="3351" priority="4481" stopIfTrue="1">
      <formula>AND($B820="Tender Received",$D820&lt;=(TODAY()+3))</formula>
    </cfRule>
    <cfRule type="expression" dxfId="3350" priority="4482" stopIfTrue="1">
      <formula>$B820="Tender Received"</formula>
    </cfRule>
  </conditionalFormatting>
  <conditionalFormatting sqref="L818">
    <cfRule type="expression" dxfId="3349" priority="4479" stopIfTrue="1">
      <formula>AND($B818="Tender Received",$D818&lt;=(TODAY()+3))</formula>
    </cfRule>
    <cfRule type="expression" dxfId="3348" priority="4480" stopIfTrue="1">
      <formula>$B818="Tender Received"</formula>
    </cfRule>
  </conditionalFormatting>
  <conditionalFormatting sqref="L820">
    <cfRule type="expression" dxfId="3347" priority="4477" stopIfTrue="1">
      <formula>AND($B820="Tender Received",$D820&lt;=(TODAY()+3))</formula>
    </cfRule>
    <cfRule type="expression" dxfId="3346" priority="4478" stopIfTrue="1">
      <formula>$B820="Tender Received"</formula>
    </cfRule>
  </conditionalFormatting>
  <conditionalFormatting sqref="L819">
    <cfRule type="expression" dxfId="3345" priority="4475" stopIfTrue="1">
      <formula>AND($B819="Tender Received",$D819&lt;=(TODAY()+3))</formula>
    </cfRule>
    <cfRule type="expression" dxfId="3344" priority="4476" stopIfTrue="1">
      <formula>$B819="Tender Received"</formula>
    </cfRule>
  </conditionalFormatting>
  <conditionalFormatting sqref="J819">
    <cfRule type="expression" dxfId="3343" priority="4473" stopIfTrue="1">
      <formula>AND($B819="Tender Received",$D819&lt;=(TODAY()+3))</formula>
    </cfRule>
    <cfRule type="expression" dxfId="3342" priority="4474" stopIfTrue="1">
      <formula>$B819="Tender Received"</formula>
    </cfRule>
  </conditionalFormatting>
  <conditionalFormatting sqref="E819">
    <cfRule type="expression" dxfId="3341" priority="4471" stopIfTrue="1">
      <formula>AND($B819="Tender Received",$D819&lt;=(TODAY()+3))</formula>
    </cfRule>
    <cfRule type="expression" dxfId="3340" priority="4472" stopIfTrue="1">
      <formula>$B819="Tender Received"</formula>
    </cfRule>
  </conditionalFormatting>
  <conditionalFormatting sqref="H49">
    <cfRule type="expression" dxfId="3339" priority="4467" stopIfTrue="1">
      <formula>AND($B49="Tender Received",$D49&lt;=(TODAY()+3))</formula>
    </cfRule>
    <cfRule type="expression" dxfId="3338" priority="4468" stopIfTrue="1">
      <formula>$B49="Tender Received"</formula>
    </cfRule>
  </conditionalFormatting>
  <conditionalFormatting sqref="D69">
    <cfRule type="expression" dxfId="3337" priority="4459" stopIfTrue="1">
      <formula>AND($B69="Tender Received",$D69&lt;=(TODAY()+3))</formula>
    </cfRule>
    <cfRule type="expression" dxfId="3336" priority="4460" stopIfTrue="1">
      <formula>$B69="Tender Received"</formula>
    </cfRule>
  </conditionalFormatting>
  <conditionalFormatting sqref="Q69">
    <cfRule type="expression" dxfId="3335" priority="4455" stopIfTrue="1">
      <formula>AND($B69="Tender Received",$D69&lt;=(TODAY()+3))</formula>
    </cfRule>
    <cfRule type="expression" dxfId="3334" priority="4456" stopIfTrue="1">
      <formula>$B69="Tender Received"</formula>
    </cfRule>
  </conditionalFormatting>
  <conditionalFormatting sqref="H84">
    <cfRule type="expression" dxfId="3333" priority="4451" stopIfTrue="1">
      <formula>AND($B84="Tender Received",$D84&lt;=(TODAY()+3))</formula>
    </cfRule>
    <cfRule type="expression" dxfId="3332" priority="4452" stopIfTrue="1">
      <formula>$B84="Tender Received"</formula>
    </cfRule>
  </conditionalFormatting>
  <conditionalFormatting sqref="Q84">
    <cfRule type="expression" dxfId="3331" priority="4449" stopIfTrue="1">
      <formula>AND($B84="Tender Received",$D84&lt;=(TODAY()+3))</formula>
    </cfRule>
    <cfRule type="expression" dxfId="3330" priority="4450" stopIfTrue="1">
      <formula>$B84="Tender Received"</formula>
    </cfRule>
  </conditionalFormatting>
  <conditionalFormatting sqref="H83">
    <cfRule type="expression" dxfId="3329" priority="4447" stopIfTrue="1">
      <formula>AND($B83="Tender Received",$D83&lt;=(TODAY()+3))</formula>
    </cfRule>
    <cfRule type="expression" dxfId="3328" priority="4448" stopIfTrue="1">
      <formula>$B83="Tender Received"</formula>
    </cfRule>
  </conditionalFormatting>
  <conditionalFormatting sqref="Q83">
    <cfRule type="expression" dxfId="3327" priority="4445" stopIfTrue="1">
      <formula>AND($B83="Tender Received",$D83&lt;=(TODAY()+3))</formula>
    </cfRule>
    <cfRule type="expression" dxfId="3326" priority="4446" stopIfTrue="1">
      <formula>$B83="Tender Received"</formula>
    </cfRule>
  </conditionalFormatting>
  <conditionalFormatting sqref="H92">
    <cfRule type="expression" dxfId="3325" priority="4443" stopIfTrue="1">
      <formula>AND($B92="Tender Received",$D92&lt;=(TODAY()+3))</formula>
    </cfRule>
    <cfRule type="expression" dxfId="3324" priority="4444" stopIfTrue="1">
      <formula>$B92="Tender Received"</formula>
    </cfRule>
  </conditionalFormatting>
  <conditionalFormatting sqref="Q92">
    <cfRule type="expression" dxfId="3323" priority="4441" stopIfTrue="1">
      <formula>AND($B92="Tender Received",$D92&lt;=(TODAY()+3))</formula>
    </cfRule>
    <cfRule type="expression" dxfId="3322" priority="4442" stopIfTrue="1">
      <formula>$B92="Tender Received"</formula>
    </cfRule>
  </conditionalFormatting>
  <conditionalFormatting sqref="H111">
    <cfRule type="expression" dxfId="3321" priority="4437" stopIfTrue="1">
      <formula>AND($B111="Tender Received",$D111&lt;=(TODAY()+3))</formula>
    </cfRule>
    <cfRule type="expression" dxfId="3320" priority="4438" stopIfTrue="1">
      <formula>$B111="Tender Received"</formula>
    </cfRule>
  </conditionalFormatting>
  <conditionalFormatting sqref="Q111">
    <cfRule type="expression" dxfId="3319" priority="4435" stopIfTrue="1">
      <formula>AND($B111="Tender Received",$D111&lt;=(TODAY()+3))</formula>
    </cfRule>
    <cfRule type="expression" dxfId="3318" priority="4436" stopIfTrue="1">
      <formula>$B111="Tender Received"</formula>
    </cfRule>
  </conditionalFormatting>
  <conditionalFormatting sqref="Q120">
    <cfRule type="expression" dxfId="3317" priority="4433" stopIfTrue="1">
      <formula>AND($B120="Tender Received",$D120&lt;=(TODAY()+3))</formula>
    </cfRule>
    <cfRule type="expression" dxfId="3316" priority="4434" stopIfTrue="1">
      <formula>$B120="Tender Received"</formula>
    </cfRule>
  </conditionalFormatting>
  <conditionalFormatting sqref="B821:B823 D821:K821 K822 O821:R823 D822 F822:I822 D823:K823">
    <cfRule type="expression" dxfId="3315" priority="4417" stopIfTrue="1">
      <formula>AND($B821="Tender Received",$D821&lt;=(TODAY()+3))</formula>
    </cfRule>
    <cfRule type="expression" dxfId="3314" priority="4418" stopIfTrue="1">
      <formula>$B821="Tender Received"</formula>
    </cfRule>
  </conditionalFormatting>
  <conditionalFormatting sqref="I821">
    <cfRule type="expression" dxfId="3313" priority="4415" stopIfTrue="1">
      <formula>AND($B821="Tender Received",$D821&lt;=(TODAY()+3))</formula>
    </cfRule>
    <cfRule type="expression" dxfId="3312" priority="4416" stopIfTrue="1">
      <formula>$B821="Tender Received"</formula>
    </cfRule>
  </conditionalFormatting>
  <conditionalFormatting sqref="M821:N823">
    <cfRule type="expression" dxfId="3311" priority="4413" stopIfTrue="1">
      <formula>AND($B821="Tender Received",$D821&lt;=(TODAY()+3))</formula>
    </cfRule>
    <cfRule type="expression" dxfId="3310" priority="4414" stopIfTrue="1">
      <formula>$B821="Tender Received"</formula>
    </cfRule>
  </conditionalFormatting>
  <conditionalFormatting sqref="L823">
    <cfRule type="expression" dxfId="3309" priority="4411" stopIfTrue="1">
      <formula>AND($B823="Tender Received",$D823&lt;=(TODAY()+3))</formula>
    </cfRule>
    <cfRule type="expression" dxfId="3308" priority="4412" stopIfTrue="1">
      <formula>$B823="Tender Received"</formula>
    </cfRule>
  </conditionalFormatting>
  <conditionalFormatting sqref="C821:C823">
    <cfRule type="expression" dxfId="3307" priority="4409" stopIfTrue="1">
      <formula>AND($B821="Tender Received",$D821&lt;=(TODAY()+3))</formula>
    </cfRule>
    <cfRule type="expression" dxfId="3306" priority="4410" stopIfTrue="1">
      <formula>$B821="Tender Received"</formula>
    </cfRule>
  </conditionalFormatting>
  <conditionalFormatting sqref="I822">
    <cfRule type="expression" dxfId="3305" priority="4407" stopIfTrue="1">
      <formula>AND($B822="Tender Received",$D822&lt;=(TODAY()+3))</formula>
    </cfRule>
    <cfRule type="expression" dxfId="3304" priority="4408" stopIfTrue="1">
      <formula>$B822="Tender Received"</formula>
    </cfRule>
  </conditionalFormatting>
  <conditionalFormatting sqref="L822">
    <cfRule type="expression" dxfId="3303" priority="4405" stopIfTrue="1">
      <formula>AND($B822="Tender Received",$D822&lt;=(TODAY()+3))</formula>
    </cfRule>
    <cfRule type="expression" dxfId="3302" priority="4406" stopIfTrue="1">
      <formula>$B822="Tender Received"</formula>
    </cfRule>
  </conditionalFormatting>
  <conditionalFormatting sqref="L821">
    <cfRule type="expression" dxfId="3301" priority="4403" stopIfTrue="1">
      <formula>AND($B821="Tender Received",$D821&lt;=(TODAY()+3))</formula>
    </cfRule>
    <cfRule type="expression" dxfId="3300" priority="4404" stopIfTrue="1">
      <formula>$B821="Tender Received"</formula>
    </cfRule>
  </conditionalFormatting>
  <conditionalFormatting sqref="I823">
    <cfRule type="expression" dxfId="3299" priority="4401" stopIfTrue="1">
      <formula>AND($B823="Tender Received",$D823&lt;=(TODAY()+3))</formula>
    </cfRule>
    <cfRule type="expression" dxfId="3298" priority="4402" stopIfTrue="1">
      <formula>$B823="Tender Received"</formula>
    </cfRule>
  </conditionalFormatting>
  <conditionalFormatting sqref="L821">
    <cfRule type="expression" dxfId="3297" priority="4399" stopIfTrue="1">
      <formula>AND($B821="Tender Received",$D821&lt;=(TODAY()+3))</formula>
    </cfRule>
    <cfRule type="expression" dxfId="3296" priority="4400" stopIfTrue="1">
      <formula>$B821="Tender Received"</formula>
    </cfRule>
  </conditionalFormatting>
  <conditionalFormatting sqref="L823">
    <cfRule type="expression" dxfId="3295" priority="4397" stopIfTrue="1">
      <formula>AND($B823="Tender Received",$D823&lt;=(TODAY()+3))</formula>
    </cfRule>
    <cfRule type="expression" dxfId="3294" priority="4398" stopIfTrue="1">
      <formula>$B823="Tender Received"</formula>
    </cfRule>
  </conditionalFormatting>
  <conditionalFormatting sqref="L822">
    <cfRule type="expression" dxfId="3293" priority="4395" stopIfTrue="1">
      <formula>AND($B822="Tender Received",$D822&lt;=(TODAY()+3))</formula>
    </cfRule>
    <cfRule type="expression" dxfId="3292" priority="4396" stopIfTrue="1">
      <formula>$B822="Tender Received"</formula>
    </cfRule>
  </conditionalFormatting>
  <conditionalFormatting sqref="J822">
    <cfRule type="expression" dxfId="3291" priority="4393" stopIfTrue="1">
      <formula>AND($B822="Tender Received",$D822&lt;=(TODAY()+3))</formula>
    </cfRule>
    <cfRule type="expression" dxfId="3290" priority="4394" stopIfTrue="1">
      <formula>$B822="Tender Received"</formula>
    </cfRule>
  </conditionalFormatting>
  <conditionalFormatting sqref="E822">
    <cfRule type="expression" dxfId="3289" priority="4391" stopIfTrue="1">
      <formula>AND($B822="Tender Received",$D822&lt;=(TODAY()+3))</formula>
    </cfRule>
    <cfRule type="expression" dxfId="3288" priority="4392" stopIfTrue="1">
      <formula>$B822="Tender Received"</formula>
    </cfRule>
  </conditionalFormatting>
  <conditionalFormatting sqref="C824 O825:R825 O824:P824 R824 B824:B825 D824:K825">
    <cfRule type="expression" dxfId="3287" priority="4389" stopIfTrue="1">
      <formula>AND($B824="Tender Received",$D824&lt;=(TODAY()+3))</formula>
    </cfRule>
    <cfRule type="expression" dxfId="3286" priority="4390" stopIfTrue="1">
      <formula>$B824="Tender Received"</formula>
    </cfRule>
  </conditionalFormatting>
  <conditionalFormatting sqref="I825">
    <cfRule type="expression" dxfId="3285" priority="4387" stopIfTrue="1">
      <formula>AND($B825="Tender Received",$D825&lt;=(TODAY()+3))</formula>
    </cfRule>
    <cfRule type="expression" dxfId="3284" priority="4388" stopIfTrue="1">
      <formula>$B825="Tender Received"</formula>
    </cfRule>
  </conditionalFormatting>
  <conditionalFormatting sqref="M824:N825">
    <cfRule type="expression" dxfId="3283" priority="4385" stopIfTrue="1">
      <formula>AND($B824="Tender Received",$D824&lt;=(TODAY()+3))</formula>
    </cfRule>
    <cfRule type="expression" dxfId="3282" priority="4386" stopIfTrue="1">
      <formula>$B824="Tender Received"</formula>
    </cfRule>
  </conditionalFormatting>
  <conditionalFormatting sqref="C824:C825">
    <cfRule type="expression" dxfId="3281" priority="4383" stopIfTrue="1">
      <formula>AND($B824="Tender Received",$D824&lt;=(TODAY()+3))</formula>
    </cfRule>
    <cfRule type="expression" dxfId="3280" priority="4384" stopIfTrue="1">
      <formula>$B824="Tender Received"</formula>
    </cfRule>
  </conditionalFormatting>
  <conditionalFormatting sqref="L825">
    <cfRule type="expression" dxfId="3279" priority="4381" stopIfTrue="1">
      <formula>AND($B825="Tender Received",$D825&lt;=(TODAY()+3))</formula>
    </cfRule>
    <cfRule type="expression" dxfId="3278" priority="4382" stopIfTrue="1">
      <formula>$B825="Tender Received"</formula>
    </cfRule>
  </conditionalFormatting>
  <conditionalFormatting sqref="L824">
    <cfRule type="expression" dxfId="3277" priority="4379" stopIfTrue="1">
      <formula>AND($B824="Tender Received",$D824&lt;=(TODAY()+3))</formula>
    </cfRule>
    <cfRule type="expression" dxfId="3276" priority="4380" stopIfTrue="1">
      <formula>$B824="Tender Received"</formula>
    </cfRule>
  </conditionalFormatting>
  <conditionalFormatting sqref="L825">
    <cfRule type="expression" dxfId="3275" priority="4377" stopIfTrue="1">
      <formula>AND($B825="Tender Received",$D825&lt;=(TODAY()+3))</formula>
    </cfRule>
    <cfRule type="expression" dxfId="3274" priority="4378" stopIfTrue="1">
      <formula>$B825="Tender Received"</formula>
    </cfRule>
  </conditionalFormatting>
  <conditionalFormatting sqref="I824">
    <cfRule type="expression" dxfId="3273" priority="4375" stopIfTrue="1">
      <formula>AND($B824="Tender Received",$D824&lt;=(TODAY()+3))</formula>
    </cfRule>
    <cfRule type="expression" dxfId="3272" priority="4376" stopIfTrue="1">
      <formula>$B824="Tender Received"</formula>
    </cfRule>
  </conditionalFormatting>
  <conditionalFormatting sqref="L824">
    <cfRule type="expression" dxfId="3271" priority="4373" stopIfTrue="1">
      <formula>AND($B824="Tender Received",$D824&lt;=(TODAY()+3))</formula>
    </cfRule>
    <cfRule type="expression" dxfId="3270" priority="4374" stopIfTrue="1">
      <formula>$B824="Tender Received"</formula>
    </cfRule>
  </conditionalFormatting>
  <conditionalFormatting sqref="Q824">
    <cfRule type="expression" dxfId="3269" priority="4371" stopIfTrue="1">
      <formula>AND($B824="Tender Received",$D824&lt;=(TODAY()+3))</formula>
    </cfRule>
    <cfRule type="expression" dxfId="3268" priority="4372" stopIfTrue="1">
      <formula>$B824="Tender Received"</formula>
    </cfRule>
  </conditionalFormatting>
  <conditionalFormatting sqref="B826:B827 B828:M832 Q828:R832">
    <cfRule type="expression" dxfId="3267" priority="4369" stopIfTrue="1">
      <formula>AND($B826="Tender Received",$D826&lt;=(TODAY()+3))</formula>
    </cfRule>
    <cfRule type="expression" dxfId="3266" priority="4370" stopIfTrue="1">
      <formula>$B826="Tender Received"</formula>
    </cfRule>
  </conditionalFormatting>
  <conditionalFormatting sqref="M826:P827 R826:R827 C826:K827 C828:C832">
    <cfRule type="expression" dxfId="3265" priority="4367" stopIfTrue="1">
      <formula>AND($B826="Tender Received",$D826&lt;=(TODAY()+3))</formula>
    </cfRule>
    <cfRule type="expression" dxfId="3264" priority="4368" stopIfTrue="1">
      <formula>$B826="Tender Received"</formula>
    </cfRule>
  </conditionalFormatting>
  <conditionalFormatting sqref="C826:C832">
    <cfRule type="expression" dxfId="3263" priority="4365" stopIfTrue="1">
      <formula>AND($B826="Tender Received",$D826&lt;=(TODAY()+3))</formula>
    </cfRule>
    <cfRule type="expression" dxfId="3262" priority="4366" stopIfTrue="1">
      <formula>$B826="Tender Received"</formula>
    </cfRule>
  </conditionalFormatting>
  <conditionalFormatting sqref="L826:L827">
    <cfRule type="expression" dxfId="3261" priority="4363" stopIfTrue="1">
      <formula>AND($B826="Tender Received",$D826&lt;=(TODAY()+3))</formula>
    </cfRule>
    <cfRule type="expression" dxfId="3260" priority="4364" stopIfTrue="1">
      <formula>$B826="Tender Received"</formula>
    </cfRule>
  </conditionalFormatting>
  <conditionalFormatting sqref="L826:L827">
    <cfRule type="expression" dxfId="3259" priority="4361" stopIfTrue="1">
      <formula>AND($B826="Tender Received",$D826&lt;=(TODAY()+3))</formula>
    </cfRule>
    <cfRule type="expression" dxfId="3258" priority="4362" stopIfTrue="1">
      <formula>$B826="Tender Received"</formula>
    </cfRule>
  </conditionalFormatting>
  <conditionalFormatting sqref="Q826:Q827">
    <cfRule type="expression" dxfId="3257" priority="4359" stopIfTrue="1">
      <formula>AND($B826="Tender Received",$D826&lt;=(TODAY()+3))</formula>
    </cfRule>
    <cfRule type="expression" dxfId="3256" priority="4360" stopIfTrue="1">
      <formula>$B826="Tender Received"</formula>
    </cfRule>
  </conditionalFormatting>
  <conditionalFormatting sqref="C832">
    <cfRule type="expression" dxfId="3255" priority="4357" stopIfTrue="1">
      <formula>AND($B832="Tender Received",$D832&lt;=(TODAY()+3))</formula>
    </cfRule>
    <cfRule type="expression" dxfId="3254" priority="4358" stopIfTrue="1">
      <formula>$B832="Tender Received"</formula>
    </cfRule>
  </conditionalFormatting>
  <conditionalFormatting sqref="C832">
    <cfRule type="expression" dxfId="3253" priority="4355" stopIfTrue="1">
      <formula>AND($B832="Tender Received",$D832&lt;=(TODAY()+3))</formula>
    </cfRule>
    <cfRule type="expression" dxfId="3252" priority="4356" stopIfTrue="1">
      <formula>$B832="Tender Received"</formula>
    </cfRule>
  </conditionalFormatting>
  <conditionalFormatting sqref="N828:P832">
    <cfRule type="expression" dxfId="3251" priority="4353" stopIfTrue="1">
      <formula>AND($B828="Tender Received",$D828&lt;=(TODAY()+3))</formula>
    </cfRule>
    <cfRule type="expression" dxfId="3250" priority="4354" stopIfTrue="1">
      <formula>$B828="Tender Received"</formula>
    </cfRule>
  </conditionalFormatting>
  <conditionalFormatting sqref="B833">
    <cfRule type="expression" dxfId="3249" priority="4335" stopIfTrue="1">
      <formula>AND($B833="Tender Received",$D833&lt;=(TODAY()+3))</formula>
    </cfRule>
    <cfRule type="expression" dxfId="3248" priority="4336" stopIfTrue="1">
      <formula>$B833="Tender Received"</formula>
    </cfRule>
  </conditionalFormatting>
  <conditionalFormatting sqref="D833:K833">
    <cfRule type="expression" dxfId="3247" priority="4333" stopIfTrue="1">
      <formula>AND($B833="Tender Received",$D833&lt;=(TODAY()+3))</formula>
    </cfRule>
    <cfRule type="expression" dxfId="3246" priority="4334" stopIfTrue="1">
      <formula>$B833="Tender Received"</formula>
    </cfRule>
  </conditionalFormatting>
  <conditionalFormatting sqref="C833">
    <cfRule type="expression" dxfId="3245" priority="4331" stopIfTrue="1">
      <formula>AND($B833="Tender Received",$D833&lt;=(TODAY()+3))</formula>
    </cfRule>
    <cfRule type="expression" dxfId="3244" priority="4332" stopIfTrue="1">
      <formula>$B833="Tender Received"</formula>
    </cfRule>
  </conditionalFormatting>
  <conditionalFormatting sqref="M833:P833 R833 C833:K833">
    <cfRule type="expression" dxfId="3243" priority="4329" stopIfTrue="1">
      <formula>AND($B833="Tender Received",$D833&lt;=(TODAY()+3))</formula>
    </cfRule>
    <cfRule type="expression" dxfId="3242" priority="4330" stopIfTrue="1">
      <formula>$B833="Tender Received"</formula>
    </cfRule>
  </conditionalFormatting>
  <conditionalFormatting sqref="M833:N833">
    <cfRule type="expression" dxfId="3241" priority="4327" stopIfTrue="1">
      <formula>AND($B833="Tender Received",$D833&lt;=(TODAY()+3))</formula>
    </cfRule>
    <cfRule type="expression" dxfId="3240" priority="4328" stopIfTrue="1">
      <formula>$B833="Tender Received"</formula>
    </cfRule>
  </conditionalFormatting>
  <conditionalFormatting sqref="L833">
    <cfRule type="expression" dxfId="3239" priority="4325" stopIfTrue="1">
      <formula>AND($B833="Tender Received",$D833&lt;=(TODAY()+3))</formula>
    </cfRule>
    <cfRule type="expression" dxfId="3238" priority="4326" stopIfTrue="1">
      <formula>$B833="Tender Received"</formula>
    </cfRule>
  </conditionalFormatting>
  <conditionalFormatting sqref="C833">
    <cfRule type="expression" dxfId="3237" priority="4323" stopIfTrue="1">
      <formula>AND($B833="Tender Received",$D833&lt;=(TODAY()+3))</formula>
    </cfRule>
    <cfRule type="expression" dxfId="3236" priority="4324" stopIfTrue="1">
      <formula>$B833="Tender Received"</formula>
    </cfRule>
  </conditionalFormatting>
  <conditionalFormatting sqref="L833">
    <cfRule type="expression" dxfId="3235" priority="4321" stopIfTrue="1">
      <formula>AND($B833="Tender Received",$D833&lt;=(TODAY()+3))</formula>
    </cfRule>
    <cfRule type="expression" dxfId="3234" priority="4322" stopIfTrue="1">
      <formula>$B833="Tender Received"</formula>
    </cfRule>
  </conditionalFormatting>
  <conditionalFormatting sqref="C833">
    <cfRule type="expression" dxfId="3233" priority="4319" stopIfTrue="1">
      <formula>AND($B833="Tender Received",$D833&lt;=(TODAY()+3))</formula>
    </cfRule>
    <cfRule type="expression" dxfId="3232" priority="4320" stopIfTrue="1">
      <formula>$B833="Tender Received"</formula>
    </cfRule>
  </conditionalFormatting>
  <conditionalFormatting sqref="H833:I833">
    <cfRule type="expression" dxfId="3231" priority="4317" stopIfTrue="1">
      <formula>AND($B833="Tender Received",$D833&lt;=(TODAY()+3))</formula>
    </cfRule>
    <cfRule type="expression" dxfId="3230" priority="4318" stopIfTrue="1">
      <formula>$B833="Tender Received"</formula>
    </cfRule>
  </conditionalFormatting>
  <conditionalFormatting sqref="Q833">
    <cfRule type="expression" dxfId="3229" priority="4315" stopIfTrue="1">
      <formula>AND($B833="Tender Received",$D833&lt;=(TODAY()+3))</formula>
    </cfRule>
    <cfRule type="expression" dxfId="3228" priority="4316" stopIfTrue="1">
      <formula>$B833="Tender Received"</formula>
    </cfRule>
  </conditionalFormatting>
  <conditionalFormatting sqref="O834:P835 R834:R835 D834:K834 B834:C835 D835:H835 J835:K835">
    <cfRule type="expression" dxfId="3227" priority="4295" stopIfTrue="1">
      <formula>AND($B834="Tender Received",$D834&lt;=(TODAY()+3))</formula>
    </cfRule>
    <cfRule type="expression" dxfId="3226" priority="4296" stopIfTrue="1">
      <formula>$B834="Tender Received"</formula>
    </cfRule>
  </conditionalFormatting>
  <conditionalFormatting sqref="M834:N835">
    <cfRule type="expression" dxfId="3225" priority="4293" stopIfTrue="1">
      <formula>AND($B834="Tender Received",$D834&lt;=(TODAY()+3))</formula>
    </cfRule>
    <cfRule type="expression" dxfId="3224" priority="4294" stopIfTrue="1">
      <formula>$B834="Tender Received"</formula>
    </cfRule>
  </conditionalFormatting>
  <conditionalFormatting sqref="L835">
    <cfRule type="expression" dxfId="3223" priority="4291" stopIfTrue="1">
      <formula>AND($B835="Tender Received",$D835&lt;=(TODAY()+3))</formula>
    </cfRule>
    <cfRule type="expression" dxfId="3222" priority="4292" stopIfTrue="1">
      <formula>$B835="Tender Received"</formula>
    </cfRule>
  </conditionalFormatting>
  <conditionalFormatting sqref="L834">
    <cfRule type="expression" dxfId="3221" priority="4289" stopIfTrue="1">
      <formula>AND($B834="Tender Received",$D834&lt;=(TODAY()+3))</formula>
    </cfRule>
    <cfRule type="expression" dxfId="3220" priority="4290" stopIfTrue="1">
      <formula>$B834="Tender Received"</formula>
    </cfRule>
  </conditionalFormatting>
  <conditionalFormatting sqref="L834">
    <cfRule type="expression" dxfId="3219" priority="4287" stopIfTrue="1">
      <formula>AND($B834="Tender Received",$D834&lt;=(TODAY()+3))</formula>
    </cfRule>
    <cfRule type="expression" dxfId="3218" priority="4288" stopIfTrue="1">
      <formula>$B834="Tender Received"</formula>
    </cfRule>
  </conditionalFormatting>
  <conditionalFormatting sqref="L835">
    <cfRule type="expression" dxfId="3217" priority="4285" stopIfTrue="1">
      <formula>AND($B835="Tender Received",$D835&lt;=(TODAY()+3))</formula>
    </cfRule>
    <cfRule type="expression" dxfId="3216" priority="4286" stopIfTrue="1">
      <formula>$B835="Tender Received"</formula>
    </cfRule>
  </conditionalFormatting>
  <conditionalFormatting sqref="Q835">
    <cfRule type="expression" dxfId="3215" priority="4283" stopIfTrue="1">
      <formula>AND($B835="Tender Received",$D835&lt;=(TODAY()+3))</formula>
    </cfRule>
    <cfRule type="expression" dxfId="3214" priority="4284" stopIfTrue="1">
      <formula>$B835="Tender Received"</formula>
    </cfRule>
  </conditionalFormatting>
  <conditionalFormatting sqref="Q834">
    <cfRule type="expression" dxfId="3213" priority="4281" stopIfTrue="1">
      <formula>AND($B834="Tender Received",$D834&lt;=(TODAY()+3))</formula>
    </cfRule>
    <cfRule type="expression" dxfId="3212" priority="4282" stopIfTrue="1">
      <formula>$B834="Tender Received"</formula>
    </cfRule>
  </conditionalFormatting>
  <conditionalFormatting sqref="I835">
    <cfRule type="expression" dxfId="3211" priority="4279" stopIfTrue="1">
      <formula>AND($B835="Tender Received",$D835&lt;=(TODAY()+3))</formula>
    </cfRule>
    <cfRule type="expression" dxfId="3210" priority="4280" stopIfTrue="1">
      <formula>$B835="Tender Received"</formula>
    </cfRule>
  </conditionalFormatting>
  <conditionalFormatting sqref="B836:B838 B839:R839">
    <cfRule type="expression" dxfId="3209" priority="4277" stopIfTrue="1">
      <formula>AND($B836="Tender Received",$D836&lt;=(TODAY()+3))</formula>
    </cfRule>
    <cfRule type="expression" dxfId="3208" priority="4278" stopIfTrue="1">
      <formula>$B836="Tender Received"</formula>
    </cfRule>
  </conditionalFormatting>
  <conditionalFormatting sqref="C838:H838 J838:P838 L837:M837 Q837:R837 R838">
    <cfRule type="expression" dxfId="3207" priority="4275" stopIfTrue="1">
      <formula>AND($B837="Tender Received",$D837&lt;=(TODAY()+3))</formula>
    </cfRule>
    <cfRule type="expression" dxfId="3206" priority="4276" stopIfTrue="1">
      <formula>$B837="Tender Received"</formula>
    </cfRule>
  </conditionalFormatting>
  <conditionalFormatting sqref="I838">
    <cfRule type="expression" dxfId="3205" priority="4273" stopIfTrue="1">
      <formula>AND($B838="Tender Received",$D838&lt;=(TODAY()+3))</formula>
    </cfRule>
    <cfRule type="expression" dxfId="3204" priority="4274" stopIfTrue="1">
      <formula>$B838="Tender Received"</formula>
    </cfRule>
  </conditionalFormatting>
  <conditionalFormatting sqref="J836:M836 C836:G836 Q836:R836">
    <cfRule type="expression" dxfId="3203" priority="4271" stopIfTrue="1">
      <formula>AND($B836="Tender Received",$D836&lt;=(TODAY()+3))</formula>
    </cfRule>
    <cfRule type="expression" dxfId="3202" priority="4272" stopIfTrue="1">
      <formula>$B836="Tender Received"</formula>
    </cfRule>
  </conditionalFormatting>
  <conditionalFormatting sqref="I836">
    <cfRule type="expression" dxfId="3201" priority="4269" stopIfTrue="1">
      <formula>AND($B836="Tender Received",$D836&lt;=(TODAY()+3))</formula>
    </cfRule>
    <cfRule type="expression" dxfId="3200" priority="4270" stopIfTrue="1">
      <formula>$B836="Tender Received"</formula>
    </cfRule>
  </conditionalFormatting>
  <conditionalFormatting sqref="D837:K837">
    <cfRule type="expression" dxfId="3199" priority="4267" stopIfTrue="1">
      <formula>AND($B837="Tender Received",$D837&lt;=(TODAY()+3))</formula>
    </cfRule>
    <cfRule type="expression" dxfId="3198" priority="4268" stopIfTrue="1">
      <formula>$B837="Tender Received"</formula>
    </cfRule>
  </conditionalFormatting>
  <conditionalFormatting sqref="N836:P837">
    <cfRule type="expression" dxfId="3197" priority="4265" stopIfTrue="1">
      <formula>AND($B836="Tender Received",$D836&lt;=(TODAY()+3))</formula>
    </cfRule>
    <cfRule type="expression" dxfId="3196" priority="4266" stopIfTrue="1">
      <formula>$B836="Tender Received"</formula>
    </cfRule>
  </conditionalFormatting>
  <conditionalFormatting sqref="H836">
    <cfRule type="expression" dxfId="3195" priority="4263" stopIfTrue="1">
      <formula>AND($B836="Tender Received",$D836&lt;=(TODAY()+3))</formula>
    </cfRule>
    <cfRule type="expression" dxfId="3194" priority="4264" stopIfTrue="1">
      <formula>$B836="Tender Received"</formula>
    </cfRule>
  </conditionalFormatting>
  <conditionalFormatting sqref="C837">
    <cfRule type="expression" dxfId="3193" priority="4261" stopIfTrue="1">
      <formula>AND($B837="Tender Received",$D837&lt;=(TODAY()+3))</formula>
    </cfRule>
    <cfRule type="expression" dxfId="3192" priority="4262" stopIfTrue="1">
      <formula>$B837="Tender Received"</formula>
    </cfRule>
  </conditionalFormatting>
  <conditionalFormatting sqref="Q838">
    <cfRule type="expression" dxfId="3191" priority="4259" stopIfTrue="1">
      <formula>AND($B838="Tender Received",$D838&lt;=(TODAY()+3))</formula>
    </cfRule>
    <cfRule type="expression" dxfId="3190" priority="4260" stopIfTrue="1">
      <formula>$B838="Tender Received"</formula>
    </cfRule>
  </conditionalFormatting>
  <conditionalFormatting sqref="R840 B840:P840">
    <cfRule type="expression" dxfId="3189" priority="4257" stopIfTrue="1">
      <formula>AND($B840="Tender Received",$D840&lt;=(TODAY()+3))</formula>
    </cfRule>
    <cfRule type="expression" dxfId="3188" priority="4258" stopIfTrue="1">
      <formula>$B840="Tender Received"</formula>
    </cfRule>
  </conditionalFormatting>
  <conditionalFormatting sqref="C841:R841">
    <cfRule type="expression" dxfId="3187" priority="4255" stopIfTrue="1">
      <formula>AND($B841="Tender Received",$D841&lt;=(TODAY()+3))</formula>
    </cfRule>
    <cfRule type="expression" dxfId="3186" priority="4256" stopIfTrue="1">
      <formula>$B841="Tender Received"</formula>
    </cfRule>
  </conditionalFormatting>
  <conditionalFormatting sqref="B841">
    <cfRule type="expression" dxfId="3185" priority="4253" stopIfTrue="1">
      <formula>AND($B841="Tender Received",$D841&lt;=(TODAY()+3))</formula>
    </cfRule>
    <cfRule type="expression" dxfId="3184" priority="4254" stopIfTrue="1">
      <formula>$B841="Tender Received"</formula>
    </cfRule>
  </conditionalFormatting>
  <conditionalFormatting sqref="J844:R844 R847 B842:R843 B844:G844 B846:H846 B847:P847 B845:R845 B848:R849 J846:R846">
    <cfRule type="expression" dxfId="3183" priority="4249" stopIfTrue="1">
      <formula>AND($B842="Tender Received",$D842&lt;=(TODAY()+3))</formula>
    </cfRule>
    <cfRule type="expression" dxfId="3182" priority="4250" stopIfTrue="1">
      <formula>$B842="Tender Received"</formula>
    </cfRule>
  </conditionalFormatting>
  <conditionalFormatting sqref="I846">
    <cfRule type="expression" dxfId="3181" priority="4247" stopIfTrue="1">
      <formula>AND($B846="Tender Received",$D846&lt;=(TODAY()+3))</formula>
    </cfRule>
    <cfRule type="expression" dxfId="3180" priority="4248" stopIfTrue="1">
      <formula>$B846="Tender Received"</formula>
    </cfRule>
  </conditionalFormatting>
  <conditionalFormatting sqref="Q845">
    <cfRule type="expression" dxfId="3179" priority="4251" stopIfTrue="1">
      <formula>AND($B847="Tender Received",$D847&lt;=(TODAY()+3))</formula>
    </cfRule>
    <cfRule type="expression" dxfId="3178" priority="4252" stopIfTrue="1">
      <formula>$B847="Tender Received"</formula>
    </cfRule>
  </conditionalFormatting>
  <conditionalFormatting sqref="H844:I844">
    <cfRule type="expression" dxfId="3177" priority="4245" stopIfTrue="1">
      <formula>AND($B844="Tender Received",$D844&lt;=(TODAY()+3))</formula>
    </cfRule>
    <cfRule type="expression" dxfId="3176" priority="4246" stopIfTrue="1">
      <formula>$B844="Tender Received"</formula>
    </cfRule>
  </conditionalFormatting>
  <conditionalFormatting sqref="Q846">
    <cfRule type="expression" dxfId="3175" priority="4243" stopIfTrue="1">
      <formula>AND($B848="Tender Received",$D848&lt;=(TODAY()+3))</formula>
    </cfRule>
    <cfRule type="expression" dxfId="3174" priority="4244" stopIfTrue="1">
      <formula>$B848="Tender Received"</formula>
    </cfRule>
  </conditionalFormatting>
  <conditionalFormatting sqref="B850:R850">
    <cfRule type="expression" dxfId="3173" priority="4237" stopIfTrue="1">
      <formula>AND($B850="Tender Received",$D850&lt;=(TODAY()+3))</formula>
    </cfRule>
    <cfRule type="expression" dxfId="3172" priority="4238" stopIfTrue="1">
      <formula>$B850="Tender Received"</formula>
    </cfRule>
  </conditionalFormatting>
  <conditionalFormatting sqref="L850">
    <cfRule type="expression" dxfId="3171" priority="4235" stopIfTrue="1">
      <formula>AND($B850="Tender Received",$D850&lt;=(TODAY()+3))</formula>
    </cfRule>
    <cfRule type="expression" dxfId="3170" priority="4236" stopIfTrue="1">
      <formula>$B850="Tender Received"</formula>
    </cfRule>
  </conditionalFormatting>
  <conditionalFormatting sqref="C850:H850 J850:K850 M850:R850">
    <cfRule type="expression" dxfId="3169" priority="4233" stopIfTrue="1">
      <formula>AND($B850="Tender Received",$D850&lt;=(TODAY()+3))</formula>
    </cfRule>
    <cfRule type="expression" dxfId="3168" priority="4234" stopIfTrue="1">
      <formula>$B850="Tender Received"</formula>
    </cfRule>
  </conditionalFormatting>
  <conditionalFormatting sqref="L850">
    <cfRule type="expression" dxfId="3167" priority="4231" stopIfTrue="1">
      <formula>AND($B850="Tender Received",$D850&lt;=(TODAY()+3))</formula>
    </cfRule>
    <cfRule type="expression" dxfId="3166" priority="4232" stopIfTrue="1">
      <formula>$B850="Tender Received"</formula>
    </cfRule>
  </conditionalFormatting>
  <conditionalFormatting sqref="I850">
    <cfRule type="expression" dxfId="3165" priority="4229" stopIfTrue="1">
      <formula>AND($B850="Tender Received",$D850&lt;=(TODAY()+3))</formula>
    </cfRule>
    <cfRule type="expression" dxfId="3164" priority="4230" stopIfTrue="1">
      <formula>$B850="Tender Received"</formula>
    </cfRule>
  </conditionalFormatting>
  <conditionalFormatting sqref="H77">
    <cfRule type="expression" dxfId="3163" priority="4223" stopIfTrue="1">
      <formula>AND($B77="Tender Received",$D77&lt;=(TODAY()+3))</formula>
    </cfRule>
    <cfRule type="expression" dxfId="3162" priority="4224" stopIfTrue="1">
      <formula>$B77="Tender Received"</formula>
    </cfRule>
  </conditionalFormatting>
  <conditionalFormatting sqref="B851">
    <cfRule type="expression" dxfId="3161" priority="4207" stopIfTrue="1">
      <formula>AND($B851="Tender Received",$D851&lt;=(TODAY()+3))</formula>
    </cfRule>
    <cfRule type="expression" dxfId="3160" priority="4208" stopIfTrue="1">
      <formula>$B851="Tender Received"</formula>
    </cfRule>
  </conditionalFormatting>
  <conditionalFormatting sqref="J851:P851 R851 C851:H851">
    <cfRule type="expression" dxfId="3159" priority="4205" stopIfTrue="1">
      <formula>AND($B851="Tender Received",$D851&lt;=(TODAY()+3))</formula>
    </cfRule>
    <cfRule type="expression" dxfId="3158" priority="4206" stopIfTrue="1">
      <formula>$B851="Tender Received"</formula>
    </cfRule>
  </conditionalFormatting>
  <conditionalFormatting sqref="Q851">
    <cfRule type="expression" dxfId="3157" priority="4203" stopIfTrue="1">
      <formula>AND($B851="Tender Received",$D851&lt;=(TODAY()+3))</formula>
    </cfRule>
    <cfRule type="expression" dxfId="3156" priority="4204" stopIfTrue="1">
      <formula>$B851="Tender Received"</formula>
    </cfRule>
  </conditionalFormatting>
  <conditionalFormatting sqref="I851">
    <cfRule type="expression" dxfId="3155" priority="4201" stopIfTrue="1">
      <formula>AND($B851="Tender Received",$D851&lt;=(TODAY()+3))</formula>
    </cfRule>
    <cfRule type="expression" dxfId="3154" priority="4202" stopIfTrue="1">
      <formula>$B851="Tender Received"</formula>
    </cfRule>
  </conditionalFormatting>
  <conditionalFormatting sqref="J854:R854 B852:R853 B854:G854">
    <cfRule type="expression" dxfId="3153" priority="4197" stopIfTrue="1">
      <formula>AND($B852="Tender Received",$D852&lt;=(TODAY()+3))</formula>
    </cfRule>
    <cfRule type="expression" dxfId="3152" priority="4198" stopIfTrue="1">
      <formula>$B852="Tender Received"</formula>
    </cfRule>
  </conditionalFormatting>
  <conditionalFormatting sqref="H854:I854">
    <cfRule type="expression" dxfId="3151" priority="4195" stopIfTrue="1">
      <formula>AND($B854="Tender Received",$D854&lt;=(TODAY()+3))</formula>
    </cfRule>
    <cfRule type="expression" dxfId="3150" priority="4196" stopIfTrue="1">
      <formula>$B854="Tender Received"</formula>
    </cfRule>
  </conditionalFormatting>
  <conditionalFormatting sqref="B855:B857">
    <cfRule type="expression" dxfId="3149" priority="4185" stopIfTrue="1">
      <formula>AND($B855="Tender Received",$D855&lt;=(TODAY()+3))</formula>
    </cfRule>
    <cfRule type="expression" dxfId="3148" priority="4186" stopIfTrue="1">
      <formula>$B855="Tender Received"</formula>
    </cfRule>
  </conditionalFormatting>
  <conditionalFormatting sqref="C855:H855 J855:P855 R855">
    <cfRule type="expression" dxfId="3147" priority="4183" stopIfTrue="1">
      <formula>AND($B855="Tender Received",$D855&lt;=(TODAY()+3))</formula>
    </cfRule>
    <cfRule type="expression" dxfId="3146" priority="4184" stopIfTrue="1">
      <formula>$B855="Tender Received"</formula>
    </cfRule>
  </conditionalFormatting>
  <conditionalFormatting sqref="I855">
    <cfRule type="expression" dxfId="3145" priority="4181" stopIfTrue="1">
      <formula>AND($B855="Tender Received",$D855&lt;=(TODAY()+3))</formula>
    </cfRule>
    <cfRule type="expression" dxfId="3144" priority="4182" stopIfTrue="1">
      <formula>$B855="Tender Received"</formula>
    </cfRule>
  </conditionalFormatting>
  <conditionalFormatting sqref="Q855">
    <cfRule type="expression" dxfId="3143" priority="4179" stopIfTrue="1">
      <formula>AND($B855="Tender Received",$D855&lt;=(TODAY()+3))</formula>
    </cfRule>
    <cfRule type="expression" dxfId="3142" priority="4180" stopIfTrue="1">
      <formula>$B855="Tender Received"</formula>
    </cfRule>
  </conditionalFormatting>
  <conditionalFormatting sqref="C856:H856 J856:P856 R856">
    <cfRule type="expression" dxfId="3141" priority="4177" stopIfTrue="1">
      <formula>AND($B856="Tender Received",$D856&lt;=(TODAY()+3))</formula>
    </cfRule>
    <cfRule type="expression" dxfId="3140" priority="4178" stopIfTrue="1">
      <formula>$B856="Tender Received"</formula>
    </cfRule>
  </conditionalFormatting>
  <conditionalFormatting sqref="I856">
    <cfRule type="expression" dxfId="3139" priority="4175" stopIfTrue="1">
      <formula>AND($B856="Tender Received",$D856&lt;=(TODAY()+3))</formula>
    </cfRule>
    <cfRule type="expression" dxfId="3138" priority="4176" stopIfTrue="1">
      <formula>$B856="Tender Received"</formula>
    </cfRule>
  </conditionalFormatting>
  <conditionalFormatting sqref="Q856">
    <cfRule type="expression" dxfId="3137" priority="4173" stopIfTrue="1">
      <formula>AND($B856="Tender Received",$D856&lt;=(TODAY()+3))</formula>
    </cfRule>
    <cfRule type="expression" dxfId="3136" priority="4174" stopIfTrue="1">
      <formula>$B856="Tender Received"</formula>
    </cfRule>
  </conditionalFormatting>
  <conditionalFormatting sqref="C857:H857 J857:P857 R857">
    <cfRule type="expression" dxfId="3135" priority="4171" stopIfTrue="1">
      <formula>AND($B857="Tender Received",$D857&lt;=(TODAY()+3))</formula>
    </cfRule>
    <cfRule type="expression" dxfId="3134" priority="4172" stopIfTrue="1">
      <formula>$B857="Tender Received"</formula>
    </cfRule>
  </conditionalFormatting>
  <conditionalFormatting sqref="I857">
    <cfRule type="expression" dxfId="3133" priority="4169" stopIfTrue="1">
      <formula>AND($B857="Tender Received",$D857&lt;=(TODAY()+3))</formula>
    </cfRule>
    <cfRule type="expression" dxfId="3132" priority="4170" stopIfTrue="1">
      <formula>$B857="Tender Received"</formula>
    </cfRule>
  </conditionalFormatting>
  <conditionalFormatting sqref="Q857">
    <cfRule type="expression" dxfId="3131" priority="4167" stopIfTrue="1">
      <formula>AND($B857="Tender Received",$D857&lt;=(TODAY()+3))</formula>
    </cfRule>
    <cfRule type="expression" dxfId="3130" priority="4168" stopIfTrue="1">
      <formula>$B857="Tender Received"</formula>
    </cfRule>
  </conditionalFormatting>
  <conditionalFormatting sqref="O858:R858 B858:H858 J858:K858">
    <cfRule type="expression" dxfId="3129" priority="4155" stopIfTrue="1">
      <formula>AND($B858="Tender Received",$D858&lt;=(TODAY()+3))</formula>
    </cfRule>
    <cfRule type="expression" dxfId="3128" priority="4156" stopIfTrue="1">
      <formula>$B858="Tender Received"</formula>
    </cfRule>
  </conditionalFormatting>
  <conditionalFormatting sqref="M858:N858">
    <cfRule type="expression" dxfId="3127" priority="4153" stopIfTrue="1">
      <formula>AND($B858="Tender Received",$D858&lt;=(TODAY()+3))</formula>
    </cfRule>
    <cfRule type="expression" dxfId="3126" priority="4154" stopIfTrue="1">
      <formula>$B858="Tender Received"</formula>
    </cfRule>
  </conditionalFormatting>
  <conditionalFormatting sqref="J858">
    <cfRule type="expression" dxfId="3125" priority="4151" stopIfTrue="1">
      <formula>AND($B858="Tender Received",$D858&lt;=(TODAY()+3))</formula>
    </cfRule>
    <cfRule type="expression" dxfId="3124" priority="4152" stopIfTrue="1">
      <formula>$B858="Tender Received"</formula>
    </cfRule>
  </conditionalFormatting>
  <conditionalFormatting sqref="L858">
    <cfRule type="expression" dxfId="3123" priority="4149" stopIfTrue="1">
      <formula>AND($B858="Tender Received",$D858&lt;=(TODAY()+3))</formula>
    </cfRule>
    <cfRule type="expression" dxfId="3122" priority="4150" stopIfTrue="1">
      <formula>$B858="Tender Received"</formula>
    </cfRule>
  </conditionalFormatting>
  <conditionalFormatting sqref="O858:P858">
    <cfRule type="expression" dxfId="3121" priority="4147" stopIfTrue="1">
      <formula>AND($B858="Tender Received",$D858&lt;=(TODAY()+3))</formula>
    </cfRule>
    <cfRule type="expression" dxfId="3120" priority="4148" stopIfTrue="1">
      <formula>$B858="Tender Received"</formula>
    </cfRule>
  </conditionalFormatting>
  <conditionalFormatting sqref="N858">
    <cfRule type="expression" dxfId="3119" priority="4145" stopIfTrue="1">
      <formula>AND($B858="Tender Received",$D858&lt;=(TODAY()+3))</formula>
    </cfRule>
    <cfRule type="expression" dxfId="3118" priority="4146" stopIfTrue="1">
      <formula>$B858="Tender Received"</formula>
    </cfRule>
  </conditionalFormatting>
  <conditionalFormatting sqref="L858">
    <cfRule type="expression" dxfId="3117" priority="4143" stopIfTrue="1">
      <formula>AND($B858="Tender Received",$D858&lt;=(TODAY()+3))</formula>
    </cfRule>
    <cfRule type="expression" dxfId="3116" priority="4144" stopIfTrue="1">
      <formula>$B858="Tender Received"</formula>
    </cfRule>
  </conditionalFormatting>
  <conditionalFormatting sqref="I858">
    <cfRule type="expression" dxfId="3115" priority="4141" stopIfTrue="1">
      <formula>AND($B858="Tender Received",$D858&lt;=(TODAY()+3))</formula>
    </cfRule>
    <cfRule type="expression" dxfId="3114" priority="4142" stopIfTrue="1">
      <formula>$B858="Tender Received"</formula>
    </cfRule>
  </conditionalFormatting>
  <conditionalFormatting sqref="I858">
    <cfRule type="expression" dxfId="3113" priority="4139" stopIfTrue="1">
      <formula>AND($B858="Tender Received",$D858&lt;=(TODAY()+3))</formula>
    </cfRule>
    <cfRule type="expression" dxfId="3112" priority="4140" stopIfTrue="1">
      <formula>$B858="Tender Received"</formula>
    </cfRule>
  </conditionalFormatting>
  <conditionalFormatting sqref="R859 C859:P859">
    <cfRule type="expression" dxfId="3111" priority="4137" stopIfTrue="1">
      <formula>AND($B859="Tender Received",$D859&lt;=(TODAY()+3))</formula>
    </cfRule>
    <cfRule type="expression" dxfId="3110" priority="4138" stopIfTrue="1">
      <formula>$B859="Tender Received"</formula>
    </cfRule>
  </conditionalFormatting>
  <conditionalFormatting sqref="Q859">
    <cfRule type="expression" dxfId="3109" priority="4135" stopIfTrue="1">
      <formula>AND($B859="Tender Received",$D859&lt;=(TODAY()+3))</formula>
    </cfRule>
    <cfRule type="expression" dxfId="3108" priority="4136" stopIfTrue="1">
      <formula>$B859="Tender Received"</formula>
    </cfRule>
  </conditionalFormatting>
  <conditionalFormatting sqref="Q859">
    <cfRule type="expression" dxfId="3107" priority="4133" stopIfTrue="1">
      <formula>AND($B861="Tender Received",$D861&lt;=(TODAY()+3))</formula>
    </cfRule>
    <cfRule type="expression" dxfId="3106" priority="4134" stopIfTrue="1">
      <formula>$B861="Tender Received"</formula>
    </cfRule>
  </conditionalFormatting>
  <conditionalFormatting sqref="B859">
    <cfRule type="expression" dxfId="3105" priority="4131" stopIfTrue="1">
      <formula>AND($B859="Tender Received",$D859&lt;=(TODAY()+3))</formula>
    </cfRule>
    <cfRule type="expression" dxfId="3104" priority="4132" stopIfTrue="1">
      <formula>$B859="Tender Received"</formula>
    </cfRule>
  </conditionalFormatting>
  <conditionalFormatting sqref="B860:B861 B862:P862 R862">
    <cfRule type="expression" dxfId="3103" priority="4129" stopIfTrue="1">
      <formula>AND($B860="Tender Received",$D860&lt;=(TODAY()+3))</formula>
    </cfRule>
    <cfRule type="expression" dxfId="3102" priority="4130" stopIfTrue="1">
      <formula>$B860="Tender Received"</formula>
    </cfRule>
  </conditionalFormatting>
  <conditionalFormatting sqref="C861:H861 J861:P861 L860:M860 Q860:R860 R861">
    <cfRule type="expression" dxfId="3101" priority="4127" stopIfTrue="1">
      <formula>AND($B860="Tender Received",$D860&lt;=(TODAY()+3))</formula>
    </cfRule>
    <cfRule type="expression" dxfId="3100" priority="4128" stopIfTrue="1">
      <formula>$B860="Tender Received"</formula>
    </cfRule>
  </conditionalFormatting>
  <conditionalFormatting sqref="I861">
    <cfRule type="expression" dxfId="3099" priority="4125" stopIfTrue="1">
      <formula>AND($B861="Tender Received",$D861&lt;=(TODAY()+3))</formula>
    </cfRule>
    <cfRule type="expression" dxfId="3098" priority="4126" stopIfTrue="1">
      <formula>$B861="Tender Received"</formula>
    </cfRule>
  </conditionalFormatting>
  <conditionalFormatting sqref="D860:K860">
    <cfRule type="expression" dxfId="3097" priority="4123" stopIfTrue="1">
      <formula>AND($B860="Tender Received",$D860&lt;=(TODAY()+3))</formula>
    </cfRule>
    <cfRule type="expression" dxfId="3096" priority="4124" stopIfTrue="1">
      <formula>$B860="Tender Received"</formula>
    </cfRule>
  </conditionalFormatting>
  <conditionalFormatting sqref="N860:P860">
    <cfRule type="expression" dxfId="3095" priority="4121" stopIfTrue="1">
      <formula>AND($B860="Tender Received",$D860&lt;=(TODAY()+3))</formula>
    </cfRule>
    <cfRule type="expression" dxfId="3094" priority="4122" stopIfTrue="1">
      <formula>$B860="Tender Received"</formula>
    </cfRule>
  </conditionalFormatting>
  <conditionalFormatting sqref="C860">
    <cfRule type="expression" dxfId="3093" priority="4119" stopIfTrue="1">
      <formula>AND($B860="Tender Received",$D860&lt;=(TODAY()+3))</formula>
    </cfRule>
    <cfRule type="expression" dxfId="3092" priority="4120" stopIfTrue="1">
      <formula>$B860="Tender Received"</formula>
    </cfRule>
  </conditionalFormatting>
  <conditionalFormatting sqref="Q861">
    <cfRule type="expression" dxfId="3091" priority="4117" stopIfTrue="1">
      <formula>AND($B861="Tender Received",$D861&lt;=(TODAY()+3))</formula>
    </cfRule>
    <cfRule type="expression" dxfId="3090" priority="4118" stopIfTrue="1">
      <formula>$B861="Tender Received"</formula>
    </cfRule>
  </conditionalFormatting>
  <conditionalFormatting sqref="Q862">
    <cfRule type="expression" dxfId="3089" priority="4115" stopIfTrue="1">
      <formula>AND($B862="Tender Received",$D862&lt;=(TODAY()+3))</formula>
    </cfRule>
    <cfRule type="expression" dxfId="3088" priority="4116" stopIfTrue="1">
      <formula>$B862="Tender Received"</formula>
    </cfRule>
  </conditionalFormatting>
  <conditionalFormatting sqref="O863:R864 D863:H864 J863:K864 O865:P865 R865 B863:C865 D865:K865">
    <cfRule type="expression" dxfId="3087" priority="4087" stopIfTrue="1">
      <formula>AND($B863="Tender Received",$D863&lt;=(TODAY()+3))</formula>
    </cfRule>
    <cfRule type="expression" dxfId="3086" priority="4088" stopIfTrue="1">
      <formula>$B863="Tender Received"</formula>
    </cfRule>
  </conditionalFormatting>
  <conditionalFormatting sqref="M863:N865">
    <cfRule type="expression" dxfId="3085" priority="4085" stopIfTrue="1">
      <formula>AND($B863="Tender Received",$D863&lt;=(TODAY()+3))</formula>
    </cfRule>
    <cfRule type="expression" dxfId="3084" priority="4086" stopIfTrue="1">
      <formula>$B863="Tender Received"</formula>
    </cfRule>
  </conditionalFormatting>
  <conditionalFormatting sqref="L864">
    <cfRule type="expression" dxfId="3083" priority="4083" stopIfTrue="1">
      <formula>AND($B864="Tender Received",$D864&lt;=(TODAY()+3))</formula>
    </cfRule>
    <cfRule type="expression" dxfId="3082" priority="4084" stopIfTrue="1">
      <formula>$B864="Tender Received"</formula>
    </cfRule>
  </conditionalFormatting>
  <conditionalFormatting sqref="J863">
    <cfRule type="expression" dxfId="3081" priority="4081" stopIfTrue="1">
      <formula>AND($B863="Tender Received",$D863&lt;=(TODAY()+3))</formula>
    </cfRule>
    <cfRule type="expression" dxfId="3080" priority="4082" stopIfTrue="1">
      <formula>$B863="Tender Received"</formula>
    </cfRule>
  </conditionalFormatting>
  <conditionalFormatting sqref="L863">
    <cfRule type="expression" dxfId="3079" priority="4079" stopIfTrue="1">
      <formula>AND($B863="Tender Received",$D863&lt;=(TODAY()+3))</formula>
    </cfRule>
    <cfRule type="expression" dxfId="3078" priority="4080" stopIfTrue="1">
      <formula>$B863="Tender Received"</formula>
    </cfRule>
  </conditionalFormatting>
  <conditionalFormatting sqref="L865">
    <cfRule type="expression" dxfId="3077" priority="4077" stopIfTrue="1">
      <formula>AND($B865="Tender Received",$D865&lt;=(TODAY()+3))</formula>
    </cfRule>
    <cfRule type="expression" dxfId="3076" priority="4078" stopIfTrue="1">
      <formula>$B865="Tender Received"</formula>
    </cfRule>
  </conditionalFormatting>
  <conditionalFormatting sqref="O863:P863">
    <cfRule type="expression" dxfId="3075" priority="4075" stopIfTrue="1">
      <formula>AND($B863="Tender Received",$D863&lt;=(TODAY()+3))</formula>
    </cfRule>
    <cfRule type="expression" dxfId="3074" priority="4076" stopIfTrue="1">
      <formula>$B863="Tender Received"</formula>
    </cfRule>
  </conditionalFormatting>
  <conditionalFormatting sqref="N863">
    <cfRule type="expression" dxfId="3073" priority="4073" stopIfTrue="1">
      <formula>AND($B863="Tender Received",$D863&lt;=(TODAY()+3))</formula>
    </cfRule>
    <cfRule type="expression" dxfId="3072" priority="4074" stopIfTrue="1">
      <formula>$B863="Tender Received"</formula>
    </cfRule>
  </conditionalFormatting>
  <conditionalFormatting sqref="L864">
    <cfRule type="expression" dxfId="3071" priority="4071" stopIfTrue="1">
      <formula>AND($B864="Tender Received",$D864&lt;=(TODAY()+3))</formula>
    </cfRule>
    <cfRule type="expression" dxfId="3070" priority="4072" stopIfTrue="1">
      <formula>$B864="Tender Received"</formula>
    </cfRule>
  </conditionalFormatting>
  <conditionalFormatting sqref="L865">
    <cfRule type="expression" dxfId="3069" priority="4069" stopIfTrue="1">
      <formula>AND($B865="Tender Received",$D865&lt;=(TODAY()+3))</formula>
    </cfRule>
    <cfRule type="expression" dxfId="3068" priority="4070" stopIfTrue="1">
      <formula>$B865="Tender Received"</formula>
    </cfRule>
  </conditionalFormatting>
  <conditionalFormatting sqref="L863">
    <cfRule type="expression" dxfId="3067" priority="4067" stopIfTrue="1">
      <formula>AND($B863="Tender Received",$D863&lt;=(TODAY()+3))</formula>
    </cfRule>
    <cfRule type="expression" dxfId="3066" priority="4068" stopIfTrue="1">
      <formula>$B863="Tender Received"</formula>
    </cfRule>
  </conditionalFormatting>
  <conditionalFormatting sqref="I863">
    <cfRule type="expression" dxfId="3065" priority="4065" stopIfTrue="1">
      <formula>AND($B863="Tender Received",$D863&lt;=(TODAY()+3))</formula>
    </cfRule>
    <cfRule type="expression" dxfId="3064" priority="4066" stopIfTrue="1">
      <formula>$B863="Tender Received"</formula>
    </cfRule>
  </conditionalFormatting>
  <conditionalFormatting sqref="I863">
    <cfRule type="expression" dxfId="3063" priority="4063" stopIfTrue="1">
      <formula>AND($B863="Tender Received",$D863&lt;=(TODAY()+3))</formula>
    </cfRule>
    <cfRule type="expression" dxfId="3062" priority="4064" stopIfTrue="1">
      <formula>$B863="Tender Received"</formula>
    </cfRule>
  </conditionalFormatting>
  <conditionalFormatting sqref="Q865">
    <cfRule type="expression" dxfId="3061" priority="4061" stopIfTrue="1">
      <formula>AND($B865="Tender Received",$D865&lt;=(TODAY()+3))</formula>
    </cfRule>
    <cfRule type="expression" dxfId="3060" priority="4062" stopIfTrue="1">
      <formula>$B865="Tender Received"</formula>
    </cfRule>
  </conditionalFormatting>
  <conditionalFormatting sqref="I864">
    <cfRule type="expression" dxfId="3059" priority="4059" stopIfTrue="1">
      <formula>AND($B864="Tender Received",$D864&lt;=(TODAY()+3))</formula>
    </cfRule>
    <cfRule type="expression" dxfId="3058" priority="4060" stopIfTrue="1">
      <formula>$B864="Tender Received"</formula>
    </cfRule>
  </conditionalFormatting>
  <conditionalFormatting sqref="I864">
    <cfRule type="expression" dxfId="3057" priority="4057" stopIfTrue="1">
      <formula>AND($B864="Tender Received",$D864&lt;=(TODAY()+3))</formula>
    </cfRule>
    <cfRule type="expression" dxfId="3056" priority="4058" stopIfTrue="1">
      <formula>$B864="Tender Received"</formula>
    </cfRule>
  </conditionalFormatting>
  <conditionalFormatting sqref="B866:B871 D866:K866 O866:R871 F867:I867 D869:K871 D868:I868 K867:K868 D867">
    <cfRule type="expression" dxfId="3055" priority="4055" stopIfTrue="1">
      <formula>AND($B866="Tender Received",$D866&lt;=(TODAY()+3))</formula>
    </cfRule>
    <cfRule type="expression" dxfId="3054" priority="4056" stopIfTrue="1">
      <formula>$B866="Tender Received"</formula>
    </cfRule>
  </conditionalFormatting>
  <conditionalFormatting sqref="I866">
    <cfRule type="expression" dxfId="3053" priority="4053" stopIfTrue="1">
      <formula>AND($B866="Tender Received",$D866&lt;=(TODAY()+3))</formula>
    </cfRule>
    <cfRule type="expression" dxfId="3052" priority="4054" stopIfTrue="1">
      <formula>$B866="Tender Received"</formula>
    </cfRule>
  </conditionalFormatting>
  <conditionalFormatting sqref="I870">
    <cfRule type="expression" dxfId="3051" priority="4051" stopIfTrue="1">
      <formula>AND($B870="Tender Received",$D870&lt;=(TODAY()+3))</formula>
    </cfRule>
    <cfRule type="expression" dxfId="3050" priority="4052" stopIfTrue="1">
      <formula>$B870="Tender Received"</formula>
    </cfRule>
  </conditionalFormatting>
  <conditionalFormatting sqref="M866:N871">
    <cfRule type="expression" dxfId="3049" priority="4049" stopIfTrue="1">
      <formula>AND($B866="Tender Received",$D866&lt;=(TODAY()+3))</formula>
    </cfRule>
    <cfRule type="expression" dxfId="3048" priority="4050" stopIfTrue="1">
      <formula>$B866="Tender Received"</formula>
    </cfRule>
  </conditionalFormatting>
  <conditionalFormatting sqref="L868">
    <cfRule type="expression" dxfId="3047" priority="4047" stopIfTrue="1">
      <formula>AND($B868="Tender Received",$D868&lt;=(TODAY()+3))</formula>
    </cfRule>
    <cfRule type="expression" dxfId="3046" priority="4048" stopIfTrue="1">
      <formula>$B868="Tender Received"</formula>
    </cfRule>
  </conditionalFormatting>
  <conditionalFormatting sqref="L871">
    <cfRule type="expression" dxfId="3045" priority="4045" stopIfTrue="1">
      <formula>AND($B871="Tender Received",$D871&lt;=(TODAY()+3))</formula>
    </cfRule>
    <cfRule type="expression" dxfId="3044" priority="4046" stopIfTrue="1">
      <formula>$B871="Tender Received"</formula>
    </cfRule>
  </conditionalFormatting>
  <conditionalFormatting sqref="C866:C871">
    <cfRule type="expression" dxfId="3043" priority="4043" stopIfTrue="1">
      <formula>AND($B866="Tender Received",$D866&lt;=(TODAY()+3))</formula>
    </cfRule>
    <cfRule type="expression" dxfId="3042" priority="4044" stopIfTrue="1">
      <formula>$B866="Tender Received"</formula>
    </cfRule>
  </conditionalFormatting>
  <conditionalFormatting sqref="I867">
    <cfRule type="expression" dxfId="3041" priority="4041" stopIfTrue="1">
      <formula>AND($B867="Tender Received",$D867&lt;=(TODAY()+3))</formula>
    </cfRule>
    <cfRule type="expression" dxfId="3040" priority="4042" stopIfTrue="1">
      <formula>$B867="Tender Received"</formula>
    </cfRule>
  </conditionalFormatting>
  <conditionalFormatting sqref="M871:R871 O870:R870 D870:K871">
    <cfRule type="expression" dxfId="3039" priority="4039" stopIfTrue="1">
      <formula>AND($B870="Tender Received",$D870&lt;=(TODAY()+3))</formula>
    </cfRule>
    <cfRule type="expression" dxfId="3038" priority="4040" stopIfTrue="1">
      <formula>$B870="Tender Received"</formula>
    </cfRule>
  </conditionalFormatting>
  <conditionalFormatting sqref="L867">
    <cfRule type="expression" dxfId="3037" priority="4037" stopIfTrue="1">
      <formula>AND($B867="Tender Received",$D867&lt;=(TODAY()+3))</formula>
    </cfRule>
    <cfRule type="expression" dxfId="3036" priority="4038" stopIfTrue="1">
      <formula>$B867="Tender Received"</formula>
    </cfRule>
  </conditionalFormatting>
  <conditionalFormatting sqref="L866">
    <cfRule type="expression" dxfId="3035" priority="4035" stopIfTrue="1">
      <formula>AND($B866="Tender Received",$D866&lt;=(TODAY()+3))</formula>
    </cfRule>
    <cfRule type="expression" dxfId="3034" priority="4036" stopIfTrue="1">
      <formula>$B866="Tender Received"</formula>
    </cfRule>
  </conditionalFormatting>
  <conditionalFormatting sqref="L869">
    <cfRule type="expression" dxfId="3033" priority="4033" stopIfTrue="1">
      <formula>AND($B869="Tender Received",$D869&lt;=(TODAY()+3))</formula>
    </cfRule>
    <cfRule type="expression" dxfId="3032" priority="4034" stopIfTrue="1">
      <formula>$B869="Tender Received"</formula>
    </cfRule>
  </conditionalFormatting>
  <conditionalFormatting sqref="I868">
    <cfRule type="expression" dxfId="3031" priority="4031" stopIfTrue="1">
      <formula>AND($B868="Tender Received",$D868&lt;=(TODAY()+3))</formula>
    </cfRule>
    <cfRule type="expression" dxfId="3030" priority="4032" stopIfTrue="1">
      <formula>$B868="Tender Received"</formula>
    </cfRule>
  </conditionalFormatting>
  <conditionalFormatting sqref="L866">
    <cfRule type="expression" dxfId="3029" priority="4029" stopIfTrue="1">
      <formula>AND($B866="Tender Received",$D866&lt;=(TODAY()+3))</formula>
    </cfRule>
    <cfRule type="expression" dxfId="3028" priority="4030" stopIfTrue="1">
      <formula>$B866="Tender Received"</formula>
    </cfRule>
  </conditionalFormatting>
  <conditionalFormatting sqref="L869">
    <cfRule type="expression" dxfId="3027" priority="4027" stopIfTrue="1">
      <formula>AND($B869="Tender Received",$D869&lt;=(TODAY()+3))</formula>
    </cfRule>
    <cfRule type="expression" dxfId="3026" priority="4028" stopIfTrue="1">
      <formula>$B869="Tender Received"</formula>
    </cfRule>
  </conditionalFormatting>
  <conditionalFormatting sqref="M870:N870">
    <cfRule type="expression" dxfId="3025" priority="4025" stopIfTrue="1">
      <formula>AND($B870="Tender Received",$D870&lt;=(TODAY()+3))</formula>
    </cfRule>
    <cfRule type="expression" dxfId="3024" priority="4026" stopIfTrue="1">
      <formula>$B870="Tender Received"</formula>
    </cfRule>
  </conditionalFormatting>
  <conditionalFormatting sqref="C870:C871">
    <cfRule type="expression" dxfId="3023" priority="4023" stopIfTrue="1">
      <formula>AND($B870="Tender Received",$D870&lt;=(TODAY()+3))</formula>
    </cfRule>
    <cfRule type="expression" dxfId="3022" priority="4024" stopIfTrue="1">
      <formula>$B870="Tender Received"</formula>
    </cfRule>
  </conditionalFormatting>
  <conditionalFormatting sqref="L868">
    <cfRule type="expression" dxfId="3021" priority="4021" stopIfTrue="1">
      <formula>AND($B868="Tender Received",$D868&lt;=(TODAY()+3))</formula>
    </cfRule>
    <cfRule type="expression" dxfId="3020" priority="4022" stopIfTrue="1">
      <formula>$B868="Tender Received"</formula>
    </cfRule>
  </conditionalFormatting>
  <conditionalFormatting sqref="L867">
    <cfRule type="expression" dxfId="3019" priority="4019" stopIfTrue="1">
      <formula>AND($B867="Tender Received",$D867&lt;=(TODAY()+3))</formula>
    </cfRule>
    <cfRule type="expression" dxfId="3018" priority="4020" stopIfTrue="1">
      <formula>$B867="Tender Received"</formula>
    </cfRule>
  </conditionalFormatting>
  <conditionalFormatting sqref="L871">
    <cfRule type="expression" dxfId="3017" priority="4017" stopIfTrue="1">
      <formula>AND($B871="Tender Received",$D871&lt;=(TODAY()+3))</formula>
    </cfRule>
    <cfRule type="expression" dxfId="3016" priority="4018" stopIfTrue="1">
      <formula>$B871="Tender Received"</formula>
    </cfRule>
  </conditionalFormatting>
  <conditionalFormatting sqref="J867">
    <cfRule type="expression" dxfId="3015" priority="4015" stopIfTrue="1">
      <formula>AND($B867="Tender Received",$D867&lt;=(TODAY()+3))</formula>
    </cfRule>
    <cfRule type="expression" dxfId="3014" priority="4016" stopIfTrue="1">
      <formula>$B867="Tender Received"</formula>
    </cfRule>
  </conditionalFormatting>
  <conditionalFormatting sqref="C869">
    <cfRule type="expression" dxfId="3013" priority="4013" stopIfTrue="1">
      <formula>AND($B869="Tender Received",$D869&lt;=(TODAY()+3))</formula>
    </cfRule>
    <cfRule type="expression" dxfId="3012" priority="4014" stopIfTrue="1">
      <formula>$B869="Tender Received"</formula>
    </cfRule>
  </conditionalFormatting>
  <conditionalFormatting sqref="L870">
    <cfRule type="expression" dxfId="3011" priority="4011" stopIfTrue="1">
      <formula>AND($B870="Tender Received",$D870&lt;=(TODAY()+3))</formula>
    </cfRule>
    <cfRule type="expression" dxfId="3010" priority="4012" stopIfTrue="1">
      <formula>$B870="Tender Received"</formula>
    </cfRule>
  </conditionalFormatting>
  <conditionalFormatting sqref="L870">
    <cfRule type="expression" dxfId="3009" priority="4009" stopIfTrue="1">
      <formula>AND($B870="Tender Received",$D870&lt;=(TODAY()+3))</formula>
    </cfRule>
    <cfRule type="expression" dxfId="3008" priority="4010" stopIfTrue="1">
      <formula>$B870="Tender Received"</formula>
    </cfRule>
  </conditionalFormatting>
  <conditionalFormatting sqref="E867">
    <cfRule type="expression" dxfId="3007" priority="4007" stopIfTrue="1">
      <formula>AND($B867="Tender Received",$D867&lt;=(TODAY()+3))</formula>
    </cfRule>
    <cfRule type="expression" dxfId="3006" priority="4008" stopIfTrue="1">
      <formula>$B867="Tender Received"</formula>
    </cfRule>
  </conditionalFormatting>
  <conditionalFormatting sqref="J868">
    <cfRule type="expression" dxfId="3005" priority="4005" stopIfTrue="1">
      <formula>AND($B868="Tender Received",$D868&lt;=(TODAY()+3))</formula>
    </cfRule>
    <cfRule type="expression" dxfId="3004" priority="4006" stopIfTrue="1">
      <formula>$B868="Tender Received"</formula>
    </cfRule>
  </conditionalFormatting>
  <conditionalFormatting sqref="I871">
    <cfRule type="expression" dxfId="3003" priority="4003" stopIfTrue="1">
      <formula>AND($B871="Tender Received",$D871&lt;=(TODAY()+3))</formula>
    </cfRule>
    <cfRule type="expression" dxfId="3002" priority="4004" stopIfTrue="1">
      <formula>$B871="Tender Received"</formula>
    </cfRule>
  </conditionalFormatting>
  <conditionalFormatting sqref="I869">
    <cfRule type="expression" dxfId="3001" priority="4001" stopIfTrue="1">
      <formula>AND($B869="Tender Received",$D869&lt;=(TODAY()+3))</formula>
    </cfRule>
    <cfRule type="expression" dxfId="3000" priority="4002" stopIfTrue="1">
      <formula>$B869="Tender Received"</formula>
    </cfRule>
  </conditionalFormatting>
  <conditionalFormatting sqref="C870">
    <cfRule type="expression" dxfId="2999" priority="3999" stopIfTrue="1">
      <formula>AND($B870="Tender Received",$D870&lt;=(TODAY()+3))</formula>
    </cfRule>
    <cfRule type="expression" dxfId="2998" priority="4000" stopIfTrue="1">
      <formula>$B870="Tender Received"</formula>
    </cfRule>
  </conditionalFormatting>
  <conditionalFormatting sqref="J869">
    <cfRule type="expression" dxfId="2997" priority="3997" stopIfTrue="1">
      <formula>AND($B869="Tender Received",$D869&lt;=(TODAY()+3))</formula>
    </cfRule>
    <cfRule type="expression" dxfId="2996" priority="3998" stopIfTrue="1">
      <formula>$B869="Tender Received"</formula>
    </cfRule>
  </conditionalFormatting>
  <conditionalFormatting sqref="I34">
    <cfRule type="expression" dxfId="2995" priority="3985" stopIfTrue="1">
      <formula>AND($B34="Tender Received",$D34&lt;=(TODAY()+3))</formula>
    </cfRule>
    <cfRule type="expression" dxfId="2994" priority="3986" stopIfTrue="1">
      <formula>$B34="Tender Received"</formula>
    </cfRule>
  </conditionalFormatting>
  <conditionalFormatting sqref="B872:B874 O872:R874 D872:K875">
    <cfRule type="expression" dxfId="2993" priority="3983" stopIfTrue="1">
      <formula>AND($B872="Tender Received",$D872&lt;=(TODAY()+3))</formula>
    </cfRule>
    <cfRule type="expression" dxfId="2992" priority="3984" stopIfTrue="1">
      <formula>$B872="Tender Received"</formula>
    </cfRule>
  </conditionalFormatting>
  <conditionalFormatting sqref="I873">
    <cfRule type="expression" dxfId="2991" priority="3981" stopIfTrue="1">
      <formula>AND($B873="Tender Received",$D873&lt;=(TODAY()+3))</formula>
    </cfRule>
    <cfRule type="expression" dxfId="2990" priority="3982" stopIfTrue="1">
      <formula>$B873="Tender Received"</formula>
    </cfRule>
  </conditionalFormatting>
  <conditionalFormatting sqref="M872:N874">
    <cfRule type="expression" dxfId="2989" priority="3979" stopIfTrue="1">
      <formula>AND($B872="Tender Received",$D872&lt;=(TODAY()+3))</formula>
    </cfRule>
    <cfRule type="expression" dxfId="2988" priority="3980" stopIfTrue="1">
      <formula>$B872="Tender Received"</formula>
    </cfRule>
  </conditionalFormatting>
  <conditionalFormatting sqref="L874">
    <cfRule type="expression" dxfId="2987" priority="3977" stopIfTrue="1">
      <formula>AND($B874="Tender Received",$D874&lt;=(TODAY()+3))</formula>
    </cfRule>
    <cfRule type="expression" dxfId="2986" priority="3978" stopIfTrue="1">
      <formula>$B874="Tender Received"</formula>
    </cfRule>
  </conditionalFormatting>
  <conditionalFormatting sqref="C872:C875">
    <cfRule type="expression" dxfId="2985" priority="3975" stopIfTrue="1">
      <formula>AND($B872="Tender Received",$D872&lt;=(TODAY()+3))</formula>
    </cfRule>
    <cfRule type="expression" dxfId="2984" priority="3976" stopIfTrue="1">
      <formula>$B872="Tender Received"</formula>
    </cfRule>
  </conditionalFormatting>
  <conditionalFormatting sqref="M874:R874 O873:R873 B876:K876 B875:G875 M875:P876 R875:R876 D873:G874 H873:K875">
    <cfRule type="expression" dxfId="2983" priority="3973" stopIfTrue="1">
      <formula>AND($B873="Tender Received",$D873&lt;=(TODAY()+3))</formula>
    </cfRule>
    <cfRule type="expression" dxfId="2982" priority="3974" stopIfTrue="1">
      <formula>$B873="Tender Received"</formula>
    </cfRule>
  </conditionalFormatting>
  <conditionalFormatting sqref="M875:N875">
    <cfRule type="expression" dxfId="2981" priority="3971" stopIfTrue="1">
      <formula>AND($B875="Tender Received",$D875&lt;=(TODAY()+3))</formula>
    </cfRule>
    <cfRule type="expression" dxfId="2980" priority="3972" stopIfTrue="1">
      <formula>$B875="Tender Received"</formula>
    </cfRule>
  </conditionalFormatting>
  <conditionalFormatting sqref="L875">
    <cfRule type="expression" dxfId="2979" priority="3969" stopIfTrue="1">
      <formula>AND($B875="Tender Received",$D875&lt;=(TODAY()+3))</formula>
    </cfRule>
    <cfRule type="expression" dxfId="2978" priority="3970" stopIfTrue="1">
      <formula>$B875="Tender Received"</formula>
    </cfRule>
  </conditionalFormatting>
  <conditionalFormatting sqref="C875:C876">
    <cfRule type="expression" dxfId="2977" priority="3967" stopIfTrue="1">
      <formula>AND($B875="Tender Received",$D875&lt;=(TODAY()+3))</formula>
    </cfRule>
    <cfRule type="expression" dxfId="2976" priority="3968" stopIfTrue="1">
      <formula>$B875="Tender Received"</formula>
    </cfRule>
  </conditionalFormatting>
  <conditionalFormatting sqref="L872">
    <cfRule type="expression" dxfId="2975" priority="3965" stopIfTrue="1">
      <formula>AND($B872="Tender Received",$D872&lt;=(TODAY()+3))</formula>
    </cfRule>
    <cfRule type="expression" dxfId="2974" priority="3966" stopIfTrue="1">
      <formula>$B872="Tender Received"</formula>
    </cfRule>
  </conditionalFormatting>
  <conditionalFormatting sqref="L876">
    <cfRule type="expression" dxfId="2973" priority="3963" stopIfTrue="1">
      <formula>AND($B876="Tender Received",$D876&lt;=(TODAY()+3))</formula>
    </cfRule>
    <cfRule type="expression" dxfId="2972" priority="3964" stopIfTrue="1">
      <formula>$B876="Tender Received"</formula>
    </cfRule>
  </conditionalFormatting>
  <conditionalFormatting sqref="L872">
    <cfRule type="expression" dxfId="2971" priority="3961" stopIfTrue="1">
      <formula>AND($B872="Tender Received",$D872&lt;=(TODAY()+3))</formula>
    </cfRule>
    <cfRule type="expression" dxfId="2970" priority="3962" stopIfTrue="1">
      <formula>$B872="Tender Received"</formula>
    </cfRule>
  </conditionalFormatting>
  <conditionalFormatting sqref="M873:N873">
    <cfRule type="expression" dxfId="2969" priority="3959" stopIfTrue="1">
      <formula>AND($B873="Tender Received",$D873&lt;=(TODAY()+3))</formula>
    </cfRule>
    <cfRule type="expression" dxfId="2968" priority="3960" stopIfTrue="1">
      <formula>$B873="Tender Received"</formula>
    </cfRule>
  </conditionalFormatting>
  <conditionalFormatting sqref="L875:L876">
    <cfRule type="expression" dxfId="2967" priority="3957" stopIfTrue="1">
      <formula>AND($B875="Tender Received",$D875&lt;=(TODAY()+3))</formula>
    </cfRule>
    <cfRule type="expression" dxfId="2966" priority="3958" stopIfTrue="1">
      <formula>$B875="Tender Received"</formula>
    </cfRule>
  </conditionalFormatting>
  <conditionalFormatting sqref="C873:C875">
    <cfRule type="expression" dxfId="2965" priority="3955" stopIfTrue="1">
      <formula>AND($B873="Tender Received",$D873&lt;=(TODAY()+3))</formula>
    </cfRule>
    <cfRule type="expression" dxfId="2964" priority="3956" stopIfTrue="1">
      <formula>$B873="Tender Received"</formula>
    </cfRule>
  </conditionalFormatting>
  <conditionalFormatting sqref="L874">
    <cfRule type="expression" dxfId="2963" priority="3953" stopIfTrue="1">
      <formula>AND($B874="Tender Received",$D874&lt;=(TODAY()+3))</formula>
    </cfRule>
    <cfRule type="expression" dxfId="2962" priority="3954" stopIfTrue="1">
      <formula>$B874="Tender Received"</formula>
    </cfRule>
  </conditionalFormatting>
  <conditionalFormatting sqref="C872">
    <cfRule type="expression" dxfId="2961" priority="3951" stopIfTrue="1">
      <formula>AND($B872="Tender Received",$D872&lt;=(TODAY()+3))</formula>
    </cfRule>
    <cfRule type="expression" dxfId="2960" priority="3952" stopIfTrue="1">
      <formula>$B872="Tender Received"</formula>
    </cfRule>
  </conditionalFormatting>
  <conditionalFormatting sqref="H875:I875">
    <cfRule type="expression" dxfId="2959" priority="3949" stopIfTrue="1">
      <formula>AND($B875="Tender Received",$D875&lt;=(TODAY()+3))</formula>
    </cfRule>
    <cfRule type="expression" dxfId="2958" priority="3950" stopIfTrue="1">
      <formula>$B875="Tender Received"</formula>
    </cfRule>
  </conditionalFormatting>
  <conditionalFormatting sqref="Q875">
    <cfRule type="expression" dxfId="2957" priority="3947" stopIfTrue="1">
      <formula>AND($B875="Tender Received",$D875&lt;=(TODAY()+3))</formula>
    </cfRule>
    <cfRule type="expression" dxfId="2956" priority="3948" stopIfTrue="1">
      <formula>$B875="Tender Received"</formula>
    </cfRule>
  </conditionalFormatting>
  <conditionalFormatting sqref="L873">
    <cfRule type="expression" dxfId="2955" priority="3945" stopIfTrue="1">
      <formula>AND($B873="Tender Received",$D873&lt;=(TODAY()+3))</formula>
    </cfRule>
    <cfRule type="expression" dxfId="2954" priority="3946" stopIfTrue="1">
      <formula>$B873="Tender Received"</formula>
    </cfRule>
  </conditionalFormatting>
  <conditionalFormatting sqref="L873">
    <cfRule type="expression" dxfId="2953" priority="3943" stopIfTrue="1">
      <formula>AND($B873="Tender Received",$D873&lt;=(TODAY()+3))</formula>
    </cfRule>
    <cfRule type="expression" dxfId="2952" priority="3944" stopIfTrue="1">
      <formula>$B873="Tender Received"</formula>
    </cfRule>
  </conditionalFormatting>
  <conditionalFormatting sqref="Q876">
    <cfRule type="expression" dxfId="2951" priority="3941" stopIfTrue="1">
      <formula>AND($B876="Tender Received",$D876&lt;=(TODAY()+3))</formula>
    </cfRule>
    <cfRule type="expression" dxfId="2950" priority="3942" stopIfTrue="1">
      <formula>$B876="Tender Received"</formula>
    </cfRule>
  </conditionalFormatting>
  <conditionalFormatting sqref="I874">
    <cfRule type="expression" dxfId="2949" priority="3939" stopIfTrue="1">
      <formula>AND($B874="Tender Received",$D874&lt;=(TODAY()+3))</formula>
    </cfRule>
    <cfRule type="expression" dxfId="2948" priority="3940" stopIfTrue="1">
      <formula>$B874="Tender Received"</formula>
    </cfRule>
  </conditionalFormatting>
  <conditionalFormatting sqref="I872">
    <cfRule type="expression" dxfId="2947" priority="3937" stopIfTrue="1">
      <formula>AND($B872="Tender Received",$D872&lt;=(TODAY()+3))</formula>
    </cfRule>
    <cfRule type="expression" dxfId="2946" priority="3938" stopIfTrue="1">
      <formula>$B872="Tender Received"</formula>
    </cfRule>
  </conditionalFormatting>
  <conditionalFormatting sqref="C873">
    <cfRule type="expression" dxfId="2945" priority="3935" stopIfTrue="1">
      <formula>AND($B873="Tender Received",$D873&lt;=(TODAY()+3))</formula>
    </cfRule>
    <cfRule type="expression" dxfId="2944" priority="3936" stopIfTrue="1">
      <formula>$B873="Tender Received"</formula>
    </cfRule>
  </conditionalFormatting>
  <conditionalFormatting sqref="J872">
    <cfRule type="expression" dxfId="2943" priority="3933" stopIfTrue="1">
      <formula>AND($B872="Tender Received",$D872&lt;=(TODAY()+3))</formula>
    </cfRule>
    <cfRule type="expression" dxfId="2942" priority="3934" stopIfTrue="1">
      <formula>$B872="Tender Received"</formula>
    </cfRule>
  </conditionalFormatting>
  <conditionalFormatting sqref="D62">
    <cfRule type="expression" dxfId="2941" priority="3927" stopIfTrue="1">
      <formula>AND($B62="Tender Received",$D62&lt;=(TODAY()+3))</formula>
    </cfRule>
    <cfRule type="expression" dxfId="2940" priority="3928" stopIfTrue="1">
      <formula>$B62="Tender Received"</formula>
    </cfRule>
  </conditionalFormatting>
  <conditionalFormatting sqref="H91">
    <cfRule type="expression" dxfId="2939" priority="3925" stopIfTrue="1">
      <formula>AND($B91="Tender Received",$D91&lt;=(TODAY()+3))</formula>
    </cfRule>
    <cfRule type="expression" dxfId="2938" priority="3926" stopIfTrue="1">
      <formula>$B91="Tender Received"</formula>
    </cfRule>
  </conditionalFormatting>
  <conditionalFormatting sqref="Q91">
    <cfRule type="expression" dxfId="2937" priority="3923" stopIfTrue="1">
      <formula>AND($B91="Tender Received",$D91&lt;=(TODAY()+3))</formula>
    </cfRule>
    <cfRule type="expression" dxfId="2936" priority="3924" stopIfTrue="1">
      <formula>$B91="Tender Received"</formula>
    </cfRule>
  </conditionalFormatting>
  <conditionalFormatting sqref="B877:B878">
    <cfRule type="expression" dxfId="2935" priority="3921" stopIfTrue="1">
      <formula>AND($B877="Tender Received",$D877&lt;=(TODAY()+3))</formula>
    </cfRule>
    <cfRule type="expression" dxfId="2934" priority="3922" stopIfTrue="1">
      <formula>$B877="Tender Received"</formula>
    </cfRule>
  </conditionalFormatting>
  <conditionalFormatting sqref="J877:R878 C877:H878">
    <cfRule type="expression" dxfId="2933" priority="3919" stopIfTrue="1">
      <formula>AND($B877="Tender Received",$D877&lt;=(TODAY()+3))</formula>
    </cfRule>
    <cfRule type="expression" dxfId="2932" priority="3920" stopIfTrue="1">
      <formula>$B877="Tender Received"</formula>
    </cfRule>
  </conditionalFormatting>
  <conditionalFormatting sqref="I877:I878">
    <cfRule type="expression" dxfId="2931" priority="3917" stopIfTrue="1">
      <formula>AND($B877="Tender Received",$D877&lt;=(TODAY()+3))</formula>
    </cfRule>
    <cfRule type="expression" dxfId="2930" priority="3918" stopIfTrue="1">
      <formula>$B877="Tender Received"</formula>
    </cfRule>
  </conditionalFormatting>
  <conditionalFormatting sqref="Q877:Q878">
    <cfRule type="expression" dxfId="2929" priority="3915" stopIfTrue="1">
      <formula>AND($B879="Tender Received",$D879&lt;=(TODAY()+3))</formula>
    </cfRule>
    <cfRule type="expression" dxfId="2928" priority="3916" stopIfTrue="1">
      <formula>$B879="Tender Received"</formula>
    </cfRule>
  </conditionalFormatting>
  <conditionalFormatting sqref="B879:B881 D879:K879 O879:R881 F880:I880 D881:I881 K880:K881 D880">
    <cfRule type="expression" dxfId="2927" priority="3883" stopIfTrue="1">
      <formula>AND($B879="Tender Received",$D879&lt;=(TODAY()+3))</formula>
    </cfRule>
    <cfRule type="expression" dxfId="2926" priority="3884" stopIfTrue="1">
      <formula>$B879="Tender Received"</formula>
    </cfRule>
  </conditionalFormatting>
  <conditionalFormatting sqref="I879">
    <cfRule type="expression" dxfId="2925" priority="3881" stopIfTrue="1">
      <formula>AND($B879="Tender Received",$D879&lt;=(TODAY()+3))</formula>
    </cfRule>
    <cfRule type="expression" dxfId="2924" priority="3882" stopIfTrue="1">
      <formula>$B879="Tender Received"</formula>
    </cfRule>
  </conditionalFormatting>
  <conditionalFormatting sqref="M879:N881">
    <cfRule type="expression" dxfId="2923" priority="3879" stopIfTrue="1">
      <formula>AND($B879="Tender Received",$D879&lt;=(TODAY()+3))</formula>
    </cfRule>
    <cfRule type="expression" dxfId="2922" priority="3880" stopIfTrue="1">
      <formula>$B879="Tender Received"</formula>
    </cfRule>
  </conditionalFormatting>
  <conditionalFormatting sqref="L881">
    <cfRule type="expression" dxfId="2921" priority="3877" stopIfTrue="1">
      <formula>AND($B881="Tender Received",$D881&lt;=(TODAY()+3))</formula>
    </cfRule>
    <cfRule type="expression" dxfId="2920" priority="3878" stopIfTrue="1">
      <formula>$B881="Tender Received"</formula>
    </cfRule>
  </conditionalFormatting>
  <conditionalFormatting sqref="C879:C881">
    <cfRule type="expression" dxfId="2919" priority="3875" stopIfTrue="1">
      <formula>AND($B879="Tender Received",$D879&lt;=(TODAY()+3))</formula>
    </cfRule>
    <cfRule type="expression" dxfId="2918" priority="3876" stopIfTrue="1">
      <formula>$B879="Tender Received"</formula>
    </cfRule>
  </conditionalFormatting>
  <conditionalFormatting sqref="I880">
    <cfRule type="expression" dxfId="2917" priority="3873" stopIfTrue="1">
      <formula>AND($B880="Tender Received",$D880&lt;=(TODAY()+3))</formula>
    </cfRule>
    <cfRule type="expression" dxfId="2916" priority="3874" stopIfTrue="1">
      <formula>$B880="Tender Received"</formula>
    </cfRule>
  </conditionalFormatting>
  <conditionalFormatting sqref="L880">
    <cfRule type="expression" dxfId="2915" priority="3871" stopIfTrue="1">
      <formula>AND($B880="Tender Received",$D880&lt;=(TODAY()+3))</formula>
    </cfRule>
    <cfRule type="expression" dxfId="2914" priority="3872" stopIfTrue="1">
      <formula>$B880="Tender Received"</formula>
    </cfRule>
  </conditionalFormatting>
  <conditionalFormatting sqref="L879">
    <cfRule type="expression" dxfId="2913" priority="3869" stopIfTrue="1">
      <formula>AND($B879="Tender Received",$D879&lt;=(TODAY()+3))</formula>
    </cfRule>
    <cfRule type="expression" dxfId="2912" priority="3870" stopIfTrue="1">
      <formula>$B879="Tender Received"</formula>
    </cfRule>
  </conditionalFormatting>
  <conditionalFormatting sqref="I881">
    <cfRule type="expression" dxfId="2911" priority="3867" stopIfTrue="1">
      <formula>AND($B881="Tender Received",$D881&lt;=(TODAY()+3))</formula>
    </cfRule>
    <cfRule type="expression" dxfId="2910" priority="3868" stopIfTrue="1">
      <formula>$B881="Tender Received"</formula>
    </cfRule>
  </conditionalFormatting>
  <conditionalFormatting sqref="L879">
    <cfRule type="expression" dxfId="2909" priority="3865" stopIfTrue="1">
      <formula>AND($B879="Tender Received",$D879&lt;=(TODAY()+3))</formula>
    </cfRule>
    <cfRule type="expression" dxfId="2908" priority="3866" stopIfTrue="1">
      <formula>$B879="Tender Received"</formula>
    </cfRule>
  </conditionalFormatting>
  <conditionalFormatting sqref="L881">
    <cfRule type="expression" dxfId="2907" priority="3863" stopIfTrue="1">
      <formula>AND($B881="Tender Received",$D881&lt;=(TODAY()+3))</formula>
    </cfRule>
    <cfRule type="expression" dxfId="2906" priority="3864" stopIfTrue="1">
      <formula>$B881="Tender Received"</formula>
    </cfRule>
  </conditionalFormatting>
  <conditionalFormatting sqref="L880">
    <cfRule type="expression" dxfId="2905" priority="3861" stopIfTrue="1">
      <formula>AND($B880="Tender Received",$D880&lt;=(TODAY()+3))</formula>
    </cfRule>
    <cfRule type="expression" dxfId="2904" priority="3862" stopIfTrue="1">
      <formula>$B880="Tender Received"</formula>
    </cfRule>
  </conditionalFormatting>
  <conditionalFormatting sqref="J880">
    <cfRule type="expression" dxfId="2903" priority="3859" stopIfTrue="1">
      <formula>AND($B880="Tender Received",$D880&lt;=(TODAY()+3))</formula>
    </cfRule>
    <cfRule type="expression" dxfId="2902" priority="3860" stopIfTrue="1">
      <formula>$B880="Tender Received"</formula>
    </cfRule>
  </conditionalFormatting>
  <conditionalFormatting sqref="E880">
    <cfRule type="expression" dxfId="2901" priority="3857" stopIfTrue="1">
      <formula>AND($B880="Tender Received",$D880&lt;=(TODAY()+3))</formula>
    </cfRule>
    <cfRule type="expression" dxfId="2900" priority="3858" stopIfTrue="1">
      <formula>$B880="Tender Received"</formula>
    </cfRule>
  </conditionalFormatting>
  <conditionalFormatting sqref="J881">
    <cfRule type="expression" dxfId="2899" priority="3855" stopIfTrue="1">
      <formula>AND($B881="Tender Received",$D881&lt;=(TODAY()+3))</formula>
    </cfRule>
    <cfRule type="expression" dxfId="2898" priority="3856" stopIfTrue="1">
      <formula>$B881="Tender Received"</formula>
    </cfRule>
  </conditionalFormatting>
  <conditionalFormatting sqref="C882:H882 J882:P882 R882">
    <cfRule type="expression" dxfId="2897" priority="3853" stopIfTrue="1">
      <formula>AND($B882="Tender Received",$D882&lt;=(TODAY()+3))</formula>
    </cfRule>
    <cfRule type="expression" dxfId="2896" priority="3854" stopIfTrue="1">
      <formula>$B882="Tender Received"</formula>
    </cfRule>
  </conditionalFormatting>
  <conditionalFormatting sqref="I882">
    <cfRule type="expression" dxfId="2895" priority="3851" stopIfTrue="1">
      <formula>AND($B882="Tender Received",$D882&lt;=(TODAY()+3))</formula>
    </cfRule>
    <cfRule type="expression" dxfId="2894" priority="3852" stopIfTrue="1">
      <formula>$B882="Tender Received"</formula>
    </cfRule>
  </conditionalFormatting>
  <conditionalFormatting sqref="Q882">
    <cfRule type="expression" dxfId="2893" priority="3849" stopIfTrue="1">
      <formula>AND($B882="Tender Received",$D882&lt;=(TODAY()+3))</formula>
    </cfRule>
    <cfRule type="expression" dxfId="2892" priority="3850" stopIfTrue="1">
      <formula>$B882="Tender Received"</formula>
    </cfRule>
  </conditionalFormatting>
  <conditionalFormatting sqref="B882">
    <cfRule type="expression" dxfId="2891" priority="3847" stopIfTrue="1">
      <formula>AND($B882="Tender Received",$D882&lt;=(TODAY()+3))</formula>
    </cfRule>
    <cfRule type="expression" dxfId="2890" priority="3848" stopIfTrue="1">
      <formula>$B882="Tender Received"</formula>
    </cfRule>
  </conditionalFormatting>
  <conditionalFormatting sqref="B883:P883 R883">
    <cfRule type="expression" dxfId="2889" priority="3845" stopIfTrue="1">
      <formula>AND($B883="Tender Received",$D883&lt;=(TODAY()+3))</formula>
    </cfRule>
    <cfRule type="expression" dxfId="2888" priority="3846" stopIfTrue="1">
      <formula>$B883="Tender Received"</formula>
    </cfRule>
  </conditionalFormatting>
  <conditionalFormatting sqref="Q883">
    <cfRule type="expression" dxfId="2887" priority="3843" stopIfTrue="1">
      <formula>AND($B883="Tender Received",$D883&lt;=(TODAY()+3))</formula>
    </cfRule>
    <cfRule type="expression" dxfId="2886" priority="3844" stopIfTrue="1">
      <formula>$B883="Tender Received"</formula>
    </cfRule>
  </conditionalFormatting>
  <conditionalFormatting sqref="H69">
    <cfRule type="expression" dxfId="2885" priority="3841" stopIfTrue="1">
      <formula>AND($B69="Tender Received",$D69&lt;=(TODAY()+3))</formula>
    </cfRule>
    <cfRule type="expression" dxfId="2884" priority="3842" stopIfTrue="1">
      <formula>$B69="Tender Received"</formula>
    </cfRule>
  </conditionalFormatting>
  <conditionalFormatting sqref="Q104">
    <cfRule type="expression" dxfId="2883" priority="3839" stopIfTrue="1">
      <formula>AND($B104="Tender Received",$D104&lt;=(TODAY()+3))</formula>
    </cfRule>
    <cfRule type="expression" dxfId="2882" priority="3840" stopIfTrue="1">
      <formula>$B104="Tender Received"</formula>
    </cfRule>
  </conditionalFormatting>
  <conditionalFormatting sqref="Q200">
    <cfRule type="expression" dxfId="2881" priority="3837" stopIfTrue="1">
      <formula>AND($B200="Tender Received",$D200&lt;=(TODAY()+3))</formula>
    </cfRule>
    <cfRule type="expression" dxfId="2880" priority="3838" stopIfTrue="1">
      <formula>$B200="Tender Received"</formula>
    </cfRule>
  </conditionalFormatting>
  <conditionalFormatting sqref="D44">
    <cfRule type="expression" dxfId="2879" priority="3835" stopIfTrue="1">
      <formula>AND($B44="Tender Received",$D44&lt;=(TODAY()+3))</formula>
    </cfRule>
    <cfRule type="expression" dxfId="2878" priority="3836" stopIfTrue="1">
      <formula>$B44="Tender Received"</formula>
    </cfRule>
  </conditionalFormatting>
  <conditionalFormatting sqref="H109">
    <cfRule type="expression" dxfId="2877" priority="3833" stopIfTrue="1">
      <formula>AND($B109="Tender Received",$D109&lt;=(TODAY()+3))</formula>
    </cfRule>
    <cfRule type="expression" dxfId="2876" priority="3834" stopIfTrue="1">
      <formula>$B109="Tender Received"</formula>
    </cfRule>
  </conditionalFormatting>
  <conditionalFormatting sqref="Q109">
    <cfRule type="expression" dxfId="2875" priority="3831" stopIfTrue="1">
      <formula>AND($B109="Tender Received",$D109&lt;=(TODAY()+3))</formula>
    </cfRule>
    <cfRule type="expression" dxfId="2874" priority="3832" stopIfTrue="1">
      <formula>$B109="Tender Received"</formula>
    </cfRule>
  </conditionalFormatting>
  <conditionalFormatting sqref="H104:I104">
    <cfRule type="expression" dxfId="2873" priority="3825" stopIfTrue="1">
      <formula>AND($B104="Tender Received",$D104&lt;=(TODAY()+3))</formula>
    </cfRule>
    <cfRule type="expression" dxfId="2872" priority="3826" stopIfTrue="1">
      <formula>$B104="Tender Received"</formula>
    </cfRule>
  </conditionalFormatting>
  <conditionalFormatting sqref="O884:P884 R884 B884:K884">
    <cfRule type="expression" dxfId="2871" priority="3823" stopIfTrue="1">
      <formula>AND($B884="Tender Received",$D884&lt;=(TODAY()+3))</formula>
    </cfRule>
    <cfRule type="expression" dxfId="2870" priority="3824" stopIfTrue="1">
      <formula>$B884="Tender Received"</formula>
    </cfRule>
  </conditionalFormatting>
  <conditionalFormatting sqref="M884:N884">
    <cfRule type="expression" dxfId="2869" priority="3821" stopIfTrue="1">
      <formula>AND($B884="Tender Received",$D884&lt;=(TODAY()+3))</formula>
    </cfRule>
    <cfRule type="expression" dxfId="2868" priority="3822" stopIfTrue="1">
      <formula>$B884="Tender Received"</formula>
    </cfRule>
  </conditionalFormatting>
  <conditionalFormatting sqref="L884">
    <cfRule type="expression" dxfId="2867" priority="3819" stopIfTrue="1">
      <formula>AND($B884="Tender Received",$D884&lt;=(TODAY()+3))</formula>
    </cfRule>
    <cfRule type="expression" dxfId="2866" priority="3820" stopIfTrue="1">
      <formula>$B884="Tender Received"</formula>
    </cfRule>
  </conditionalFormatting>
  <conditionalFormatting sqref="L884">
    <cfRule type="expression" dxfId="2865" priority="3817" stopIfTrue="1">
      <formula>AND($B884="Tender Received",$D884&lt;=(TODAY()+3))</formula>
    </cfRule>
    <cfRule type="expression" dxfId="2864" priority="3818" stopIfTrue="1">
      <formula>$B884="Tender Received"</formula>
    </cfRule>
  </conditionalFormatting>
  <conditionalFormatting sqref="Q884">
    <cfRule type="expression" dxfId="2863" priority="3815" stopIfTrue="1">
      <formula>AND($B884="Tender Received",$D884&lt;=(TODAY()+3))</formula>
    </cfRule>
    <cfRule type="expression" dxfId="2862" priority="3816" stopIfTrue="1">
      <formula>$B884="Tender Received"</formula>
    </cfRule>
  </conditionalFormatting>
  <conditionalFormatting sqref="C885:C888 D889:K889 O889:R889 O888:P888 R888 O885:P886 R885:R886 O887:R887 D885:K885 I887:K888 B885:B889 D886:H888 J886:K886">
    <cfRule type="expression" dxfId="2861" priority="3761" stopIfTrue="1">
      <formula>AND($B885="Tender Received",$D885&lt;=(TODAY()+3))</formula>
    </cfRule>
    <cfRule type="expression" dxfId="2860" priority="3762" stopIfTrue="1">
      <formula>$B885="Tender Received"</formula>
    </cfRule>
  </conditionalFormatting>
  <conditionalFormatting sqref="I889">
    <cfRule type="expression" dxfId="2859" priority="3759" stopIfTrue="1">
      <formula>AND($B889="Tender Received",$D889&lt;=(TODAY()+3))</formula>
    </cfRule>
    <cfRule type="expression" dxfId="2858" priority="3760" stopIfTrue="1">
      <formula>$B889="Tender Received"</formula>
    </cfRule>
  </conditionalFormatting>
  <conditionalFormatting sqref="M885:N889">
    <cfRule type="expression" dxfId="2857" priority="3757" stopIfTrue="1">
      <formula>AND($B885="Tender Received",$D885&lt;=(TODAY()+3))</formula>
    </cfRule>
    <cfRule type="expression" dxfId="2856" priority="3758" stopIfTrue="1">
      <formula>$B885="Tender Received"</formula>
    </cfRule>
  </conditionalFormatting>
  <conditionalFormatting sqref="L886">
    <cfRule type="expression" dxfId="2855" priority="3755" stopIfTrue="1">
      <formula>AND($B886="Tender Received",$D886&lt;=(TODAY()+3))</formula>
    </cfRule>
    <cfRule type="expression" dxfId="2854" priority="3756" stopIfTrue="1">
      <formula>$B886="Tender Received"</formula>
    </cfRule>
  </conditionalFormatting>
  <conditionalFormatting sqref="C887:C889">
    <cfRule type="expression" dxfId="2853" priority="3753" stopIfTrue="1">
      <formula>AND($B887="Tender Received",$D887&lt;=(TODAY()+3))</formula>
    </cfRule>
    <cfRule type="expression" dxfId="2852" priority="3754" stopIfTrue="1">
      <formula>$B887="Tender Received"</formula>
    </cfRule>
  </conditionalFormatting>
  <conditionalFormatting sqref="L887">
    <cfRule type="expression" dxfId="2851" priority="3751" stopIfTrue="1">
      <formula>AND($B887="Tender Received",$D887&lt;=(TODAY()+3))</formula>
    </cfRule>
    <cfRule type="expression" dxfId="2850" priority="3752" stopIfTrue="1">
      <formula>$B887="Tender Received"</formula>
    </cfRule>
  </conditionalFormatting>
  <conditionalFormatting sqref="L889">
    <cfRule type="expression" dxfId="2849" priority="3749" stopIfTrue="1">
      <formula>AND($B889="Tender Received",$D889&lt;=(TODAY()+3))</formula>
    </cfRule>
    <cfRule type="expression" dxfId="2848" priority="3750" stopIfTrue="1">
      <formula>$B889="Tender Received"</formula>
    </cfRule>
  </conditionalFormatting>
  <conditionalFormatting sqref="L885">
    <cfRule type="expression" dxfId="2847" priority="3747" stopIfTrue="1">
      <formula>AND($B885="Tender Received",$D885&lt;=(TODAY()+3))</formula>
    </cfRule>
    <cfRule type="expression" dxfId="2846" priority="3748" stopIfTrue="1">
      <formula>$B885="Tender Received"</formula>
    </cfRule>
  </conditionalFormatting>
  <conditionalFormatting sqref="L888">
    <cfRule type="expression" dxfId="2845" priority="3745" stopIfTrue="1">
      <formula>AND($B888="Tender Received",$D888&lt;=(TODAY()+3))</formula>
    </cfRule>
    <cfRule type="expression" dxfId="2844" priority="3746" stopIfTrue="1">
      <formula>$B888="Tender Received"</formula>
    </cfRule>
  </conditionalFormatting>
  <conditionalFormatting sqref="I887">
    <cfRule type="expression" dxfId="2843" priority="3743" stopIfTrue="1">
      <formula>AND($B887="Tender Received",$D887&lt;=(TODAY()+3))</formula>
    </cfRule>
    <cfRule type="expression" dxfId="2842" priority="3744" stopIfTrue="1">
      <formula>$B887="Tender Received"</formula>
    </cfRule>
  </conditionalFormatting>
  <conditionalFormatting sqref="L889">
    <cfRule type="expression" dxfId="2841" priority="3741" stopIfTrue="1">
      <formula>AND($B889="Tender Received",$D889&lt;=(TODAY()+3))</formula>
    </cfRule>
    <cfRule type="expression" dxfId="2840" priority="3742" stopIfTrue="1">
      <formula>$B889="Tender Received"</formula>
    </cfRule>
  </conditionalFormatting>
  <conditionalFormatting sqref="I888">
    <cfRule type="expression" dxfId="2839" priority="3739" stopIfTrue="1">
      <formula>AND($B888="Tender Received",$D888&lt;=(TODAY()+3))</formula>
    </cfRule>
    <cfRule type="expression" dxfId="2838" priority="3740" stopIfTrue="1">
      <formula>$B888="Tender Received"</formula>
    </cfRule>
  </conditionalFormatting>
  <conditionalFormatting sqref="L885">
    <cfRule type="expression" dxfId="2837" priority="3737" stopIfTrue="1">
      <formula>AND($B885="Tender Received",$D885&lt;=(TODAY()+3))</formula>
    </cfRule>
    <cfRule type="expression" dxfId="2836" priority="3738" stopIfTrue="1">
      <formula>$B885="Tender Received"</formula>
    </cfRule>
  </conditionalFormatting>
  <conditionalFormatting sqref="L888">
    <cfRule type="expression" dxfId="2835" priority="3735" stopIfTrue="1">
      <formula>AND($B888="Tender Received",$D888&lt;=(TODAY()+3))</formula>
    </cfRule>
    <cfRule type="expression" dxfId="2834" priority="3736" stopIfTrue="1">
      <formula>$B888="Tender Received"</formula>
    </cfRule>
  </conditionalFormatting>
  <conditionalFormatting sqref="L887">
    <cfRule type="expression" dxfId="2833" priority="3733" stopIfTrue="1">
      <formula>AND($B887="Tender Received",$D887&lt;=(TODAY()+3))</formula>
    </cfRule>
    <cfRule type="expression" dxfId="2832" priority="3734" stopIfTrue="1">
      <formula>$B887="Tender Received"</formula>
    </cfRule>
  </conditionalFormatting>
  <conditionalFormatting sqref="L886">
    <cfRule type="expression" dxfId="2831" priority="3731" stopIfTrue="1">
      <formula>AND($B886="Tender Received",$D886&lt;=(TODAY()+3))</formula>
    </cfRule>
    <cfRule type="expression" dxfId="2830" priority="3732" stopIfTrue="1">
      <formula>$B886="Tender Received"</formula>
    </cfRule>
  </conditionalFormatting>
  <conditionalFormatting sqref="Q888">
    <cfRule type="expression" dxfId="2829" priority="3729" stopIfTrue="1">
      <formula>AND($B888="Tender Received",$D888&lt;=(TODAY()+3))</formula>
    </cfRule>
    <cfRule type="expression" dxfId="2828" priority="3730" stopIfTrue="1">
      <formula>$B888="Tender Received"</formula>
    </cfRule>
  </conditionalFormatting>
  <conditionalFormatting sqref="Q886">
    <cfRule type="expression" dxfId="2827" priority="3727" stopIfTrue="1">
      <formula>AND($B886="Tender Received",$D886&lt;=(TODAY()+3))</formula>
    </cfRule>
    <cfRule type="expression" dxfId="2826" priority="3728" stopIfTrue="1">
      <formula>$B886="Tender Received"</formula>
    </cfRule>
  </conditionalFormatting>
  <conditionalFormatting sqref="Q885">
    <cfRule type="expression" dxfId="2825" priority="3725" stopIfTrue="1">
      <formula>AND($B885="Tender Received",$D885&lt;=(TODAY()+3))</formula>
    </cfRule>
    <cfRule type="expression" dxfId="2824" priority="3726" stopIfTrue="1">
      <formula>$B885="Tender Received"</formula>
    </cfRule>
  </conditionalFormatting>
  <conditionalFormatting sqref="I886">
    <cfRule type="expression" dxfId="2823" priority="3723" stopIfTrue="1">
      <formula>AND($B886="Tender Received",$D886&lt;=(TODAY()+3))</formula>
    </cfRule>
    <cfRule type="expression" dxfId="2822" priority="3724" stopIfTrue="1">
      <formula>$B886="Tender Received"</formula>
    </cfRule>
  </conditionalFormatting>
  <conditionalFormatting sqref="O890:R890 B890:H890 J890:K890">
    <cfRule type="expression" dxfId="2821" priority="3713" stopIfTrue="1">
      <formula>AND($B890="Tender Received",$D890&lt;=(TODAY()+3))</formula>
    </cfRule>
    <cfRule type="expression" dxfId="2820" priority="3714" stopIfTrue="1">
      <formula>$B890="Tender Received"</formula>
    </cfRule>
  </conditionalFormatting>
  <conditionalFormatting sqref="M890:N890">
    <cfRule type="expression" dxfId="2819" priority="3711" stopIfTrue="1">
      <formula>AND($B890="Tender Received",$D890&lt;=(TODAY()+3))</formula>
    </cfRule>
    <cfRule type="expression" dxfId="2818" priority="3712" stopIfTrue="1">
      <formula>$B890="Tender Received"</formula>
    </cfRule>
  </conditionalFormatting>
  <conditionalFormatting sqref="L890">
    <cfRule type="expression" dxfId="2817" priority="3709" stopIfTrue="1">
      <formula>AND($B890="Tender Received",$D890&lt;=(TODAY()+3))</formula>
    </cfRule>
    <cfRule type="expression" dxfId="2816" priority="3710" stopIfTrue="1">
      <formula>$B890="Tender Received"</formula>
    </cfRule>
  </conditionalFormatting>
  <conditionalFormatting sqref="L890">
    <cfRule type="expression" dxfId="2815" priority="3707" stopIfTrue="1">
      <formula>AND($B890="Tender Received",$D890&lt;=(TODAY()+3))</formula>
    </cfRule>
    <cfRule type="expression" dxfId="2814" priority="3708" stopIfTrue="1">
      <formula>$B890="Tender Received"</formula>
    </cfRule>
  </conditionalFormatting>
  <conditionalFormatting sqref="I890">
    <cfRule type="expression" dxfId="2813" priority="3705" stopIfTrue="1">
      <formula>AND($B890="Tender Received",$D890&lt;=(TODAY()+3))</formula>
    </cfRule>
    <cfRule type="expression" dxfId="2812" priority="3706" stopIfTrue="1">
      <formula>$B890="Tender Received"</formula>
    </cfRule>
  </conditionalFormatting>
  <conditionalFormatting sqref="I890">
    <cfRule type="expression" dxfId="2811" priority="3703" stopIfTrue="1">
      <formula>AND($B890="Tender Received",$D890&lt;=(TODAY()+3))</formula>
    </cfRule>
    <cfRule type="expression" dxfId="2810" priority="3704" stopIfTrue="1">
      <formula>$B890="Tender Received"</formula>
    </cfRule>
  </conditionalFormatting>
  <conditionalFormatting sqref="O892:P892 R892 O891:R891 B891:K892">
    <cfRule type="expression" dxfId="2809" priority="3701" stopIfTrue="1">
      <formula>AND($B891="Tender Received",$D891&lt;=(TODAY()+3))</formula>
    </cfRule>
    <cfRule type="expression" dxfId="2808" priority="3702" stopIfTrue="1">
      <formula>$B891="Tender Received"</formula>
    </cfRule>
  </conditionalFormatting>
  <conditionalFormatting sqref="M891:N892">
    <cfRule type="expression" dxfId="2807" priority="3699" stopIfTrue="1">
      <formula>AND($B891="Tender Received",$D891&lt;=(TODAY()+3))</formula>
    </cfRule>
    <cfRule type="expression" dxfId="2806" priority="3700" stopIfTrue="1">
      <formula>$B891="Tender Received"</formula>
    </cfRule>
  </conditionalFormatting>
  <conditionalFormatting sqref="C891:C892">
    <cfRule type="expression" dxfId="2805" priority="3697" stopIfTrue="1">
      <formula>AND($B891="Tender Received",$D891&lt;=(TODAY()+3))</formula>
    </cfRule>
    <cfRule type="expression" dxfId="2804" priority="3698" stopIfTrue="1">
      <formula>$B891="Tender Received"</formula>
    </cfRule>
  </conditionalFormatting>
  <conditionalFormatting sqref="L891">
    <cfRule type="expression" dxfId="2803" priority="3695" stopIfTrue="1">
      <formula>AND($B891="Tender Received",$D891&lt;=(TODAY()+3))</formula>
    </cfRule>
    <cfRule type="expression" dxfId="2802" priority="3696" stopIfTrue="1">
      <formula>$B891="Tender Received"</formula>
    </cfRule>
  </conditionalFormatting>
  <conditionalFormatting sqref="L892">
    <cfRule type="expression" dxfId="2801" priority="3693" stopIfTrue="1">
      <formula>AND($B892="Tender Received",$D892&lt;=(TODAY()+3))</formula>
    </cfRule>
    <cfRule type="expression" dxfId="2800" priority="3694" stopIfTrue="1">
      <formula>$B892="Tender Received"</formula>
    </cfRule>
  </conditionalFormatting>
  <conditionalFormatting sqref="I891">
    <cfRule type="expression" dxfId="2799" priority="3691" stopIfTrue="1">
      <formula>AND($B891="Tender Received",$D891&lt;=(TODAY()+3))</formula>
    </cfRule>
    <cfRule type="expression" dxfId="2798" priority="3692" stopIfTrue="1">
      <formula>$B891="Tender Received"</formula>
    </cfRule>
  </conditionalFormatting>
  <conditionalFormatting sqref="I892">
    <cfRule type="expression" dxfId="2797" priority="3689" stopIfTrue="1">
      <formula>AND($B892="Tender Received",$D892&lt;=(TODAY()+3))</formula>
    </cfRule>
    <cfRule type="expression" dxfId="2796" priority="3690" stopIfTrue="1">
      <formula>$B892="Tender Received"</formula>
    </cfRule>
  </conditionalFormatting>
  <conditionalFormatting sqref="L892">
    <cfRule type="expression" dxfId="2795" priority="3687" stopIfTrue="1">
      <formula>AND($B892="Tender Received",$D892&lt;=(TODAY()+3))</formula>
    </cfRule>
    <cfRule type="expression" dxfId="2794" priority="3688" stopIfTrue="1">
      <formula>$B892="Tender Received"</formula>
    </cfRule>
  </conditionalFormatting>
  <conditionalFormatting sqref="L891">
    <cfRule type="expression" dxfId="2793" priority="3685" stopIfTrue="1">
      <formula>AND($B891="Tender Received",$D891&lt;=(TODAY()+3))</formula>
    </cfRule>
    <cfRule type="expression" dxfId="2792" priority="3686" stopIfTrue="1">
      <formula>$B891="Tender Received"</formula>
    </cfRule>
  </conditionalFormatting>
  <conditionalFormatting sqref="Q892">
    <cfRule type="expression" dxfId="2791" priority="3683" stopIfTrue="1">
      <formula>AND($B892="Tender Received",$D892&lt;=(TODAY()+3))</formula>
    </cfRule>
    <cfRule type="expression" dxfId="2790" priority="3684" stopIfTrue="1">
      <formula>$B892="Tender Received"</formula>
    </cfRule>
  </conditionalFormatting>
  <conditionalFormatting sqref="H94">
    <cfRule type="expression" dxfId="2789" priority="3681" stopIfTrue="1">
      <formula>AND($B94="Tender Received",$D94&lt;=(TODAY()+3))</formula>
    </cfRule>
    <cfRule type="expression" dxfId="2788" priority="3682" stopIfTrue="1">
      <formula>$B94="Tender Received"</formula>
    </cfRule>
  </conditionalFormatting>
  <conditionalFormatting sqref="B893 O893:R893 F893:I893 K893 D893">
    <cfRule type="expression" dxfId="2787" priority="3677" stopIfTrue="1">
      <formula>AND($B893="Tender Received",$D893&lt;=(TODAY()+3))</formula>
    </cfRule>
    <cfRule type="expression" dxfId="2786" priority="3678" stopIfTrue="1">
      <formula>$B893="Tender Received"</formula>
    </cfRule>
  </conditionalFormatting>
  <conditionalFormatting sqref="M893:N893">
    <cfRule type="expression" dxfId="2785" priority="3675" stopIfTrue="1">
      <formula>AND($B893="Tender Received",$D893&lt;=(TODAY()+3))</formula>
    </cfRule>
    <cfRule type="expression" dxfId="2784" priority="3676" stopIfTrue="1">
      <formula>$B893="Tender Received"</formula>
    </cfRule>
  </conditionalFormatting>
  <conditionalFormatting sqref="C893">
    <cfRule type="expression" dxfId="2783" priority="3673" stopIfTrue="1">
      <formula>AND($B893="Tender Received",$D893&lt;=(TODAY()+3))</formula>
    </cfRule>
    <cfRule type="expression" dxfId="2782" priority="3674" stopIfTrue="1">
      <formula>$B893="Tender Received"</formula>
    </cfRule>
  </conditionalFormatting>
  <conditionalFormatting sqref="I893">
    <cfRule type="expression" dxfId="2781" priority="3671" stopIfTrue="1">
      <formula>AND($B893="Tender Received",$D893&lt;=(TODAY()+3))</formula>
    </cfRule>
    <cfRule type="expression" dxfId="2780" priority="3672" stopIfTrue="1">
      <formula>$B893="Tender Received"</formula>
    </cfRule>
  </conditionalFormatting>
  <conditionalFormatting sqref="L893">
    <cfRule type="expression" dxfId="2779" priority="3669" stopIfTrue="1">
      <formula>AND($B893="Tender Received",$D893&lt;=(TODAY()+3))</formula>
    </cfRule>
    <cfRule type="expression" dxfId="2778" priority="3670" stopIfTrue="1">
      <formula>$B893="Tender Received"</formula>
    </cfRule>
  </conditionalFormatting>
  <conditionalFormatting sqref="L893">
    <cfRule type="expression" dxfId="2777" priority="3667" stopIfTrue="1">
      <formula>AND($B893="Tender Received",$D893&lt;=(TODAY()+3))</formula>
    </cfRule>
    <cfRule type="expression" dxfId="2776" priority="3668" stopIfTrue="1">
      <formula>$B893="Tender Received"</formula>
    </cfRule>
  </conditionalFormatting>
  <conditionalFormatting sqref="J893">
    <cfRule type="expression" dxfId="2775" priority="3665" stopIfTrue="1">
      <formula>AND($B893="Tender Received",$D893&lt;=(TODAY()+3))</formula>
    </cfRule>
    <cfRule type="expression" dxfId="2774" priority="3666" stopIfTrue="1">
      <formula>$B893="Tender Received"</formula>
    </cfRule>
  </conditionalFormatting>
  <conditionalFormatting sqref="E893">
    <cfRule type="expression" dxfId="2773" priority="3663" stopIfTrue="1">
      <formula>AND($B893="Tender Received",$D893&lt;=(TODAY()+3))</formula>
    </cfRule>
    <cfRule type="expression" dxfId="2772" priority="3664" stopIfTrue="1">
      <formula>$B893="Tender Received"</formula>
    </cfRule>
  </conditionalFormatting>
  <conditionalFormatting sqref="O894:P894 R894 B894:H894 J894:K894">
    <cfRule type="expression" dxfId="2771" priority="3661" stopIfTrue="1">
      <formula>AND($B894="Tender Received",$D894&lt;=(TODAY()+3))</formula>
    </cfRule>
    <cfRule type="expression" dxfId="2770" priority="3662" stopIfTrue="1">
      <formula>$B894="Tender Received"</formula>
    </cfRule>
  </conditionalFormatting>
  <conditionalFormatting sqref="M894:N894">
    <cfRule type="expression" dxfId="2769" priority="3659" stopIfTrue="1">
      <formula>AND($B894="Tender Received",$D894&lt;=(TODAY()+3))</formula>
    </cfRule>
    <cfRule type="expression" dxfId="2768" priority="3660" stopIfTrue="1">
      <formula>$B894="Tender Received"</formula>
    </cfRule>
  </conditionalFormatting>
  <conditionalFormatting sqref="L894">
    <cfRule type="expression" dxfId="2767" priority="3657" stopIfTrue="1">
      <formula>AND($B894="Tender Received",$D894&lt;=(TODAY()+3))</formula>
    </cfRule>
    <cfRule type="expression" dxfId="2766" priority="3658" stopIfTrue="1">
      <formula>$B894="Tender Received"</formula>
    </cfRule>
  </conditionalFormatting>
  <conditionalFormatting sqref="L894">
    <cfRule type="expression" dxfId="2765" priority="3655" stopIfTrue="1">
      <formula>AND($B894="Tender Received",$D894&lt;=(TODAY()+3))</formula>
    </cfRule>
    <cfRule type="expression" dxfId="2764" priority="3656" stopIfTrue="1">
      <formula>$B894="Tender Received"</formula>
    </cfRule>
  </conditionalFormatting>
  <conditionalFormatting sqref="Q894">
    <cfRule type="expression" dxfId="2763" priority="3653" stopIfTrue="1">
      <formula>AND($B894="Tender Received",$D894&lt;=(TODAY()+3))</formula>
    </cfRule>
    <cfRule type="expression" dxfId="2762" priority="3654" stopIfTrue="1">
      <formula>$B894="Tender Received"</formula>
    </cfRule>
  </conditionalFormatting>
  <conditionalFormatting sqref="I894">
    <cfRule type="expression" dxfId="2761" priority="3651" stopIfTrue="1">
      <formula>AND($B894="Tender Received",$D894&lt;=(TODAY()+3))</formula>
    </cfRule>
    <cfRule type="expression" dxfId="2760" priority="3652" stopIfTrue="1">
      <formula>$B894="Tender Received"</formula>
    </cfRule>
  </conditionalFormatting>
  <conditionalFormatting sqref="B895 D895:K895 O895:R895">
    <cfRule type="expression" dxfId="2759" priority="3625" stopIfTrue="1">
      <formula>AND($B895="Tender Received",$D895&lt;=(TODAY()+3))</formula>
    </cfRule>
    <cfRule type="expression" dxfId="2758" priority="3626" stopIfTrue="1">
      <formula>$B895="Tender Received"</formula>
    </cfRule>
  </conditionalFormatting>
  <conditionalFormatting sqref="I895">
    <cfRule type="expression" dxfId="2757" priority="3623" stopIfTrue="1">
      <formula>AND($B895="Tender Received",$D895&lt;=(TODAY()+3))</formula>
    </cfRule>
    <cfRule type="expression" dxfId="2756" priority="3624" stopIfTrue="1">
      <formula>$B895="Tender Received"</formula>
    </cfRule>
  </conditionalFormatting>
  <conditionalFormatting sqref="M895:N895">
    <cfRule type="expression" dxfId="2755" priority="3621" stopIfTrue="1">
      <formula>AND($B895="Tender Received",$D895&lt;=(TODAY()+3))</formula>
    </cfRule>
    <cfRule type="expression" dxfId="2754" priority="3622" stopIfTrue="1">
      <formula>$B895="Tender Received"</formula>
    </cfRule>
  </conditionalFormatting>
  <conditionalFormatting sqref="C895">
    <cfRule type="expression" dxfId="2753" priority="3619" stopIfTrue="1">
      <formula>AND($B895="Tender Received",$D895&lt;=(TODAY()+3))</formula>
    </cfRule>
    <cfRule type="expression" dxfId="2752" priority="3620" stopIfTrue="1">
      <formula>$B895="Tender Received"</formula>
    </cfRule>
  </conditionalFormatting>
  <conditionalFormatting sqref="L895">
    <cfRule type="expression" dxfId="2751" priority="3617" stopIfTrue="1">
      <formula>AND($B895="Tender Received",$D895&lt;=(TODAY()+3))</formula>
    </cfRule>
    <cfRule type="expression" dxfId="2750" priority="3618" stopIfTrue="1">
      <formula>$B895="Tender Received"</formula>
    </cfRule>
  </conditionalFormatting>
  <conditionalFormatting sqref="L895">
    <cfRule type="expression" dxfId="2749" priority="3615" stopIfTrue="1">
      <formula>AND($B895="Tender Received",$D895&lt;=(TODAY()+3))</formula>
    </cfRule>
    <cfRule type="expression" dxfId="2748" priority="3616" stopIfTrue="1">
      <formula>$B895="Tender Received"</formula>
    </cfRule>
  </conditionalFormatting>
  <conditionalFormatting sqref="O896:P896 R896 B896:K896">
    <cfRule type="expression" dxfId="2747" priority="3613" stopIfTrue="1">
      <formula>AND($B896="Tender Received",$D896&lt;=(TODAY()+3))</formula>
    </cfRule>
    <cfRule type="expression" dxfId="2746" priority="3614" stopIfTrue="1">
      <formula>$B896="Tender Received"</formula>
    </cfRule>
  </conditionalFormatting>
  <conditionalFormatting sqref="M896:N896">
    <cfRule type="expression" dxfId="2745" priority="3611" stopIfTrue="1">
      <formula>AND($B896="Tender Received",$D896&lt;=(TODAY()+3))</formula>
    </cfRule>
    <cfRule type="expression" dxfId="2744" priority="3612" stopIfTrue="1">
      <formula>$B896="Tender Received"</formula>
    </cfRule>
  </conditionalFormatting>
  <conditionalFormatting sqref="L896">
    <cfRule type="expression" dxfId="2743" priority="3609" stopIfTrue="1">
      <formula>AND($B896="Tender Received",$D896&lt;=(TODAY()+3))</formula>
    </cfRule>
    <cfRule type="expression" dxfId="2742" priority="3610" stopIfTrue="1">
      <formula>$B896="Tender Received"</formula>
    </cfRule>
  </conditionalFormatting>
  <conditionalFormatting sqref="L896">
    <cfRule type="expression" dxfId="2741" priority="3607" stopIfTrue="1">
      <formula>AND($B896="Tender Received",$D896&lt;=(TODAY()+3))</formula>
    </cfRule>
    <cfRule type="expression" dxfId="2740" priority="3608" stopIfTrue="1">
      <formula>$B896="Tender Received"</formula>
    </cfRule>
  </conditionalFormatting>
  <conditionalFormatting sqref="Q896">
    <cfRule type="expression" dxfId="2739" priority="3605" stopIfTrue="1">
      <formula>AND($B896="Tender Received",$D896&lt;=(TODAY()+3))</formula>
    </cfRule>
    <cfRule type="expression" dxfId="2738" priority="3606" stopIfTrue="1">
      <formula>$B896="Tender Received"</formula>
    </cfRule>
  </conditionalFormatting>
  <conditionalFormatting sqref="O897:R897 B897:H897 J897:K897">
    <cfRule type="expression" dxfId="2737" priority="3579" stopIfTrue="1">
      <formula>AND($B897="Tender Received",$D897&lt;=(TODAY()+3))</formula>
    </cfRule>
    <cfRule type="expression" dxfId="2736" priority="3580" stopIfTrue="1">
      <formula>$B897="Tender Received"</formula>
    </cfRule>
  </conditionalFormatting>
  <conditionalFormatting sqref="M897:N897">
    <cfRule type="expression" dxfId="2735" priority="3577" stopIfTrue="1">
      <formula>AND($B897="Tender Received",$D897&lt;=(TODAY()+3))</formula>
    </cfRule>
    <cfRule type="expression" dxfId="2734" priority="3578" stopIfTrue="1">
      <formula>$B897="Tender Received"</formula>
    </cfRule>
  </conditionalFormatting>
  <conditionalFormatting sqref="L897">
    <cfRule type="expression" dxfId="2733" priority="3575" stopIfTrue="1">
      <formula>AND($B897="Tender Received",$D897&lt;=(TODAY()+3))</formula>
    </cfRule>
    <cfRule type="expression" dxfId="2732" priority="3576" stopIfTrue="1">
      <formula>$B897="Tender Received"</formula>
    </cfRule>
  </conditionalFormatting>
  <conditionalFormatting sqref="L897">
    <cfRule type="expression" dxfId="2731" priority="3573" stopIfTrue="1">
      <formula>AND($B897="Tender Received",$D897&lt;=(TODAY()+3))</formula>
    </cfRule>
    <cfRule type="expression" dxfId="2730" priority="3574" stopIfTrue="1">
      <formula>$B897="Tender Received"</formula>
    </cfRule>
  </conditionalFormatting>
  <conditionalFormatting sqref="I897">
    <cfRule type="expression" dxfId="2729" priority="3571" stopIfTrue="1">
      <formula>AND($B897="Tender Received",$D897&lt;=(TODAY()+3))</formula>
    </cfRule>
    <cfRule type="expression" dxfId="2728" priority="3572" stopIfTrue="1">
      <formula>$B897="Tender Received"</formula>
    </cfRule>
  </conditionalFormatting>
  <conditionalFormatting sqref="O898:P898 B898:H898 J898:K898 R898">
    <cfRule type="expression" dxfId="2727" priority="3569" stopIfTrue="1">
      <formula>AND($B898="Tender Received",$D898&lt;=(TODAY()+3))</formula>
    </cfRule>
    <cfRule type="expression" dxfId="2726" priority="3570" stopIfTrue="1">
      <formula>$B898="Tender Received"</formula>
    </cfRule>
  </conditionalFormatting>
  <conditionalFormatting sqref="M898:N898">
    <cfRule type="expression" dxfId="2725" priority="3567" stopIfTrue="1">
      <formula>AND($B898="Tender Received",$D898&lt;=(TODAY()+3))</formula>
    </cfRule>
    <cfRule type="expression" dxfId="2724" priority="3568" stopIfTrue="1">
      <formula>$B898="Tender Received"</formula>
    </cfRule>
  </conditionalFormatting>
  <conditionalFormatting sqref="L898">
    <cfRule type="expression" dxfId="2723" priority="3565" stopIfTrue="1">
      <formula>AND($B898="Tender Received",$D898&lt;=(TODAY()+3))</formula>
    </cfRule>
    <cfRule type="expression" dxfId="2722" priority="3566" stopIfTrue="1">
      <formula>$B898="Tender Received"</formula>
    </cfRule>
  </conditionalFormatting>
  <conditionalFormatting sqref="L898">
    <cfRule type="expression" dxfId="2721" priority="3563" stopIfTrue="1">
      <formula>AND($B898="Tender Received",$D898&lt;=(TODAY()+3))</formula>
    </cfRule>
    <cfRule type="expression" dxfId="2720" priority="3564" stopIfTrue="1">
      <formula>$B898="Tender Received"</formula>
    </cfRule>
  </conditionalFormatting>
  <conditionalFormatting sqref="I898">
    <cfRule type="expression" dxfId="2719" priority="3561" stopIfTrue="1">
      <formula>AND($B898="Tender Received",$D898&lt;=(TODAY()+3))</formula>
    </cfRule>
    <cfRule type="expression" dxfId="2718" priority="3562" stopIfTrue="1">
      <formula>$B898="Tender Received"</formula>
    </cfRule>
  </conditionalFormatting>
  <conditionalFormatting sqref="Q898">
    <cfRule type="expression" dxfId="2717" priority="3559" stopIfTrue="1">
      <formula>AND($B898="Tender Received",$D898&lt;=(TODAY()+3))</formula>
    </cfRule>
    <cfRule type="expression" dxfId="2716" priority="3560" stopIfTrue="1">
      <formula>$B898="Tender Received"</formula>
    </cfRule>
  </conditionalFormatting>
  <conditionalFormatting sqref="O899:P899 R899 B899:H899 J899:K899">
    <cfRule type="expression" dxfId="2715" priority="3557" stopIfTrue="1">
      <formula>AND($B899="Tender Received",$D899&lt;=(TODAY()+3))</formula>
    </cfRule>
    <cfRule type="expression" dxfId="2714" priority="3558" stopIfTrue="1">
      <formula>$B899="Tender Received"</formula>
    </cfRule>
  </conditionalFormatting>
  <conditionalFormatting sqref="M899:N899">
    <cfRule type="expression" dxfId="2713" priority="3555" stopIfTrue="1">
      <formula>AND($B899="Tender Received",$D899&lt;=(TODAY()+3))</formula>
    </cfRule>
    <cfRule type="expression" dxfId="2712" priority="3556" stopIfTrue="1">
      <formula>$B899="Tender Received"</formula>
    </cfRule>
  </conditionalFormatting>
  <conditionalFormatting sqref="L899">
    <cfRule type="expression" dxfId="2711" priority="3553" stopIfTrue="1">
      <formula>AND($B899="Tender Received",$D899&lt;=(TODAY()+3))</formula>
    </cfRule>
    <cfRule type="expression" dxfId="2710" priority="3554" stopIfTrue="1">
      <formula>$B899="Tender Received"</formula>
    </cfRule>
  </conditionalFormatting>
  <conditionalFormatting sqref="L899">
    <cfRule type="expression" dxfId="2709" priority="3551" stopIfTrue="1">
      <formula>AND($B899="Tender Received",$D899&lt;=(TODAY()+3))</formula>
    </cfRule>
    <cfRule type="expression" dxfId="2708" priority="3552" stopIfTrue="1">
      <formula>$B899="Tender Received"</formula>
    </cfRule>
  </conditionalFormatting>
  <conditionalFormatting sqref="Q899">
    <cfRule type="expression" dxfId="2707" priority="3549" stopIfTrue="1">
      <formula>AND($B899="Tender Received",$D899&lt;=(TODAY()+3))</formula>
    </cfRule>
    <cfRule type="expression" dxfId="2706" priority="3550" stopIfTrue="1">
      <formula>$B899="Tender Received"</formula>
    </cfRule>
  </conditionalFormatting>
  <conditionalFormatting sqref="I899">
    <cfRule type="expression" dxfId="2705" priority="3547" stopIfTrue="1">
      <formula>AND($B899="Tender Received",$D899&lt;=(TODAY()+3))</formula>
    </cfRule>
    <cfRule type="expression" dxfId="2704" priority="3548" stopIfTrue="1">
      <formula>$B899="Tender Received"</formula>
    </cfRule>
  </conditionalFormatting>
  <conditionalFormatting sqref="B900:B901 O900:R901 D900:K901">
    <cfRule type="expression" dxfId="2703" priority="3489" stopIfTrue="1">
      <formula>AND($B900="Tender Received",$D900&lt;=(TODAY()+3))</formula>
    </cfRule>
    <cfRule type="expression" dxfId="2702" priority="3490" stopIfTrue="1">
      <formula>$B900="Tender Received"</formula>
    </cfRule>
  </conditionalFormatting>
  <conditionalFormatting sqref="I901">
    <cfRule type="expression" dxfId="2701" priority="3487" stopIfTrue="1">
      <formula>AND($B901="Tender Received",$D901&lt;=(TODAY()+3))</formula>
    </cfRule>
    <cfRule type="expression" dxfId="2700" priority="3488" stopIfTrue="1">
      <formula>$B901="Tender Received"</formula>
    </cfRule>
  </conditionalFormatting>
  <conditionalFormatting sqref="M900:N901">
    <cfRule type="expression" dxfId="2699" priority="3485" stopIfTrue="1">
      <formula>AND($B900="Tender Received",$D900&lt;=(TODAY()+3))</formula>
    </cfRule>
    <cfRule type="expression" dxfId="2698" priority="3486" stopIfTrue="1">
      <formula>$B900="Tender Received"</formula>
    </cfRule>
  </conditionalFormatting>
  <conditionalFormatting sqref="C900:C901">
    <cfRule type="expression" dxfId="2697" priority="3483" stopIfTrue="1">
      <formula>AND($B900="Tender Received",$D900&lt;=(TODAY()+3))</formula>
    </cfRule>
    <cfRule type="expression" dxfId="2696" priority="3484" stopIfTrue="1">
      <formula>$B900="Tender Received"</formula>
    </cfRule>
  </conditionalFormatting>
  <conditionalFormatting sqref="O901:R901 D901:K901">
    <cfRule type="expression" dxfId="2695" priority="3481" stopIfTrue="1">
      <formula>AND($B901="Tender Received",$D901&lt;=(TODAY()+3))</formula>
    </cfRule>
    <cfRule type="expression" dxfId="2694" priority="3482" stopIfTrue="1">
      <formula>$B901="Tender Received"</formula>
    </cfRule>
  </conditionalFormatting>
  <conditionalFormatting sqref="L900">
    <cfRule type="expression" dxfId="2693" priority="3479" stopIfTrue="1">
      <formula>AND($B900="Tender Received",$D900&lt;=(TODAY()+3))</formula>
    </cfRule>
    <cfRule type="expression" dxfId="2692" priority="3480" stopIfTrue="1">
      <formula>$B900="Tender Received"</formula>
    </cfRule>
  </conditionalFormatting>
  <conditionalFormatting sqref="L900">
    <cfRule type="expression" dxfId="2691" priority="3477" stopIfTrue="1">
      <formula>AND($B900="Tender Received",$D900&lt;=(TODAY()+3))</formula>
    </cfRule>
    <cfRule type="expression" dxfId="2690" priority="3478" stopIfTrue="1">
      <formula>$B900="Tender Received"</formula>
    </cfRule>
  </conditionalFormatting>
  <conditionalFormatting sqref="M901:N901">
    <cfRule type="expression" dxfId="2689" priority="3475" stopIfTrue="1">
      <formula>AND($B901="Tender Received",$D901&lt;=(TODAY()+3))</formula>
    </cfRule>
    <cfRule type="expression" dxfId="2688" priority="3476" stopIfTrue="1">
      <formula>$B901="Tender Received"</formula>
    </cfRule>
  </conditionalFormatting>
  <conditionalFormatting sqref="C901">
    <cfRule type="expression" dxfId="2687" priority="3473" stopIfTrue="1">
      <formula>AND($B901="Tender Received",$D901&lt;=(TODAY()+3))</formula>
    </cfRule>
    <cfRule type="expression" dxfId="2686" priority="3474" stopIfTrue="1">
      <formula>$B901="Tender Received"</formula>
    </cfRule>
  </conditionalFormatting>
  <conditionalFormatting sqref="C900">
    <cfRule type="expression" dxfId="2685" priority="3471" stopIfTrue="1">
      <formula>AND($B900="Tender Received",$D900&lt;=(TODAY()+3))</formula>
    </cfRule>
    <cfRule type="expression" dxfId="2684" priority="3472" stopIfTrue="1">
      <formula>$B900="Tender Received"</formula>
    </cfRule>
  </conditionalFormatting>
  <conditionalFormatting sqref="L901">
    <cfRule type="expression" dxfId="2683" priority="3469" stopIfTrue="1">
      <formula>AND($B901="Tender Received",$D901&lt;=(TODAY()+3))</formula>
    </cfRule>
    <cfRule type="expression" dxfId="2682" priority="3470" stopIfTrue="1">
      <formula>$B901="Tender Received"</formula>
    </cfRule>
  </conditionalFormatting>
  <conditionalFormatting sqref="L901">
    <cfRule type="expression" dxfId="2681" priority="3467" stopIfTrue="1">
      <formula>AND($B901="Tender Received",$D901&lt;=(TODAY()+3))</formula>
    </cfRule>
    <cfRule type="expression" dxfId="2680" priority="3468" stopIfTrue="1">
      <formula>$B901="Tender Received"</formula>
    </cfRule>
  </conditionalFormatting>
  <conditionalFormatting sqref="I900">
    <cfRule type="expression" dxfId="2679" priority="3465" stopIfTrue="1">
      <formula>AND($B900="Tender Received",$D900&lt;=(TODAY()+3))</formula>
    </cfRule>
    <cfRule type="expression" dxfId="2678" priority="3466" stopIfTrue="1">
      <formula>$B900="Tender Received"</formula>
    </cfRule>
  </conditionalFormatting>
  <conditionalFormatting sqref="C901">
    <cfRule type="expression" dxfId="2677" priority="3463" stopIfTrue="1">
      <formula>AND($B901="Tender Received",$D901&lt;=(TODAY()+3))</formula>
    </cfRule>
    <cfRule type="expression" dxfId="2676" priority="3464" stopIfTrue="1">
      <formula>$B901="Tender Received"</formula>
    </cfRule>
  </conditionalFormatting>
  <conditionalFormatting sqref="J900">
    <cfRule type="expression" dxfId="2675" priority="3461" stopIfTrue="1">
      <formula>AND($B900="Tender Received",$D900&lt;=(TODAY()+3))</formula>
    </cfRule>
    <cfRule type="expression" dxfId="2674" priority="3462" stopIfTrue="1">
      <formula>$B900="Tender Received"</formula>
    </cfRule>
  </conditionalFormatting>
  <conditionalFormatting sqref="O902:R902 B902:H902 J902:K902">
    <cfRule type="expression" dxfId="2673" priority="3451" stopIfTrue="1">
      <formula>AND($B902="Tender Received",$D902&lt;=(TODAY()+3))</formula>
    </cfRule>
    <cfRule type="expression" dxfId="2672" priority="3452" stopIfTrue="1">
      <formula>$B902="Tender Received"</formula>
    </cfRule>
  </conditionalFormatting>
  <conditionalFormatting sqref="M902:N902">
    <cfRule type="expression" dxfId="2671" priority="3449" stopIfTrue="1">
      <formula>AND($B902="Tender Received",$D902&lt;=(TODAY()+3))</formula>
    </cfRule>
    <cfRule type="expression" dxfId="2670" priority="3450" stopIfTrue="1">
      <formula>$B902="Tender Received"</formula>
    </cfRule>
  </conditionalFormatting>
  <conditionalFormatting sqref="L902">
    <cfRule type="expression" dxfId="2669" priority="3447" stopIfTrue="1">
      <formula>AND($B902="Tender Received",$D902&lt;=(TODAY()+3))</formula>
    </cfRule>
    <cfRule type="expression" dxfId="2668" priority="3448" stopIfTrue="1">
      <formula>$B902="Tender Received"</formula>
    </cfRule>
  </conditionalFormatting>
  <conditionalFormatting sqref="L902">
    <cfRule type="expression" dxfId="2667" priority="3445" stopIfTrue="1">
      <formula>AND($B902="Tender Received",$D902&lt;=(TODAY()+3))</formula>
    </cfRule>
    <cfRule type="expression" dxfId="2666" priority="3446" stopIfTrue="1">
      <formula>$B902="Tender Received"</formula>
    </cfRule>
  </conditionalFormatting>
  <conditionalFormatting sqref="I902">
    <cfRule type="expression" dxfId="2665" priority="3443" stopIfTrue="1">
      <formula>AND($B902="Tender Received",$D902&lt;=(TODAY()+3))</formula>
    </cfRule>
    <cfRule type="expression" dxfId="2664" priority="3444" stopIfTrue="1">
      <formula>$B902="Tender Received"</formula>
    </cfRule>
  </conditionalFormatting>
  <conditionalFormatting sqref="O903:P903 R903 B903:H903 J903:K903">
    <cfRule type="expression" dxfId="2663" priority="3441" stopIfTrue="1">
      <formula>AND($B903="Tender Received",$D903&lt;=(TODAY()+3))</formula>
    </cfRule>
    <cfRule type="expression" dxfId="2662" priority="3442" stopIfTrue="1">
      <formula>$B903="Tender Received"</formula>
    </cfRule>
  </conditionalFormatting>
  <conditionalFormatting sqref="M903:N903">
    <cfRule type="expression" dxfId="2661" priority="3439" stopIfTrue="1">
      <formula>AND($B903="Tender Received",$D903&lt;=(TODAY()+3))</formula>
    </cfRule>
    <cfRule type="expression" dxfId="2660" priority="3440" stopIfTrue="1">
      <formula>$B903="Tender Received"</formula>
    </cfRule>
  </conditionalFormatting>
  <conditionalFormatting sqref="L903">
    <cfRule type="expression" dxfId="2659" priority="3437" stopIfTrue="1">
      <formula>AND($B903="Tender Received",$D903&lt;=(TODAY()+3))</formula>
    </cfRule>
    <cfRule type="expression" dxfId="2658" priority="3438" stopIfTrue="1">
      <formula>$B903="Tender Received"</formula>
    </cfRule>
  </conditionalFormatting>
  <conditionalFormatting sqref="L903">
    <cfRule type="expression" dxfId="2657" priority="3435" stopIfTrue="1">
      <formula>AND($B903="Tender Received",$D903&lt;=(TODAY()+3))</formula>
    </cfRule>
    <cfRule type="expression" dxfId="2656" priority="3436" stopIfTrue="1">
      <formula>$B903="Tender Received"</formula>
    </cfRule>
  </conditionalFormatting>
  <conditionalFormatting sqref="Q903">
    <cfRule type="expression" dxfId="2655" priority="3433" stopIfTrue="1">
      <formula>AND($B903="Tender Received",$D903&lt;=(TODAY()+3))</formula>
    </cfRule>
    <cfRule type="expression" dxfId="2654" priority="3434" stopIfTrue="1">
      <formula>$B903="Tender Received"</formula>
    </cfRule>
  </conditionalFormatting>
  <conditionalFormatting sqref="I903">
    <cfRule type="expression" dxfId="2653" priority="3431" stopIfTrue="1">
      <formula>AND($B903="Tender Received",$D903&lt;=(TODAY()+3))</formula>
    </cfRule>
    <cfRule type="expression" dxfId="2652" priority="3432" stopIfTrue="1">
      <formula>$B903="Tender Received"</formula>
    </cfRule>
  </conditionalFormatting>
  <conditionalFormatting sqref="O904:R904 B904:K904">
    <cfRule type="expression" dxfId="2651" priority="3429" stopIfTrue="1">
      <formula>AND($B904="Tender Received",$D904&lt;=(TODAY()+3))</formula>
    </cfRule>
    <cfRule type="expression" dxfId="2650" priority="3430" stopIfTrue="1">
      <formula>$B904="Tender Received"</formula>
    </cfRule>
  </conditionalFormatting>
  <conditionalFormatting sqref="M904:N904">
    <cfRule type="expression" dxfId="2649" priority="3427" stopIfTrue="1">
      <formula>AND($B904="Tender Received",$D904&lt;=(TODAY()+3))</formula>
    </cfRule>
    <cfRule type="expression" dxfId="2648" priority="3428" stopIfTrue="1">
      <formula>$B904="Tender Received"</formula>
    </cfRule>
  </conditionalFormatting>
  <conditionalFormatting sqref="C904">
    <cfRule type="expression" dxfId="2647" priority="3425" stopIfTrue="1">
      <formula>AND($B904="Tender Received",$D904&lt;=(TODAY()+3))</formula>
    </cfRule>
    <cfRule type="expression" dxfId="2646" priority="3426" stopIfTrue="1">
      <formula>$B904="Tender Received"</formula>
    </cfRule>
  </conditionalFormatting>
  <conditionalFormatting sqref="L904">
    <cfRule type="expression" dxfId="2645" priority="3423" stopIfTrue="1">
      <formula>AND($B904="Tender Received",$D904&lt;=(TODAY()+3))</formula>
    </cfRule>
    <cfRule type="expression" dxfId="2644" priority="3424" stopIfTrue="1">
      <formula>$B904="Tender Received"</formula>
    </cfRule>
  </conditionalFormatting>
  <conditionalFormatting sqref="I904">
    <cfRule type="expression" dxfId="2643" priority="3421" stopIfTrue="1">
      <formula>AND($B904="Tender Received",$D904&lt;=(TODAY()+3))</formula>
    </cfRule>
    <cfRule type="expression" dxfId="2642" priority="3422" stopIfTrue="1">
      <formula>$B904="Tender Received"</formula>
    </cfRule>
  </conditionalFormatting>
  <conditionalFormatting sqref="L904">
    <cfRule type="expression" dxfId="2641" priority="3419" stopIfTrue="1">
      <formula>AND($B904="Tender Received",$D904&lt;=(TODAY()+3))</formula>
    </cfRule>
    <cfRule type="expression" dxfId="2640" priority="3420" stopIfTrue="1">
      <formula>$B904="Tender Received"</formula>
    </cfRule>
  </conditionalFormatting>
  <conditionalFormatting sqref="B905:B908 O905:R908 D906:K908 K905 D905:H905">
    <cfRule type="expression" dxfId="2639" priority="3417" stopIfTrue="1">
      <formula>AND($B905="Tender Received",$D905&lt;=(TODAY()+3))</formula>
    </cfRule>
    <cfRule type="expression" dxfId="2638" priority="3418" stopIfTrue="1">
      <formula>$B905="Tender Received"</formula>
    </cfRule>
  </conditionalFormatting>
  <conditionalFormatting sqref="I907">
    <cfRule type="expression" dxfId="2637" priority="3415" stopIfTrue="1">
      <formula>AND($B907="Tender Received",$D907&lt;=(TODAY()+3))</formula>
    </cfRule>
    <cfRule type="expression" dxfId="2636" priority="3416" stopIfTrue="1">
      <formula>$B907="Tender Received"</formula>
    </cfRule>
  </conditionalFormatting>
  <conditionalFormatting sqref="M905:N908">
    <cfRule type="expression" dxfId="2635" priority="3413" stopIfTrue="1">
      <formula>AND($B905="Tender Received",$D905&lt;=(TODAY()+3))</formula>
    </cfRule>
    <cfRule type="expression" dxfId="2634" priority="3414" stopIfTrue="1">
      <formula>$B905="Tender Received"</formula>
    </cfRule>
  </conditionalFormatting>
  <conditionalFormatting sqref="L905">
    <cfRule type="expression" dxfId="2633" priority="3411" stopIfTrue="1">
      <formula>AND($B905="Tender Received",$D905&lt;=(TODAY()+3))</formula>
    </cfRule>
    <cfRule type="expression" dxfId="2632" priority="3412" stopIfTrue="1">
      <formula>$B905="Tender Received"</formula>
    </cfRule>
  </conditionalFormatting>
  <conditionalFormatting sqref="L908">
    <cfRule type="expression" dxfId="2631" priority="3409" stopIfTrue="1">
      <formula>AND($B908="Tender Received",$D908&lt;=(TODAY()+3))</formula>
    </cfRule>
    <cfRule type="expression" dxfId="2630" priority="3410" stopIfTrue="1">
      <formula>$B908="Tender Received"</formula>
    </cfRule>
  </conditionalFormatting>
  <conditionalFormatting sqref="C905:C908">
    <cfRule type="expression" dxfId="2629" priority="3407" stopIfTrue="1">
      <formula>AND($B905="Tender Received",$D905&lt;=(TODAY()+3))</formula>
    </cfRule>
    <cfRule type="expression" dxfId="2628" priority="3408" stopIfTrue="1">
      <formula>$B905="Tender Received"</formula>
    </cfRule>
  </conditionalFormatting>
  <conditionalFormatting sqref="M908:R908 O907:R907 D907:K908">
    <cfRule type="expression" dxfId="2627" priority="3405" stopIfTrue="1">
      <formula>AND($B907="Tender Received",$D907&lt;=(TODAY()+3))</formula>
    </cfRule>
    <cfRule type="expression" dxfId="2626" priority="3406" stopIfTrue="1">
      <formula>$B907="Tender Received"</formula>
    </cfRule>
  </conditionalFormatting>
  <conditionalFormatting sqref="L906">
    <cfRule type="expression" dxfId="2625" priority="3403" stopIfTrue="1">
      <formula>AND($B906="Tender Received",$D906&lt;=(TODAY()+3))</formula>
    </cfRule>
    <cfRule type="expression" dxfId="2624" priority="3404" stopIfTrue="1">
      <formula>$B906="Tender Received"</formula>
    </cfRule>
  </conditionalFormatting>
  <conditionalFormatting sqref="L906">
    <cfRule type="expression" dxfId="2623" priority="3401" stopIfTrue="1">
      <formula>AND($B906="Tender Received",$D906&lt;=(TODAY()+3))</formula>
    </cfRule>
    <cfRule type="expression" dxfId="2622" priority="3402" stopIfTrue="1">
      <formula>$B906="Tender Received"</formula>
    </cfRule>
  </conditionalFormatting>
  <conditionalFormatting sqref="M907:N907">
    <cfRule type="expression" dxfId="2621" priority="3399" stopIfTrue="1">
      <formula>AND($B907="Tender Received",$D907&lt;=(TODAY()+3))</formula>
    </cfRule>
    <cfRule type="expression" dxfId="2620" priority="3400" stopIfTrue="1">
      <formula>$B907="Tender Received"</formula>
    </cfRule>
  </conditionalFormatting>
  <conditionalFormatting sqref="C907:C908">
    <cfRule type="expression" dxfId="2619" priority="3397" stopIfTrue="1">
      <formula>AND($B907="Tender Received",$D907&lt;=(TODAY()+3))</formula>
    </cfRule>
    <cfRule type="expression" dxfId="2618" priority="3398" stopIfTrue="1">
      <formula>$B907="Tender Received"</formula>
    </cfRule>
  </conditionalFormatting>
  <conditionalFormatting sqref="L905">
    <cfRule type="expression" dxfId="2617" priority="3395" stopIfTrue="1">
      <formula>AND($B905="Tender Received",$D905&lt;=(TODAY()+3))</formula>
    </cfRule>
    <cfRule type="expression" dxfId="2616" priority="3396" stopIfTrue="1">
      <formula>$B905="Tender Received"</formula>
    </cfRule>
  </conditionalFormatting>
  <conditionalFormatting sqref="L908">
    <cfRule type="expression" dxfId="2615" priority="3393" stopIfTrue="1">
      <formula>AND($B908="Tender Received",$D908&lt;=(TODAY()+3))</formula>
    </cfRule>
    <cfRule type="expression" dxfId="2614" priority="3394" stopIfTrue="1">
      <formula>$B908="Tender Received"</formula>
    </cfRule>
  </conditionalFormatting>
  <conditionalFormatting sqref="C906">
    <cfRule type="expression" dxfId="2613" priority="3391" stopIfTrue="1">
      <formula>AND($B906="Tender Received",$D906&lt;=(TODAY()+3))</formula>
    </cfRule>
    <cfRule type="expression" dxfId="2612" priority="3392" stopIfTrue="1">
      <formula>$B906="Tender Received"</formula>
    </cfRule>
  </conditionalFormatting>
  <conditionalFormatting sqref="L907">
    <cfRule type="expression" dxfId="2611" priority="3389" stopIfTrue="1">
      <formula>AND($B907="Tender Received",$D907&lt;=(TODAY()+3))</formula>
    </cfRule>
    <cfRule type="expression" dxfId="2610" priority="3390" stopIfTrue="1">
      <formula>$B907="Tender Received"</formula>
    </cfRule>
  </conditionalFormatting>
  <conditionalFormatting sqref="L907">
    <cfRule type="expression" dxfId="2609" priority="3387" stopIfTrue="1">
      <formula>AND($B907="Tender Received",$D907&lt;=(TODAY()+3))</formula>
    </cfRule>
    <cfRule type="expression" dxfId="2608" priority="3388" stopIfTrue="1">
      <formula>$B907="Tender Received"</formula>
    </cfRule>
  </conditionalFormatting>
  <conditionalFormatting sqref="J905">
    <cfRule type="expression" dxfId="2607" priority="3385" stopIfTrue="1">
      <formula>AND($B905="Tender Received",$D905&lt;=(TODAY()+3))</formula>
    </cfRule>
    <cfRule type="expression" dxfId="2606" priority="3386" stopIfTrue="1">
      <formula>$B905="Tender Received"</formula>
    </cfRule>
  </conditionalFormatting>
  <conditionalFormatting sqref="I908">
    <cfRule type="expression" dxfId="2605" priority="3383" stopIfTrue="1">
      <formula>AND($B908="Tender Received",$D908&lt;=(TODAY()+3))</formula>
    </cfRule>
    <cfRule type="expression" dxfId="2604" priority="3384" stopIfTrue="1">
      <formula>$B908="Tender Received"</formula>
    </cfRule>
  </conditionalFormatting>
  <conditionalFormatting sqref="I906">
    <cfRule type="expression" dxfId="2603" priority="3381" stopIfTrue="1">
      <formula>AND($B906="Tender Received",$D906&lt;=(TODAY()+3))</formula>
    </cfRule>
    <cfRule type="expression" dxfId="2602" priority="3382" stopIfTrue="1">
      <formula>$B906="Tender Received"</formula>
    </cfRule>
  </conditionalFormatting>
  <conditionalFormatting sqref="C907">
    <cfRule type="expression" dxfId="2601" priority="3379" stopIfTrue="1">
      <formula>AND($B907="Tender Received",$D907&lt;=(TODAY()+3))</formula>
    </cfRule>
    <cfRule type="expression" dxfId="2600" priority="3380" stopIfTrue="1">
      <formula>$B907="Tender Received"</formula>
    </cfRule>
  </conditionalFormatting>
  <conditionalFormatting sqref="J906">
    <cfRule type="expression" dxfId="2599" priority="3377" stopIfTrue="1">
      <formula>AND($B906="Tender Received",$D906&lt;=(TODAY()+3))</formula>
    </cfRule>
    <cfRule type="expression" dxfId="2598" priority="3378" stopIfTrue="1">
      <formula>$B906="Tender Received"</formula>
    </cfRule>
  </conditionalFormatting>
  <conditionalFormatting sqref="I905">
    <cfRule type="expression" dxfId="2597" priority="3375" stopIfTrue="1">
      <formula>AND($B905="Tender Received",$D905&lt;=(TODAY()+3))</formula>
    </cfRule>
    <cfRule type="expression" dxfId="2596" priority="3376" stopIfTrue="1">
      <formula>$B905="Tender Received"</formula>
    </cfRule>
  </conditionalFormatting>
  <conditionalFormatting sqref="O910:P910 R910 O909:R909 B909:K910">
    <cfRule type="expression" dxfId="2595" priority="3317" stopIfTrue="1">
      <formula>AND($B909="Tender Received",$D909&lt;=(TODAY()+3))</formula>
    </cfRule>
    <cfRule type="expression" dxfId="2594" priority="3318" stopIfTrue="1">
      <formula>$B909="Tender Received"</formula>
    </cfRule>
  </conditionalFormatting>
  <conditionalFormatting sqref="M909:N910">
    <cfRule type="expression" dxfId="2593" priority="3315" stopIfTrue="1">
      <formula>AND($B909="Tender Received",$D909&lt;=(TODAY()+3))</formula>
    </cfRule>
    <cfRule type="expression" dxfId="2592" priority="3316" stopIfTrue="1">
      <formula>$B909="Tender Received"</formula>
    </cfRule>
  </conditionalFormatting>
  <conditionalFormatting sqref="C909:C910">
    <cfRule type="expression" dxfId="2591" priority="3313" stopIfTrue="1">
      <formula>AND($B909="Tender Received",$D909&lt;=(TODAY()+3))</formula>
    </cfRule>
    <cfRule type="expression" dxfId="2590" priority="3314" stopIfTrue="1">
      <formula>$B909="Tender Received"</formula>
    </cfRule>
  </conditionalFormatting>
  <conditionalFormatting sqref="L909">
    <cfRule type="expression" dxfId="2589" priority="3311" stopIfTrue="1">
      <formula>AND($B909="Tender Received",$D909&lt;=(TODAY()+3))</formula>
    </cfRule>
    <cfRule type="expression" dxfId="2588" priority="3312" stopIfTrue="1">
      <formula>$B909="Tender Received"</formula>
    </cfRule>
  </conditionalFormatting>
  <conditionalFormatting sqref="L910">
    <cfRule type="expression" dxfId="2587" priority="3309" stopIfTrue="1">
      <formula>AND($B910="Tender Received",$D910&lt;=(TODAY()+3))</formula>
    </cfRule>
    <cfRule type="expression" dxfId="2586" priority="3310" stopIfTrue="1">
      <formula>$B910="Tender Received"</formula>
    </cfRule>
  </conditionalFormatting>
  <conditionalFormatting sqref="I909">
    <cfRule type="expression" dxfId="2585" priority="3307" stopIfTrue="1">
      <formula>AND($B909="Tender Received",$D909&lt;=(TODAY()+3))</formula>
    </cfRule>
    <cfRule type="expression" dxfId="2584" priority="3308" stopIfTrue="1">
      <formula>$B909="Tender Received"</formula>
    </cfRule>
  </conditionalFormatting>
  <conditionalFormatting sqref="I910">
    <cfRule type="expression" dxfId="2583" priority="3305" stopIfTrue="1">
      <formula>AND($B910="Tender Received",$D910&lt;=(TODAY()+3))</formula>
    </cfRule>
    <cfRule type="expression" dxfId="2582" priority="3306" stopIfTrue="1">
      <formula>$B910="Tender Received"</formula>
    </cfRule>
  </conditionalFormatting>
  <conditionalFormatting sqref="L910">
    <cfRule type="expression" dxfId="2581" priority="3303" stopIfTrue="1">
      <formula>AND($B910="Tender Received",$D910&lt;=(TODAY()+3))</formula>
    </cfRule>
    <cfRule type="expression" dxfId="2580" priority="3304" stopIfTrue="1">
      <formula>$B910="Tender Received"</formula>
    </cfRule>
  </conditionalFormatting>
  <conditionalFormatting sqref="L909">
    <cfRule type="expression" dxfId="2579" priority="3301" stopIfTrue="1">
      <formula>AND($B909="Tender Received",$D909&lt;=(TODAY()+3))</formula>
    </cfRule>
    <cfRule type="expression" dxfId="2578" priority="3302" stopIfTrue="1">
      <formula>$B909="Tender Received"</formula>
    </cfRule>
  </conditionalFormatting>
  <conditionalFormatting sqref="Q910">
    <cfRule type="expression" dxfId="2577" priority="3299" stopIfTrue="1">
      <formula>AND($B910="Tender Received",$D910&lt;=(TODAY()+3))</formula>
    </cfRule>
    <cfRule type="expression" dxfId="2576" priority="3300" stopIfTrue="1">
      <formula>$B910="Tender Received"</formula>
    </cfRule>
  </conditionalFormatting>
  <conditionalFormatting sqref="C911:R911">
    <cfRule type="expression" dxfId="2575" priority="3221" stopIfTrue="1">
      <formula>AND($B911="Tender Received",$D911&lt;=(TODAY()+3))</formula>
    </cfRule>
    <cfRule type="expression" dxfId="2574" priority="3222" stopIfTrue="1">
      <formula>$B911="Tender Received"</formula>
    </cfRule>
  </conditionalFormatting>
  <conditionalFormatting sqref="L911">
    <cfRule type="expression" dxfId="2573" priority="3219" stopIfTrue="1">
      <formula>AND($B911="Tender Received",$D911&lt;=(TODAY()+3))</formula>
    </cfRule>
    <cfRule type="expression" dxfId="2572" priority="3220" stopIfTrue="1">
      <formula>$B911="Tender Received"</formula>
    </cfRule>
  </conditionalFormatting>
  <conditionalFormatting sqref="C911:H911 J911:K911 M911:R911">
    <cfRule type="expression" dxfId="2571" priority="3217" stopIfTrue="1">
      <formula>AND($B911="Tender Received",$D911&lt;=(TODAY()+3))</formula>
    </cfRule>
    <cfRule type="expression" dxfId="2570" priority="3218" stopIfTrue="1">
      <formula>$B911="Tender Received"</formula>
    </cfRule>
  </conditionalFormatting>
  <conditionalFormatting sqref="L911">
    <cfRule type="expression" dxfId="2569" priority="3215" stopIfTrue="1">
      <formula>AND($B911="Tender Received",$D911&lt;=(TODAY()+3))</formula>
    </cfRule>
    <cfRule type="expression" dxfId="2568" priority="3216" stopIfTrue="1">
      <formula>$B911="Tender Received"</formula>
    </cfRule>
  </conditionalFormatting>
  <conditionalFormatting sqref="I911">
    <cfRule type="expression" dxfId="2567" priority="3213" stopIfTrue="1">
      <formula>AND($B911="Tender Received",$D911&lt;=(TODAY()+3))</formula>
    </cfRule>
    <cfRule type="expression" dxfId="2566" priority="3214" stopIfTrue="1">
      <formula>$B911="Tender Received"</formula>
    </cfRule>
  </conditionalFormatting>
  <conditionalFormatting sqref="B911">
    <cfRule type="expression" dxfId="2565" priority="3211" stopIfTrue="1">
      <formula>AND($B911="Tender Received",$D911&lt;=(TODAY()+3))</formula>
    </cfRule>
    <cfRule type="expression" dxfId="2564" priority="3212" stopIfTrue="1">
      <formula>$B911="Tender Received"</formula>
    </cfRule>
  </conditionalFormatting>
  <conditionalFormatting sqref="B912:K913 B914:B916 L913:R913 M912:P912 R912">
    <cfRule type="expression" dxfId="2563" priority="3141" stopIfTrue="1">
      <formula>AND($B912="Tender Received",$D912&lt;=(TODAY()+3))</formula>
    </cfRule>
    <cfRule type="expression" dxfId="2562" priority="3142" stopIfTrue="1">
      <formula>$B912="Tender Received"</formula>
    </cfRule>
  </conditionalFormatting>
  <conditionalFormatting sqref="L913">
    <cfRule type="expression" dxfId="2561" priority="3139" stopIfTrue="1">
      <formula>AND($B913="Tender Received",$D913&lt;=(TODAY()+3))</formula>
    </cfRule>
    <cfRule type="expression" dxfId="2560" priority="3140" stopIfTrue="1">
      <formula>$B913="Tender Received"</formula>
    </cfRule>
  </conditionalFormatting>
  <conditionalFormatting sqref="C912">
    <cfRule type="expression" dxfId="2559" priority="3137" stopIfTrue="1">
      <formula>AND($B912="Tender Received",$D912&lt;=(TODAY()+3))</formula>
    </cfRule>
    <cfRule type="expression" dxfId="2558" priority="3138" stopIfTrue="1">
      <formula>$B912="Tender Received"</formula>
    </cfRule>
  </conditionalFormatting>
  <conditionalFormatting sqref="L912">
    <cfRule type="expression" dxfId="2557" priority="3135" stopIfTrue="1">
      <formula>AND($B912="Tender Received",$D912&lt;=(TODAY()+3))</formula>
    </cfRule>
    <cfRule type="expression" dxfId="2556" priority="3136" stopIfTrue="1">
      <formula>$B912="Tender Received"</formula>
    </cfRule>
  </conditionalFormatting>
  <conditionalFormatting sqref="L912">
    <cfRule type="expression" dxfId="2555" priority="3133" stopIfTrue="1">
      <formula>AND($B912="Tender Received",$D912&lt;=(TODAY()+3))</formula>
    </cfRule>
    <cfRule type="expression" dxfId="2554" priority="3134" stopIfTrue="1">
      <formula>$B912="Tender Received"</formula>
    </cfRule>
  </conditionalFormatting>
  <conditionalFormatting sqref="C914:H914 J914:K914 L916:M916 Q916:R916 M914:P914 R914">
    <cfRule type="expression" dxfId="2553" priority="3131" stopIfTrue="1">
      <formula>AND($B914="Tender Received",$D914&lt;=(TODAY()+3))</formula>
    </cfRule>
    <cfRule type="expression" dxfId="2552" priority="3132" stopIfTrue="1">
      <formula>$B914="Tender Received"</formula>
    </cfRule>
  </conditionalFormatting>
  <conditionalFormatting sqref="L914">
    <cfRule type="expression" dxfId="2551" priority="3129" stopIfTrue="1">
      <formula>AND($B914="Tender Received",$D914&lt;=(TODAY()+3))</formula>
    </cfRule>
    <cfRule type="expression" dxfId="2550" priority="3130" stopIfTrue="1">
      <formula>$B914="Tender Received"</formula>
    </cfRule>
  </conditionalFormatting>
  <conditionalFormatting sqref="I914">
    <cfRule type="expression" dxfId="2549" priority="3127" stopIfTrue="1">
      <formula>AND($B914="Tender Received",$D914&lt;=(TODAY()+3))</formula>
    </cfRule>
    <cfRule type="expression" dxfId="2548" priority="3128" stopIfTrue="1">
      <formula>$B914="Tender Received"</formula>
    </cfRule>
  </conditionalFormatting>
  <conditionalFormatting sqref="J915:M915 C915:G915 Q915:R915">
    <cfRule type="expression" dxfId="2547" priority="3125" stopIfTrue="1">
      <formula>AND($B915="Tender Received",$D915&lt;=(TODAY()+3))</formula>
    </cfRule>
    <cfRule type="expression" dxfId="2546" priority="3126" stopIfTrue="1">
      <formula>$B915="Tender Received"</formula>
    </cfRule>
  </conditionalFormatting>
  <conditionalFormatting sqref="I915">
    <cfRule type="expression" dxfId="2545" priority="3123" stopIfTrue="1">
      <formula>AND($B915="Tender Received",$D915&lt;=(TODAY()+3))</formula>
    </cfRule>
    <cfRule type="expression" dxfId="2544" priority="3124" stopIfTrue="1">
      <formula>$B915="Tender Received"</formula>
    </cfRule>
  </conditionalFormatting>
  <conditionalFormatting sqref="D916:K916">
    <cfRule type="expression" dxfId="2543" priority="3121" stopIfTrue="1">
      <formula>AND($B916="Tender Received",$D916&lt;=(TODAY()+3))</formula>
    </cfRule>
    <cfRule type="expression" dxfId="2542" priority="3122" stopIfTrue="1">
      <formula>$B916="Tender Received"</formula>
    </cfRule>
  </conditionalFormatting>
  <conditionalFormatting sqref="N915:P916">
    <cfRule type="expression" dxfId="2541" priority="3119" stopIfTrue="1">
      <formula>AND($B915="Tender Received",$D915&lt;=(TODAY()+3))</formula>
    </cfRule>
    <cfRule type="expression" dxfId="2540" priority="3120" stopIfTrue="1">
      <formula>$B915="Tender Received"</formula>
    </cfRule>
  </conditionalFormatting>
  <conditionalFormatting sqref="C916">
    <cfRule type="expression" dxfId="2539" priority="3117" stopIfTrue="1">
      <formula>AND($B916="Tender Received",$D916&lt;=(TODAY()+3))</formula>
    </cfRule>
    <cfRule type="expression" dxfId="2538" priority="3118" stopIfTrue="1">
      <formula>$B916="Tender Received"</formula>
    </cfRule>
  </conditionalFormatting>
  <conditionalFormatting sqref="C913:H913 J913:K913 M913:R913">
    <cfRule type="expression" dxfId="2537" priority="3115" stopIfTrue="1">
      <formula>AND($B913="Tender Received",$D913&lt;=(TODAY()+3))</formula>
    </cfRule>
    <cfRule type="expression" dxfId="2536" priority="3116" stopIfTrue="1">
      <formula>$B913="Tender Received"</formula>
    </cfRule>
  </conditionalFormatting>
  <conditionalFormatting sqref="L913">
    <cfRule type="expression" dxfId="2535" priority="3113" stopIfTrue="1">
      <formula>AND($B913="Tender Received",$D913&lt;=(TODAY()+3))</formula>
    </cfRule>
    <cfRule type="expression" dxfId="2534" priority="3114" stopIfTrue="1">
      <formula>$B913="Tender Received"</formula>
    </cfRule>
  </conditionalFormatting>
  <conditionalFormatting sqref="I913">
    <cfRule type="expression" dxfId="2533" priority="3111" stopIfTrue="1">
      <formula>AND($B913="Tender Received",$D913&lt;=(TODAY()+3))</formula>
    </cfRule>
    <cfRule type="expression" dxfId="2532" priority="3112" stopIfTrue="1">
      <formula>$B913="Tender Received"</formula>
    </cfRule>
  </conditionalFormatting>
  <conditionalFormatting sqref="J914:M914 C914:G914 R914">
    <cfRule type="expression" dxfId="2531" priority="3109" stopIfTrue="1">
      <formula>AND($B914="Tender Received",$D914&lt;=(TODAY()+3))</formula>
    </cfRule>
    <cfRule type="expression" dxfId="2530" priority="3110" stopIfTrue="1">
      <formula>$B914="Tender Received"</formula>
    </cfRule>
  </conditionalFormatting>
  <conditionalFormatting sqref="I914">
    <cfRule type="expression" dxfId="2529" priority="3107" stopIfTrue="1">
      <formula>AND($B914="Tender Received",$D914&lt;=(TODAY()+3))</formula>
    </cfRule>
    <cfRule type="expression" dxfId="2528" priority="3108" stopIfTrue="1">
      <formula>$B914="Tender Received"</formula>
    </cfRule>
  </conditionalFormatting>
  <conditionalFormatting sqref="N914:P914">
    <cfRule type="expression" dxfId="2527" priority="3105" stopIfTrue="1">
      <formula>AND($B914="Tender Received",$D914&lt;=(TODAY()+3))</formula>
    </cfRule>
    <cfRule type="expression" dxfId="2526" priority="3106" stopIfTrue="1">
      <formula>$B914="Tender Received"</formula>
    </cfRule>
  </conditionalFormatting>
  <conditionalFormatting sqref="H914">
    <cfRule type="expression" dxfId="2525" priority="3103" stopIfTrue="1">
      <formula>AND($B914="Tender Received",$D914&lt;=(TODAY()+3))</formula>
    </cfRule>
    <cfRule type="expression" dxfId="2524" priority="3104" stopIfTrue="1">
      <formula>$B914="Tender Received"</formula>
    </cfRule>
  </conditionalFormatting>
  <conditionalFormatting sqref="Q912">
    <cfRule type="expression" dxfId="2523" priority="3101" stopIfTrue="1">
      <formula>AND($B912="Tender Received",$D912&lt;=(TODAY()+3))</formula>
    </cfRule>
    <cfRule type="expression" dxfId="2522" priority="3102" stopIfTrue="1">
      <formula>$B912="Tender Received"</formula>
    </cfRule>
  </conditionalFormatting>
  <conditionalFormatting sqref="Q914">
    <cfRule type="expression" dxfId="2521" priority="3099" stopIfTrue="1">
      <formula>AND($B914="Tender Received",$D914&lt;=(TODAY()+3))</formula>
    </cfRule>
    <cfRule type="expression" dxfId="2520" priority="3100" stopIfTrue="1">
      <formula>$B914="Tender Received"</formula>
    </cfRule>
  </conditionalFormatting>
  <conditionalFormatting sqref="Q914">
    <cfRule type="expression" dxfId="2519" priority="3097" stopIfTrue="1">
      <formula>AND($B914="Tender Received",$D914&lt;=(TODAY()+3))</formula>
    </cfRule>
    <cfRule type="expression" dxfId="2518" priority="3098" stopIfTrue="1">
      <formula>$B914="Tender Received"</formula>
    </cfRule>
  </conditionalFormatting>
  <conditionalFormatting sqref="H915">
    <cfRule type="expression" dxfId="2517" priority="3095" stopIfTrue="1">
      <formula>AND($B915="Tender Received",$D915&lt;=(TODAY()+3))</formula>
    </cfRule>
    <cfRule type="expression" dxfId="2516" priority="3096" stopIfTrue="1">
      <formula>$B915="Tender Received"</formula>
    </cfRule>
  </conditionalFormatting>
  <conditionalFormatting sqref="Q55">
    <cfRule type="expression" dxfId="2515" priority="3091" stopIfTrue="1">
      <formula>AND($B55="Tender Received",$D55&lt;=(TODAY()+3))</formula>
    </cfRule>
    <cfRule type="expression" dxfId="2514" priority="3092" stopIfTrue="1">
      <formula>$B55="Tender Received"</formula>
    </cfRule>
  </conditionalFormatting>
  <conditionalFormatting sqref="B917 O917:R917 D917:K918">
    <cfRule type="expression" dxfId="2513" priority="3065" stopIfTrue="1">
      <formula>AND($B917="Tender Received",$D917&lt;=(TODAY()+3))</formula>
    </cfRule>
    <cfRule type="expression" dxfId="2512" priority="3066" stopIfTrue="1">
      <formula>$B917="Tender Received"</formula>
    </cfRule>
  </conditionalFormatting>
  <conditionalFormatting sqref="M917:N917">
    <cfRule type="expression" dxfId="2511" priority="3063" stopIfTrue="1">
      <formula>AND($B917="Tender Received",$D917&lt;=(TODAY()+3))</formula>
    </cfRule>
    <cfRule type="expression" dxfId="2510" priority="3064" stopIfTrue="1">
      <formula>$B917="Tender Received"</formula>
    </cfRule>
  </conditionalFormatting>
  <conditionalFormatting sqref="L917">
    <cfRule type="expression" dxfId="2509" priority="3061" stopIfTrue="1">
      <formula>AND($B917="Tender Received",$D917&lt;=(TODAY()+3))</formula>
    </cfRule>
    <cfRule type="expression" dxfId="2508" priority="3062" stopIfTrue="1">
      <formula>$B917="Tender Received"</formula>
    </cfRule>
  </conditionalFormatting>
  <conditionalFormatting sqref="C917:C918">
    <cfRule type="expression" dxfId="2507" priority="3059" stopIfTrue="1">
      <formula>AND($B917="Tender Received",$D917&lt;=(TODAY()+3))</formula>
    </cfRule>
    <cfRule type="expression" dxfId="2506" priority="3060" stopIfTrue="1">
      <formula>$B917="Tender Received"</formula>
    </cfRule>
  </conditionalFormatting>
  <conditionalFormatting sqref="M917:R917 B918:G918 M918:P918 R918 D917:G917 H917:K918">
    <cfRule type="expression" dxfId="2505" priority="3057" stopIfTrue="1">
      <formula>AND($B917="Tender Received",$D917&lt;=(TODAY()+3))</formula>
    </cfRule>
    <cfRule type="expression" dxfId="2504" priority="3058" stopIfTrue="1">
      <formula>$B917="Tender Received"</formula>
    </cfRule>
  </conditionalFormatting>
  <conditionalFormatting sqref="M918:N918">
    <cfRule type="expression" dxfId="2503" priority="3055" stopIfTrue="1">
      <formula>AND($B918="Tender Received",$D918&lt;=(TODAY()+3))</formula>
    </cfRule>
    <cfRule type="expression" dxfId="2502" priority="3056" stopIfTrue="1">
      <formula>$B918="Tender Received"</formula>
    </cfRule>
  </conditionalFormatting>
  <conditionalFormatting sqref="L918">
    <cfRule type="expression" dxfId="2501" priority="3053" stopIfTrue="1">
      <formula>AND($B918="Tender Received",$D918&lt;=(TODAY()+3))</formula>
    </cfRule>
    <cfRule type="expression" dxfId="2500" priority="3054" stopIfTrue="1">
      <formula>$B918="Tender Received"</formula>
    </cfRule>
  </conditionalFormatting>
  <conditionalFormatting sqref="C918">
    <cfRule type="expression" dxfId="2499" priority="3051" stopIfTrue="1">
      <formula>AND($B918="Tender Received",$D918&lt;=(TODAY()+3))</formula>
    </cfRule>
    <cfRule type="expression" dxfId="2498" priority="3052" stopIfTrue="1">
      <formula>$B918="Tender Received"</formula>
    </cfRule>
  </conditionalFormatting>
  <conditionalFormatting sqref="L918">
    <cfRule type="expression" dxfId="2497" priority="3049" stopIfTrue="1">
      <formula>AND($B918="Tender Received",$D918&lt;=(TODAY()+3))</formula>
    </cfRule>
    <cfRule type="expression" dxfId="2496" priority="3050" stopIfTrue="1">
      <formula>$B918="Tender Received"</formula>
    </cfRule>
  </conditionalFormatting>
  <conditionalFormatting sqref="C917:C918">
    <cfRule type="expression" dxfId="2495" priority="3047" stopIfTrue="1">
      <formula>AND($B917="Tender Received",$D917&lt;=(TODAY()+3))</formula>
    </cfRule>
    <cfRule type="expression" dxfId="2494" priority="3048" stopIfTrue="1">
      <formula>$B917="Tender Received"</formula>
    </cfRule>
  </conditionalFormatting>
  <conditionalFormatting sqref="L917">
    <cfRule type="expression" dxfId="2493" priority="3045" stopIfTrue="1">
      <formula>AND($B917="Tender Received",$D917&lt;=(TODAY()+3))</formula>
    </cfRule>
    <cfRule type="expression" dxfId="2492" priority="3046" stopIfTrue="1">
      <formula>$B917="Tender Received"</formula>
    </cfRule>
  </conditionalFormatting>
  <conditionalFormatting sqref="H918:I918">
    <cfRule type="expression" dxfId="2491" priority="3043" stopIfTrue="1">
      <formula>AND($B918="Tender Received",$D918&lt;=(TODAY()+3))</formula>
    </cfRule>
    <cfRule type="expression" dxfId="2490" priority="3044" stopIfTrue="1">
      <formula>$B918="Tender Received"</formula>
    </cfRule>
  </conditionalFormatting>
  <conditionalFormatting sqref="Q918">
    <cfRule type="expression" dxfId="2489" priority="3041" stopIfTrue="1">
      <formula>AND($B918="Tender Received",$D918&lt;=(TODAY()+3))</formula>
    </cfRule>
    <cfRule type="expression" dxfId="2488" priority="3042" stopIfTrue="1">
      <formula>$B918="Tender Received"</formula>
    </cfRule>
  </conditionalFormatting>
  <conditionalFormatting sqref="I917">
    <cfRule type="expression" dxfId="2487" priority="3039" stopIfTrue="1">
      <formula>AND($B917="Tender Received",$D917&lt;=(TODAY()+3))</formula>
    </cfRule>
    <cfRule type="expression" dxfId="2486" priority="3040" stopIfTrue="1">
      <formula>$B917="Tender Received"</formula>
    </cfRule>
  </conditionalFormatting>
  <conditionalFormatting sqref="B919:K920 L920:R920 M919:P919 R919">
    <cfRule type="expression" dxfId="2485" priority="3031" stopIfTrue="1">
      <formula>AND($B919="Tender Received",$D919&lt;=(TODAY()+3))</formula>
    </cfRule>
    <cfRule type="expression" dxfId="2484" priority="3032" stopIfTrue="1">
      <formula>$B919="Tender Received"</formula>
    </cfRule>
  </conditionalFormatting>
  <conditionalFormatting sqref="L920">
    <cfRule type="expression" dxfId="2483" priority="3029" stopIfTrue="1">
      <formula>AND($B920="Tender Received",$D920&lt;=(TODAY()+3))</formula>
    </cfRule>
    <cfRule type="expression" dxfId="2482" priority="3030" stopIfTrue="1">
      <formula>$B920="Tender Received"</formula>
    </cfRule>
  </conditionalFormatting>
  <conditionalFormatting sqref="C919">
    <cfRule type="expression" dxfId="2481" priority="3027" stopIfTrue="1">
      <formula>AND($B919="Tender Received",$D919&lt;=(TODAY()+3))</formula>
    </cfRule>
    <cfRule type="expression" dxfId="2480" priority="3028" stopIfTrue="1">
      <formula>$B919="Tender Received"</formula>
    </cfRule>
  </conditionalFormatting>
  <conditionalFormatting sqref="L919">
    <cfRule type="expression" dxfId="2479" priority="3025" stopIfTrue="1">
      <formula>AND($B919="Tender Received",$D919&lt;=(TODAY()+3))</formula>
    </cfRule>
    <cfRule type="expression" dxfId="2478" priority="3026" stopIfTrue="1">
      <formula>$B919="Tender Received"</formula>
    </cfRule>
  </conditionalFormatting>
  <conditionalFormatting sqref="L919">
    <cfRule type="expression" dxfId="2477" priority="3023" stopIfTrue="1">
      <formula>AND($B919="Tender Received",$D919&lt;=(TODAY()+3))</formula>
    </cfRule>
    <cfRule type="expression" dxfId="2476" priority="3024" stopIfTrue="1">
      <formula>$B919="Tender Received"</formula>
    </cfRule>
  </conditionalFormatting>
  <conditionalFormatting sqref="C920:H920 J920:K920 M920:R920">
    <cfRule type="expression" dxfId="2475" priority="3021" stopIfTrue="1">
      <formula>AND($B920="Tender Received",$D920&lt;=(TODAY()+3))</formula>
    </cfRule>
    <cfRule type="expression" dxfId="2474" priority="3022" stopIfTrue="1">
      <formula>$B920="Tender Received"</formula>
    </cfRule>
  </conditionalFormatting>
  <conditionalFormatting sqref="L920">
    <cfRule type="expression" dxfId="2473" priority="3019" stopIfTrue="1">
      <formula>AND($B920="Tender Received",$D920&lt;=(TODAY()+3))</formula>
    </cfRule>
    <cfRule type="expression" dxfId="2472" priority="3020" stopIfTrue="1">
      <formula>$B920="Tender Received"</formula>
    </cfRule>
  </conditionalFormatting>
  <conditionalFormatting sqref="I920">
    <cfRule type="expression" dxfId="2471" priority="3017" stopIfTrue="1">
      <formula>AND($B920="Tender Received",$D920&lt;=(TODAY()+3))</formula>
    </cfRule>
    <cfRule type="expression" dxfId="2470" priority="3018" stopIfTrue="1">
      <formula>$B920="Tender Received"</formula>
    </cfRule>
  </conditionalFormatting>
  <conditionalFormatting sqref="Q919">
    <cfRule type="expression" dxfId="2469" priority="3015" stopIfTrue="1">
      <formula>AND($B919="Tender Received",$D919&lt;=(TODAY()+3))</formula>
    </cfRule>
    <cfRule type="expression" dxfId="2468" priority="3016" stopIfTrue="1">
      <formula>$B919="Tender Received"</formula>
    </cfRule>
  </conditionalFormatting>
  <conditionalFormatting sqref="B921:B922 O921:R922 D921:K922">
    <cfRule type="expression" dxfId="2467" priority="3013" stopIfTrue="1">
      <formula>AND($B921="Tender Received",$D921&lt;=(TODAY()+3))</formula>
    </cfRule>
    <cfRule type="expression" dxfId="2466" priority="3014" stopIfTrue="1">
      <formula>$B921="Tender Received"</formula>
    </cfRule>
  </conditionalFormatting>
  <conditionalFormatting sqref="I922">
    <cfRule type="expression" dxfId="2465" priority="3011" stopIfTrue="1">
      <formula>AND($B922="Tender Received",$D922&lt;=(TODAY()+3))</formula>
    </cfRule>
    <cfRule type="expression" dxfId="2464" priority="3012" stopIfTrue="1">
      <formula>$B922="Tender Received"</formula>
    </cfRule>
  </conditionalFormatting>
  <conditionalFormatting sqref="M921:N922">
    <cfRule type="expression" dxfId="2463" priority="3009" stopIfTrue="1">
      <formula>AND($B921="Tender Received",$D921&lt;=(TODAY()+3))</formula>
    </cfRule>
    <cfRule type="expression" dxfId="2462" priority="3010" stopIfTrue="1">
      <formula>$B921="Tender Received"</formula>
    </cfRule>
  </conditionalFormatting>
  <conditionalFormatting sqref="C921:C922">
    <cfRule type="expression" dxfId="2461" priority="3007" stopIfTrue="1">
      <formula>AND($B921="Tender Received",$D921&lt;=(TODAY()+3))</formula>
    </cfRule>
    <cfRule type="expression" dxfId="2460" priority="3008" stopIfTrue="1">
      <formula>$B921="Tender Received"</formula>
    </cfRule>
  </conditionalFormatting>
  <conditionalFormatting sqref="O922:R922 D922:K922">
    <cfRule type="expression" dxfId="2459" priority="3005" stopIfTrue="1">
      <formula>AND($B922="Tender Received",$D922&lt;=(TODAY()+3))</formula>
    </cfRule>
    <cfRule type="expression" dxfId="2458" priority="3006" stopIfTrue="1">
      <formula>$B922="Tender Received"</formula>
    </cfRule>
  </conditionalFormatting>
  <conditionalFormatting sqref="L921">
    <cfRule type="expression" dxfId="2457" priority="3003" stopIfTrue="1">
      <formula>AND($B921="Tender Received",$D921&lt;=(TODAY()+3))</formula>
    </cfRule>
    <cfRule type="expression" dxfId="2456" priority="3004" stopIfTrue="1">
      <formula>$B921="Tender Received"</formula>
    </cfRule>
  </conditionalFormatting>
  <conditionalFormatting sqref="L921">
    <cfRule type="expression" dxfId="2455" priority="3001" stopIfTrue="1">
      <formula>AND($B921="Tender Received",$D921&lt;=(TODAY()+3))</formula>
    </cfRule>
    <cfRule type="expression" dxfId="2454" priority="3002" stopIfTrue="1">
      <formula>$B921="Tender Received"</formula>
    </cfRule>
  </conditionalFormatting>
  <conditionalFormatting sqref="M922:N922">
    <cfRule type="expression" dxfId="2453" priority="2999" stopIfTrue="1">
      <formula>AND($B922="Tender Received",$D922&lt;=(TODAY()+3))</formula>
    </cfRule>
    <cfRule type="expression" dxfId="2452" priority="3000" stopIfTrue="1">
      <formula>$B922="Tender Received"</formula>
    </cfRule>
  </conditionalFormatting>
  <conditionalFormatting sqref="C922">
    <cfRule type="expression" dxfId="2451" priority="2997" stopIfTrue="1">
      <formula>AND($B922="Tender Received",$D922&lt;=(TODAY()+3))</formula>
    </cfRule>
    <cfRule type="expression" dxfId="2450" priority="2998" stopIfTrue="1">
      <formula>$B922="Tender Received"</formula>
    </cfRule>
  </conditionalFormatting>
  <conditionalFormatting sqref="C921">
    <cfRule type="expression" dxfId="2449" priority="2995" stopIfTrue="1">
      <formula>AND($B921="Tender Received",$D921&lt;=(TODAY()+3))</formula>
    </cfRule>
    <cfRule type="expression" dxfId="2448" priority="2996" stopIfTrue="1">
      <formula>$B921="Tender Received"</formula>
    </cfRule>
  </conditionalFormatting>
  <conditionalFormatting sqref="L922">
    <cfRule type="expression" dxfId="2447" priority="2993" stopIfTrue="1">
      <formula>AND($B922="Tender Received",$D922&lt;=(TODAY()+3))</formula>
    </cfRule>
    <cfRule type="expression" dxfId="2446" priority="2994" stopIfTrue="1">
      <formula>$B922="Tender Received"</formula>
    </cfRule>
  </conditionalFormatting>
  <conditionalFormatting sqref="L922">
    <cfRule type="expression" dxfId="2445" priority="2991" stopIfTrue="1">
      <formula>AND($B922="Tender Received",$D922&lt;=(TODAY()+3))</formula>
    </cfRule>
    <cfRule type="expression" dxfId="2444" priority="2992" stopIfTrue="1">
      <formula>$B922="Tender Received"</formula>
    </cfRule>
  </conditionalFormatting>
  <conditionalFormatting sqref="I921">
    <cfRule type="expression" dxfId="2443" priority="2989" stopIfTrue="1">
      <formula>AND($B921="Tender Received",$D921&lt;=(TODAY()+3))</formula>
    </cfRule>
    <cfRule type="expression" dxfId="2442" priority="2990" stopIfTrue="1">
      <formula>$B921="Tender Received"</formula>
    </cfRule>
  </conditionalFormatting>
  <conditionalFormatting sqref="C922">
    <cfRule type="expression" dxfId="2441" priority="2987" stopIfTrue="1">
      <formula>AND($B922="Tender Received",$D922&lt;=(TODAY()+3))</formula>
    </cfRule>
    <cfRule type="expression" dxfId="2440" priority="2988" stopIfTrue="1">
      <formula>$B922="Tender Received"</formula>
    </cfRule>
  </conditionalFormatting>
  <conditionalFormatting sqref="J921">
    <cfRule type="expression" dxfId="2439" priority="2985" stopIfTrue="1">
      <formula>AND($B921="Tender Received",$D921&lt;=(TODAY()+3))</formula>
    </cfRule>
    <cfRule type="expression" dxfId="2438" priority="2986" stopIfTrue="1">
      <formula>$B921="Tender Received"</formula>
    </cfRule>
  </conditionalFormatting>
  <conditionalFormatting sqref="H206">
    <cfRule type="expression" dxfId="2437" priority="2983" stopIfTrue="1">
      <formula>AND($B206="Tender Received",$D206&lt;=(TODAY()+3))</formula>
    </cfRule>
    <cfRule type="expression" dxfId="2436" priority="2984" stopIfTrue="1">
      <formula>$B206="Tender Received"</formula>
    </cfRule>
  </conditionalFormatting>
  <conditionalFormatting sqref="H258">
    <cfRule type="expression" dxfId="2435" priority="2981" stopIfTrue="1">
      <formula>AND($B258="Tender Received",$D258&lt;=(TODAY()+3))</formula>
    </cfRule>
    <cfRule type="expression" dxfId="2434" priority="2982" stopIfTrue="1">
      <formula>$B258="Tender Received"</formula>
    </cfRule>
  </conditionalFormatting>
  <conditionalFormatting sqref="O42">
    <cfRule type="expression" dxfId="2433" priority="2977" stopIfTrue="1">
      <formula>AND($B42="Tender Received",$D42&lt;=(TODAY()+3))</formula>
    </cfRule>
    <cfRule type="expression" dxfId="2432" priority="2978" stopIfTrue="1">
      <formula>$B42="Tender Received"</formula>
    </cfRule>
  </conditionalFormatting>
  <conditionalFormatting sqref="H57">
    <cfRule type="expression" dxfId="2431" priority="2975" stopIfTrue="1">
      <formula>AND($B57="Tender Received",$D57&lt;=(TODAY()+3))</formula>
    </cfRule>
    <cfRule type="expression" dxfId="2430" priority="2976" stopIfTrue="1">
      <formula>$B57="Tender Received"</formula>
    </cfRule>
  </conditionalFormatting>
  <conditionalFormatting sqref="Q57">
    <cfRule type="expression" dxfId="2429" priority="2973" stopIfTrue="1">
      <formula>AND($B57="Tender Received",$D57&lt;=(TODAY()+3))</formula>
    </cfRule>
    <cfRule type="expression" dxfId="2428" priority="2974" stopIfTrue="1">
      <formula>$B57="Tender Received"</formula>
    </cfRule>
  </conditionalFormatting>
  <conditionalFormatting sqref="H96">
    <cfRule type="expression" dxfId="2427" priority="2971" stopIfTrue="1">
      <formula>AND($B96="Tender Received",$D96&lt;=(TODAY()+3))</formula>
    </cfRule>
    <cfRule type="expression" dxfId="2426" priority="2972" stopIfTrue="1">
      <formula>$B96="Tender Received"</formula>
    </cfRule>
  </conditionalFormatting>
  <conditionalFormatting sqref="Q96">
    <cfRule type="expression" dxfId="2425" priority="2969" stopIfTrue="1">
      <formula>AND($B96="Tender Received",$D96&lt;=(TODAY()+3))</formula>
    </cfRule>
    <cfRule type="expression" dxfId="2424" priority="2970" stopIfTrue="1">
      <formula>$B96="Tender Received"</formula>
    </cfRule>
  </conditionalFormatting>
  <conditionalFormatting sqref="H101">
    <cfRule type="expression" dxfId="2423" priority="2967" stopIfTrue="1">
      <formula>AND($B101="Tender Received",$D101&lt;=(TODAY()+3))</formula>
    </cfRule>
    <cfRule type="expression" dxfId="2422" priority="2968" stopIfTrue="1">
      <formula>$B101="Tender Received"</formula>
    </cfRule>
  </conditionalFormatting>
  <conditionalFormatting sqref="Q101">
    <cfRule type="expression" dxfId="2421" priority="2965" stopIfTrue="1">
      <formula>AND($B101="Tender Received",$D101&lt;=(TODAY()+3))</formula>
    </cfRule>
    <cfRule type="expression" dxfId="2420" priority="2966" stopIfTrue="1">
      <formula>$B101="Tender Received"</formula>
    </cfRule>
  </conditionalFormatting>
  <conditionalFormatting sqref="H116">
    <cfRule type="expression" dxfId="2419" priority="2963" stopIfTrue="1">
      <formula>AND($B116="Tender Received",$D116&lt;=(TODAY()+3))</formula>
    </cfRule>
    <cfRule type="expression" dxfId="2418" priority="2964" stopIfTrue="1">
      <formula>$B116="Tender Received"</formula>
    </cfRule>
  </conditionalFormatting>
  <conditionalFormatting sqref="G116">
    <cfRule type="expression" dxfId="2417" priority="2961" stopIfTrue="1">
      <formula>AND($B116="Tender Received",$D116&lt;=(TODAY()+3))</formula>
    </cfRule>
    <cfRule type="expression" dxfId="2416" priority="2962" stopIfTrue="1">
      <formula>$B116="Tender Received"</formula>
    </cfRule>
  </conditionalFormatting>
  <conditionalFormatting sqref="Q116">
    <cfRule type="expression" dxfId="2415" priority="2959" stopIfTrue="1">
      <formula>AND($B116="Tender Received",$D116&lt;=(TODAY()+3))</formula>
    </cfRule>
    <cfRule type="expression" dxfId="2414" priority="2960" stopIfTrue="1">
      <formula>$B116="Tender Received"</formula>
    </cfRule>
  </conditionalFormatting>
  <conditionalFormatting sqref="H139">
    <cfRule type="expression" dxfId="2413" priority="2957" stopIfTrue="1">
      <formula>AND($B139="Tender Received",$D139&lt;=(TODAY()+3))</formula>
    </cfRule>
    <cfRule type="expression" dxfId="2412" priority="2958" stopIfTrue="1">
      <formula>$B139="Tender Received"</formula>
    </cfRule>
  </conditionalFormatting>
  <conditionalFormatting sqref="Q139">
    <cfRule type="expression" dxfId="2411" priority="2955" stopIfTrue="1">
      <formula>AND($B139="Tender Received",$D139&lt;=(TODAY()+3))</formula>
    </cfRule>
    <cfRule type="expression" dxfId="2410" priority="2956" stopIfTrue="1">
      <formula>$B139="Tender Received"</formula>
    </cfRule>
  </conditionalFormatting>
  <conditionalFormatting sqref="B923:R925">
    <cfRule type="expression" dxfId="2409" priority="2953" stopIfTrue="1">
      <formula>AND($B923="Tender Received",$D923&lt;=(TODAY()+3))</formula>
    </cfRule>
    <cfRule type="expression" dxfId="2408" priority="2954" stopIfTrue="1">
      <formula>$B923="Tender Received"</formula>
    </cfRule>
  </conditionalFormatting>
  <conditionalFormatting sqref="L923:L925">
    <cfRule type="expression" dxfId="2407" priority="2951" stopIfTrue="1">
      <formula>AND($B923="Tender Received",$D923&lt;=(TODAY()+3))</formula>
    </cfRule>
    <cfRule type="expression" dxfId="2406" priority="2952" stopIfTrue="1">
      <formula>$B923="Tender Received"</formula>
    </cfRule>
  </conditionalFormatting>
  <conditionalFormatting sqref="J923:K925 M923:R925 C923:H925">
    <cfRule type="expression" dxfId="2405" priority="2949" stopIfTrue="1">
      <formula>AND($B923="Tender Received",$D923&lt;=(TODAY()+3))</formula>
    </cfRule>
    <cfRule type="expression" dxfId="2404" priority="2950" stopIfTrue="1">
      <formula>$B923="Tender Received"</formula>
    </cfRule>
  </conditionalFormatting>
  <conditionalFormatting sqref="L923:L925">
    <cfRule type="expression" dxfId="2403" priority="2947" stopIfTrue="1">
      <formula>AND($B923="Tender Received",$D923&lt;=(TODAY()+3))</formula>
    </cfRule>
    <cfRule type="expression" dxfId="2402" priority="2948" stopIfTrue="1">
      <formula>$B923="Tender Received"</formula>
    </cfRule>
  </conditionalFormatting>
  <conditionalFormatting sqref="I923:I925">
    <cfRule type="expression" dxfId="2401" priority="2945" stopIfTrue="1">
      <formula>AND($B923="Tender Received",$D923&lt;=(TODAY()+3))</formula>
    </cfRule>
    <cfRule type="expression" dxfId="2400" priority="2946" stopIfTrue="1">
      <formula>$B923="Tender Received"</formula>
    </cfRule>
  </conditionalFormatting>
  <conditionalFormatting sqref="I119">
    <cfRule type="expression" dxfId="2399" priority="2931" stopIfTrue="1">
      <formula>AND($B119="Tender Received",$D119&lt;=(TODAY()+3))</formula>
    </cfRule>
    <cfRule type="expression" dxfId="2398" priority="2932" stopIfTrue="1">
      <formula>$B119="Tender Received"</formula>
    </cfRule>
  </conditionalFormatting>
  <conditionalFormatting sqref="B926:B927 O926:R927 K926:K927 D926:H927">
    <cfRule type="expression" dxfId="2397" priority="2915" stopIfTrue="1">
      <formula>AND($B926="Tender Received",$D926&lt;=(TODAY()+3))</formula>
    </cfRule>
    <cfRule type="expression" dxfId="2396" priority="2916" stopIfTrue="1">
      <formula>$B926="Tender Received"</formula>
    </cfRule>
  </conditionalFormatting>
  <conditionalFormatting sqref="M926:N927">
    <cfRule type="expression" dxfId="2395" priority="2913" stopIfTrue="1">
      <formula>AND($B926="Tender Received",$D926&lt;=(TODAY()+3))</formula>
    </cfRule>
    <cfRule type="expression" dxfId="2394" priority="2914" stopIfTrue="1">
      <formula>$B926="Tender Received"</formula>
    </cfRule>
  </conditionalFormatting>
  <conditionalFormatting sqref="L926:L927">
    <cfRule type="expression" dxfId="2393" priority="2911" stopIfTrue="1">
      <formula>AND($B926="Tender Received",$D926&lt;=(TODAY()+3))</formula>
    </cfRule>
    <cfRule type="expression" dxfId="2392" priority="2912" stopIfTrue="1">
      <formula>$B926="Tender Received"</formula>
    </cfRule>
  </conditionalFormatting>
  <conditionalFormatting sqref="C926:C927">
    <cfRule type="expression" dxfId="2391" priority="2909" stopIfTrue="1">
      <formula>AND($B926="Tender Received",$D926&lt;=(TODAY()+3))</formula>
    </cfRule>
    <cfRule type="expression" dxfId="2390" priority="2910" stopIfTrue="1">
      <formula>$B926="Tender Received"</formula>
    </cfRule>
  </conditionalFormatting>
  <conditionalFormatting sqref="L926:L927">
    <cfRule type="expression" dxfId="2389" priority="2907" stopIfTrue="1">
      <formula>AND($B926="Tender Received",$D926&lt;=(TODAY()+3))</formula>
    </cfRule>
    <cfRule type="expression" dxfId="2388" priority="2908" stopIfTrue="1">
      <formula>$B926="Tender Received"</formula>
    </cfRule>
  </conditionalFormatting>
  <conditionalFormatting sqref="J926:J927">
    <cfRule type="expression" dxfId="2387" priority="2905" stopIfTrue="1">
      <formula>AND($B926="Tender Received",$D926&lt;=(TODAY()+3))</formula>
    </cfRule>
    <cfRule type="expression" dxfId="2386" priority="2906" stopIfTrue="1">
      <formula>$B926="Tender Received"</formula>
    </cfRule>
  </conditionalFormatting>
  <conditionalFormatting sqref="I926:I927">
    <cfRule type="expression" dxfId="2385" priority="2903" stopIfTrue="1">
      <formula>AND($B926="Tender Received",$D926&lt;=(TODAY()+3))</formula>
    </cfRule>
    <cfRule type="expression" dxfId="2384" priority="2904" stopIfTrue="1">
      <formula>$B926="Tender Received"</formula>
    </cfRule>
  </conditionalFormatting>
  <conditionalFormatting sqref="B929 O929:R929 D929:K929">
    <cfRule type="expression" dxfId="2383" priority="2901" stopIfTrue="1">
      <formula>AND($B929="Tender Received",$D929&lt;=(TODAY()+3))</formula>
    </cfRule>
    <cfRule type="expression" dxfId="2382" priority="2902" stopIfTrue="1">
      <formula>$B929="Tender Received"</formula>
    </cfRule>
  </conditionalFormatting>
  <conditionalFormatting sqref="I929">
    <cfRule type="expression" dxfId="2381" priority="2899" stopIfTrue="1">
      <formula>AND($B929="Tender Received",$D929&lt;=(TODAY()+3))</formula>
    </cfRule>
    <cfRule type="expression" dxfId="2380" priority="2900" stopIfTrue="1">
      <formula>$B929="Tender Received"</formula>
    </cfRule>
  </conditionalFormatting>
  <conditionalFormatting sqref="M929:N929">
    <cfRule type="expression" dxfId="2379" priority="2897" stopIfTrue="1">
      <formula>AND($B929="Tender Received",$D929&lt;=(TODAY()+3))</formula>
    </cfRule>
    <cfRule type="expression" dxfId="2378" priority="2898" stopIfTrue="1">
      <formula>$B929="Tender Received"</formula>
    </cfRule>
  </conditionalFormatting>
  <conditionalFormatting sqref="C929">
    <cfRule type="expression" dxfId="2377" priority="2895" stopIfTrue="1">
      <formula>AND($B929="Tender Received",$D929&lt;=(TODAY()+3))</formula>
    </cfRule>
    <cfRule type="expression" dxfId="2376" priority="2896" stopIfTrue="1">
      <formula>$B929="Tender Received"</formula>
    </cfRule>
  </conditionalFormatting>
  <conditionalFormatting sqref="O929:R929 D929:K929">
    <cfRule type="expression" dxfId="2375" priority="2893" stopIfTrue="1">
      <formula>AND($B929="Tender Received",$D929&lt;=(TODAY()+3))</formula>
    </cfRule>
    <cfRule type="expression" dxfId="2374" priority="2894" stopIfTrue="1">
      <formula>$B929="Tender Received"</formula>
    </cfRule>
  </conditionalFormatting>
  <conditionalFormatting sqref="M929:N929">
    <cfRule type="expression" dxfId="2373" priority="2891" stopIfTrue="1">
      <formula>AND($B929="Tender Received",$D929&lt;=(TODAY()+3))</formula>
    </cfRule>
    <cfRule type="expression" dxfId="2372" priority="2892" stopIfTrue="1">
      <formula>$B929="Tender Received"</formula>
    </cfRule>
  </conditionalFormatting>
  <conditionalFormatting sqref="C929">
    <cfRule type="expression" dxfId="2371" priority="2889" stopIfTrue="1">
      <formula>AND($B929="Tender Received",$D929&lt;=(TODAY()+3))</formula>
    </cfRule>
    <cfRule type="expression" dxfId="2370" priority="2890" stopIfTrue="1">
      <formula>$B929="Tender Received"</formula>
    </cfRule>
  </conditionalFormatting>
  <conditionalFormatting sqref="L929">
    <cfRule type="expression" dxfId="2369" priority="2887" stopIfTrue="1">
      <formula>AND($B929="Tender Received",$D929&lt;=(TODAY()+3))</formula>
    </cfRule>
    <cfRule type="expression" dxfId="2368" priority="2888" stopIfTrue="1">
      <formula>$B929="Tender Received"</formula>
    </cfRule>
  </conditionalFormatting>
  <conditionalFormatting sqref="L929">
    <cfRule type="expression" dxfId="2367" priority="2885" stopIfTrue="1">
      <formula>AND($B929="Tender Received",$D929&lt;=(TODAY()+3))</formula>
    </cfRule>
    <cfRule type="expression" dxfId="2366" priority="2886" stopIfTrue="1">
      <formula>$B929="Tender Received"</formula>
    </cfRule>
  </conditionalFormatting>
  <conditionalFormatting sqref="C929">
    <cfRule type="expression" dxfId="2365" priority="2883" stopIfTrue="1">
      <formula>AND($B929="Tender Received",$D929&lt;=(TODAY()+3))</formula>
    </cfRule>
    <cfRule type="expression" dxfId="2364" priority="2884" stopIfTrue="1">
      <formula>$B929="Tender Received"</formula>
    </cfRule>
  </conditionalFormatting>
  <conditionalFormatting sqref="B930 O930:R930 D930:K930">
    <cfRule type="expression" dxfId="2363" priority="2881" stopIfTrue="1">
      <formula>AND($B930="Tender Received",$D930&lt;=(TODAY()+3))</formula>
    </cfRule>
    <cfRule type="expression" dxfId="2362" priority="2882" stopIfTrue="1">
      <formula>$B930="Tender Received"</formula>
    </cfRule>
  </conditionalFormatting>
  <conditionalFormatting sqref="I930">
    <cfRule type="expression" dxfId="2361" priority="2879" stopIfTrue="1">
      <formula>AND($B930="Tender Received",$D930&lt;=(TODAY()+3))</formula>
    </cfRule>
    <cfRule type="expression" dxfId="2360" priority="2880" stopIfTrue="1">
      <formula>$B930="Tender Received"</formula>
    </cfRule>
  </conditionalFormatting>
  <conditionalFormatting sqref="M930:N930">
    <cfRule type="expression" dxfId="2359" priority="2877" stopIfTrue="1">
      <formula>AND($B930="Tender Received",$D930&lt;=(TODAY()+3))</formula>
    </cfRule>
    <cfRule type="expression" dxfId="2358" priority="2878" stopIfTrue="1">
      <formula>$B930="Tender Received"</formula>
    </cfRule>
  </conditionalFormatting>
  <conditionalFormatting sqref="C930">
    <cfRule type="expression" dxfId="2357" priority="2875" stopIfTrue="1">
      <formula>AND($B930="Tender Received",$D930&lt;=(TODAY()+3))</formula>
    </cfRule>
    <cfRule type="expression" dxfId="2356" priority="2876" stopIfTrue="1">
      <formula>$B930="Tender Received"</formula>
    </cfRule>
  </conditionalFormatting>
  <conditionalFormatting sqref="O930:R930 D930:K930">
    <cfRule type="expression" dxfId="2355" priority="2873" stopIfTrue="1">
      <formula>AND($B930="Tender Received",$D930&lt;=(TODAY()+3))</formula>
    </cfRule>
    <cfRule type="expression" dxfId="2354" priority="2874" stopIfTrue="1">
      <formula>$B930="Tender Received"</formula>
    </cfRule>
  </conditionalFormatting>
  <conditionalFormatting sqref="M930:N930">
    <cfRule type="expression" dxfId="2353" priority="2871" stopIfTrue="1">
      <formula>AND($B930="Tender Received",$D930&lt;=(TODAY()+3))</formula>
    </cfRule>
    <cfRule type="expression" dxfId="2352" priority="2872" stopIfTrue="1">
      <formula>$B930="Tender Received"</formula>
    </cfRule>
  </conditionalFormatting>
  <conditionalFormatting sqref="C930">
    <cfRule type="expression" dxfId="2351" priority="2869" stopIfTrue="1">
      <formula>AND($B930="Tender Received",$D930&lt;=(TODAY()+3))</formula>
    </cfRule>
    <cfRule type="expression" dxfId="2350" priority="2870" stopIfTrue="1">
      <formula>$B930="Tender Received"</formula>
    </cfRule>
  </conditionalFormatting>
  <conditionalFormatting sqref="L930">
    <cfRule type="expression" dxfId="2349" priority="2867" stopIfTrue="1">
      <formula>AND($B930="Tender Received",$D930&lt;=(TODAY()+3))</formula>
    </cfRule>
    <cfRule type="expression" dxfId="2348" priority="2868" stopIfTrue="1">
      <formula>$B930="Tender Received"</formula>
    </cfRule>
  </conditionalFormatting>
  <conditionalFormatting sqref="L930">
    <cfRule type="expression" dxfId="2347" priority="2865" stopIfTrue="1">
      <formula>AND($B930="Tender Received",$D930&lt;=(TODAY()+3))</formula>
    </cfRule>
    <cfRule type="expression" dxfId="2346" priority="2866" stopIfTrue="1">
      <formula>$B930="Tender Received"</formula>
    </cfRule>
  </conditionalFormatting>
  <conditionalFormatting sqref="C930">
    <cfRule type="expression" dxfId="2345" priority="2863" stopIfTrue="1">
      <formula>AND($B930="Tender Received",$D930&lt;=(TODAY()+3))</formula>
    </cfRule>
    <cfRule type="expression" dxfId="2344" priority="2864" stopIfTrue="1">
      <formula>$B930="Tender Received"</formula>
    </cfRule>
  </conditionalFormatting>
  <conditionalFormatting sqref="B928 O928:R928 D928:K928">
    <cfRule type="expression" dxfId="2343" priority="2861" stopIfTrue="1">
      <formula>AND($B928="Tender Received",$D928&lt;=(TODAY()+3))</formula>
    </cfRule>
    <cfRule type="expression" dxfId="2342" priority="2862" stopIfTrue="1">
      <formula>$B928="Tender Received"</formula>
    </cfRule>
  </conditionalFormatting>
  <conditionalFormatting sqref="I928">
    <cfRule type="expression" dxfId="2341" priority="2859" stopIfTrue="1">
      <formula>AND($B928="Tender Received",$D928&lt;=(TODAY()+3))</formula>
    </cfRule>
    <cfRule type="expression" dxfId="2340" priority="2860" stopIfTrue="1">
      <formula>$B928="Tender Received"</formula>
    </cfRule>
  </conditionalFormatting>
  <conditionalFormatting sqref="M928:N928">
    <cfRule type="expression" dxfId="2339" priority="2857" stopIfTrue="1">
      <formula>AND($B928="Tender Received",$D928&lt;=(TODAY()+3))</formula>
    </cfRule>
    <cfRule type="expression" dxfId="2338" priority="2858" stopIfTrue="1">
      <formula>$B928="Tender Received"</formula>
    </cfRule>
  </conditionalFormatting>
  <conditionalFormatting sqref="C928">
    <cfRule type="expression" dxfId="2337" priority="2855" stopIfTrue="1">
      <formula>AND($B928="Tender Received",$D928&lt;=(TODAY()+3))</formula>
    </cfRule>
    <cfRule type="expression" dxfId="2336" priority="2856" stopIfTrue="1">
      <formula>$B928="Tender Received"</formula>
    </cfRule>
  </conditionalFormatting>
  <conditionalFormatting sqref="O928:R928 D928:K928">
    <cfRule type="expression" dxfId="2335" priority="2853" stopIfTrue="1">
      <formula>AND($B928="Tender Received",$D928&lt;=(TODAY()+3))</formula>
    </cfRule>
    <cfRule type="expression" dxfId="2334" priority="2854" stopIfTrue="1">
      <formula>$B928="Tender Received"</formula>
    </cfRule>
  </conditionalFormatting>
  <conditionalFormatting sqref="M928:N928">
    <cfRule type="expression" dxfId="2333" priority="2851" stopIfTrue="1">
      <formula>AND($B928="Tender Received",$D928&lt;=(TODAY()+3))</formula>
    </cfRule>
    <cfRule type="expression" dxfId="2332" priority="2852" stopIfTrue="1">
      <formula>$B928="Tender Received"</formula>
    </cfRule>
  </conditionalFormatting>
  <conditionalFormatting sqref="C928">
    <cfRule type="expression" dxfId="2331" priority="2849" stopIfTrue="1">
      <formula>AND($B928="Tender Received",$D928&lt;=(TODAY()+3))</formula>
    </cfRule>
    <cfRule type="expression" dxfId="2330" priority="2850" stopIfTrue="1">
      <formula>$B928="Tender Received"</formula>
    </cfRule>
  </conditionalFormatting>
  <conditionalFormatting sqref="L928">
    <cfRule type="expression" dxfId="2329" priority="2847" stopIfTrue="1">
      <formula>AND($B928="Tender Received",$D928&lt;=(TODAY()+3))</formula>
    </cfRule>
    <cfRule type="expression" dxfId="2328" priority="2848" stopIfTrue="1">
      <formula>$B928="Tender Received"</formula>
    </cfRule>
  </conditionalFormatting>
  <conditionalFormatting sqref="L928">
    <cfRule type="expression" dxfId="2327" priority="2845" stopIfTrue="1">
      <formula>AND($B928="Tender Received",$D928&lt;=(TODAY()+3))</formula>
    </cfRule>
    <cfRule type="expression" dxfId="2326" priority="2846" stopIfTrue="1">
      <formula>$B928="Tender Received"</formula>
    </cfRule>
  </conditionalFormatting>
  <conditionalFormatting sqref="C928">
    <cfRule type="expression" dxfId="2325" priority="2843" stopIfTrue="1">
      <formula>AND($B928="Tender Received",$D928&lt;=(TODAY()+3))</formula>
    </cfRule>
    <cfRule type="expression" dxfId="2324" priority="2844" stopIfTrue="1">
      <formula>$B928="Tender Received"</formula>
    </cfRule>
  </conditionalFormatting>
  <conditionalFormatting sqref="B931 O931:R931 D931:K931">
    <cfRule type="expression" dxfId="2323" priority="2841" stopIfTrue="1">
      <formula>AND($B931="Tender Received",$D931&lt;=(TODAY()+3))</formula>
    </cfRule>
    <cfRule type="expression" dxfId="2322" priority="2842" stopIfTrue="1">
      <formula>$B931="Tender Received"</formula>
    </cfRule>
  </conditionalFormatting>
  <conditionalFormatting sqref="M931:N931">
    <cfRule type="expression" dxfId="2321" priority="2839" stopIfTrue="1">
      <formula>AND($B931="Tender Received",$D931&lt;=(TODAY()+3))</formula>
    </cfRule>
    <cfRule type="expression" dxfId="2320" priority="2840" stopIfTrue="1">
      <formula>$B931="Tender Received"</formula>
    </cfRule>
  </conditionalFormatting>
  <conditionalFormatting sqref="C931">
    <cfRule type="expression" dxfId="2319" priority="2837" stopIfTrue="1">
      <formula>AND($B931="Tender Received",$D931&lt;=(TODAY()+3))</formula>
    </cfRule>
    <cfRule type="expression" dxfId="2318" priority="2838" stopIfTrue="1">
      <formula>$B931="Tender Received"</formula>
    </cfRule>
  </conditionalFormatting>
  <conditionalFormatting sqref="L931">
    <cfRule type="expression" dxfId="2317" priority="2835" stopIfTrue="1">
      <formula>AND($B931="Tender Received",$D931&lt;=(TODAY()+3))</formula>
    </cfRule>
    <cfRule type="expression" dxfId="2316" priority="2836" stopIfTrue="1">
      <formula>$B931="Tender Received"</formula>
    </cfRule>
  </conditionalFormatting>
  <conditionalFormatting sqref="L931">
    <cfRule type="expression" dxfId="2315" priority="2833" stopIfTrue="1">
      <formula>AND($B931="Tender Received",$D931&lt;=(TODAY()+3))</formula>
    </cfRule>
    <cfRule type="expression" dxfId="2314" priority="2834" stopIfTrue="1">
      <formula>$B931="Tender Received"</formula>
    </cfRule>
  </conditionalFormatting>
  <conditionalFormatting sqref="C931">
    <cfRule type="expression" dxfId="2313" priority="2831" stopIfTrue="1">
      <formula>AND($B931="Tender Received",$D931&lt;=(TODAY()+3))</formula>
    </cfRule>
    <cfRule type="expression" dxfId="2312" priority="2832" stopIfTrue="1">
      <formula>$B931="Tender Received"</formula>
    </cfRule>
  </conditionalFormatting>
  <conditionalFormatting sqref="I931">
    <cfRule type="expression" dxfId="2311" priority="2829" stopIfTrue="1">
      <formula>AND($B931="Tender Received",$D931&lt;=(TODAY()+3))</formula>
    </cfRule>
    <cfRule type="expression" dxfId="2310" priority="2830" stopIfTrue="1">
      <formula>$B931="Tender Received"</formula>
    </cfRule>
  </conditionalFormatting>
  <conditionalFormatting sqref="J931">
    <cfRule type="expression" dxfId="2309" priority="2827" stopIfTrue="1">
      <formula>AND($B931="Tender Received",$D931&lt;=(TODAY()+3))</formula>
    </cfRule>
    <cfRule type="expression" dxfId="2308" priority="2828" stopIfTrue="1">
      <formula>$B931="Tender Received"</formula>
    </cfRule>
  </conditionalFormatting>
  <conditionalFormatting sqref="B932:R932">
    <cfRule type="expression" dxfId="2307" priority="2825" stopIfTrue="1">
      <formula>AND($B932="Tender Received",$D932&lt;=(TODAY()+3))</formula>
    </cfRule>
    <cfRule type="expression" dxfId="2306" priority="2826" stopIfTrue="1">
      <formula>$B932="Tender Received"</formula>
    </cfRule>
  </conditionalFormatting>
  <conditionalFormatting sqref="L932">
    <cfRule type="expression" dxfId="2305" priority="2823" stopIfTrue="1">
      <formula>AND($B932="Tender Received",$D932&lt;=(TODAY()+3))</formula>
    </cfRule>
    <cfRule type="expression" dxfId="2304" priority="2824" stopIfTrue="1">
      <formula>$B932="Tender Received"</formula>
    </cfRule>
  </conditionalFormatting>
  <conditionalFormatting sqref="C932:H932 J932:K932 M932:R932">
    <cfRule type="expression" dxfId="2303" priority="2821" stopIfTrue="1">
      <formula>AND($B932="Tender Received",$D932&lt;=(TODAY()+3))</formula>
    </cfRule>
    <cfRule type="expression" dxfId="2302" priority="2822" stopIfTrue="1">
      <formula>$B932="Tender Received"</formula>
    </cfRule>
  </conditionalFormatting>
  <conditionalFormatting sqref="L932">
    <cfRule type="expression" dxfId="2301" priority="2819" stopIfTrue="1">
      <formula>AND($B932="Tender Received",$D932&lt;=(TODAY()+3))</formula>
    </cfRule>
    <cfRule type="expression" dxfId="2300" priority="2820" stopIfTrue="1">
      <formula>$B932="Tender Received"</formula>
    </cfRule>
  </conditionalFormatting>
  <conditionalFormatting sqref="I932">
    <cfRule type="expression" dxfId="2299" priority="2817" stopIfTrue="1">
      <formula>AND($B932="Tender Received",$D932&lt;=(TODAY()+3))</formula>
    </cfRule>
    <cfRule type="expression" dxfId="2298" priority="2818" stopIfTrue="1">
      <formula>$B932="Tender Received"</formula>
    </cfRule>
  </conditionalFormatting>
  <conditionalFormatting sqref="B933:B936 O933:R934 D933:K934 D936:K936 O936:R936">
    <cfRule type="expression" dxfId="2297" priority="2783" stopIfTrue="1">
      <formula>AND($B933="Tender Received",$D933&lt;=(TODAY()+3))</formula>
    </cfRule>
    <cfRule type="expression" dxfId="2296" priority="2784" stopIfTrue="1">
      <formula>$B933="Tender Received"</formula>
    </cfRule>
  </conditionalFormatting>
  <conditionalFormatting sqref="I933:I934 I936">
    <cfRule type="expression" dxfId="2295" priority="2781" stopIfTrue="1">
      <formula>AND($B933="Tender Received",$D933&lt;=(TODAY()+3))</formula>
    </cfRule>
    <cfRule type="expression" dxfId="2294" priority="2782" stopIfTrue="1">
      <formula>$B933="Tender Received"</formula>
    </cfRule>
  </conditionalFormatting>
  <conditionalFormatting sqref="M933:N934 M936:N936">
    <cfRule type="expression" dxfId="2293" priority="2779" stopIfTrue="1">
      <formula>AND($B933="Tender Received",$D933&lt;=(TODAY()+3))</formula>
    </cfRule>
    <cfRule type="expression" dxfId="2292" priority="2780" stopIfTrue="1">
      <formula>$B933="Tender Received"</formula>
    </cfRule>
  </conditionalFormatting>
  <conditionalFormatting sqref="C933:C936">
    <cfRule type="expression" dxfId="2291" priority="2777" stopIfTrue="1">
      <formula>AND($B933="Tender Received",$D933&lt;=(TODAY()+3))</formula>
    </cfRule>
    <cfRule type="expression" dxfId="2290" priority="2778" stopIfTrue="1">
      <formula>$B933="Tender Received"</formula>
    </cfRule>
  </conditionalFormatting>
  <conditionalFormatting sqref="O933:R934 D933:K934 D936:K936 O936:R936">
    <cfRule type="expression" dxfId="2289" priority="2775" stopIfTrue="1">
      <formula>AND($B933="Tender Received",$D933&lt;=(TODAY()+3))</formula>
    </cfRule>
    <cfRule type="expression" dxfId="2288" priority="2776" stopIfTrue="1">
      <formula>$B933="Tender Received"</formula>
    </cfRule>
  </conditionalFormatting>
  <conditionalFormatting sqref="M933:N934 M936:N936">
    <cfRule type="expression" dxfId="2287" priority="2773" stopIfTrue="1">
      <formula>AND($B933="Tender Received",$D933&lt;=(TODAY()+3))</formula>
    </cfRule>
    <cfRule type="expression" dxfId="2286" priority="2774" stopIfTrue="1">
      <formula>$B933="Tender Received"</formula>
    </cfRule>
  </conditionalFormatting>
  <conditionalFormatting sqref="C933:C936">
    <cfRule type="expression" dxfId="2285" priority="2771" stopIfTrue="1">
      <formula>AND($B933="Tender Received",$D933&lt;=(TODAY()+3))</formula>
    </cfRule>
    <cfRule type="expression" dxfId="2284" priority="2772" stopIfTrue="1">
      <formula>$B933="Tender Received"</formula>
    </cfRule>
  </conditionalFormatting>
  <conditionalFormatting sqref="L933:L934 L936">
    <cfRule type="expression" dxfId="2283" priority="2769" stopIfTrue="1">
      <formula>AND($B933="Tender Received",$D933&lt;=(TODAY()+3))</formula>
    </cfRule>
    <cfRule type="expression" dxfId="2282" priority="2770" stopIfTrue="1">
      <formula>$B933="Tender Received"</formula>
    </cfRule>
  </conditionalFormatting>
  <conditionalFormatting sqref="L933:L934 L936">
    <cfRule type="expression" dxfId="2281" priority="2767" stopIfTrue="1">
      <formula>AND($B933="Tender Received",$D933&lt;=(TODAY()+3))</formula>
    </cfRule>
    <cfRule type="expression" dxfId="2280" priority="2768" stopIfTrue="1">
      <formula>$B933="Tender Received"</formula>
    </cfRule>
  </conditionalFormatting>
  <conditionalFormatting sqref="C933:C936">
    <cfRule type="expression" dxfId="2279" priority="2765" stopIfTrue="1">
      <formula>AND($B933="Tender Received",$D933&lt;=(TODAY()+3))</formula>
    </cfRule>
    <cfRule type="expression" dxfId="2278" priority="2766" stopIfTrue="1">
      <formula>$B933="Tender Received"</formula>
    </cfRule>
  </conditionalFormatting>
  <conditionalFormatting sqref="O935:R935 D935:K935">
    <cfRule type="expression" dxfId="2277" priority="2763" stopIfTrue="1">
      <formula>AND($B935="Tender Received",$D935&lt;=(TODAY()+3))</formula>
    </cfRule>
    <cfRule type="expression" dxfId="2276" priority="2764" stopIfTrue="1">
      <formula>$B935="Tender Received"</formula>
    </cfRule>
  </conditionalFormatting>
  <conditionalFormatting sqref="I935">
    <cfRule type="expression" dxfId="2275" priority="2761" stopIfTrue="1">
      <formula>AND($B935="Tender Received",$D935&lt;=(TODAY()+3))</formula>
    </cfRule>
    <cfRule type="expression" dxfId="2274" priority="2762" stopIfTrue="1">
      <formula>$B935="Tender Received"</formula>
    </cfRule>
  </conditionalFormatting>
  <conditionalFormatting sqref="M935:N935">
    <cfRule type="expression" dxfId="2273" priority="2759" stopIfTrue="1">
      <formula>AND($B935="Tender Received",$D935&lt;=(TODAY()+3))</formula>
    </cfRule>
    <cfRule type="expression" dxfId="2272" priority="2760" stopIfTrue="1">
      <formula>$B935="Tender Received"</formula>
    </cfRule>
  </conditionalFormatting>
  <conditionalFormatting sqref="O935:R935 D935:K935">
    <cfRule type="expression" dxfId="2271" priority="2757" stopIfTrue="1">
      <formula>AND($B935="Tender Received",$D935&lt;=(TODAY()+3))</formula>
    </cfRule>
    <cfRule type="expression" dxfId="2270" priority="2758" stopIfTrue="1">
      <formula>$B935="Tender Received"</formula>
    </cfRule>
  </conditionalFormatting>
  <conditionalFormatting sqref="M935:N935">
    <cfRule type="expression" dxfId="2269" priority="2755" stopIfTrue="1">
      <formula>AND($B935="Tender Received",$D935&lt;=(TODAY()+3))</formula>
    </cfRule>
    <cfRule type="expression" dxfId="2268" priority="2756" stopIfTrue="1">
      <formula>$B935="Tender Received"</formula>
    </cfRule>
  </conditionalFormatting>
  <conditionalFormatting sqref="L935">
    <cfRule type="expression" dxfId="2267" priority="2753" stopIfTrue="1">
      <formula>AND($B935="Tender Received",$D935&lt;=(TODAY()+3))</formula>
    </cfRule>
    <cfRule type="expression" dxfId="2266" priority="2754" stopIfTrue="1">
      <formula>$B935="Tender Received"</formula>
    </cfRule>
  </conditionalFormatting>
  <conditionalFormatting sqref="L935">
    <cfRule type="expression" dxfId="2265" priority="2751" stopIfTrue="1">
      <formula>AND($B935="Tender Received",$D935&lt;=(TODAY()+3))</formula>
    </cfRule>
    <cfRule type="expression" dxfId="2264" priority="2752" stopIfTrue="1">
      <formula>$B935="Tender Received"</formula>
    </cfRule>
  </conditionalFormatting>
  <conditionalFormatting sqref="C937 O938:R940 O937:P937 R937 F939:I939 B937:B940 D937:K938 K939:K940 D939 D940:H940">
    <cfRule type="expression" dxfId="2263" priority="2735" stopIfTrue="1">
      <formula>AND($B937="Tender Received",$D937&lt;=(TODAY()+3))</formula>
    </cfRule>
    <cfRule type="expression" dxfId="2262" priority="2736" stopIfTrue="1">
      <formula>$B937="Tender Received"</formula>
    </cfRule>
  </conditionalFormatting>
  <conditionalFormatting sqref="I938">
    <cfRule type="expression" dxfId="2261" priority="2733" stopIfTrue="1">
      <formula>AND($B938="Tender Received",$D938&lt;=(TODAY()+3))</formula>
    </cfRule>
    <cfRule type="expression" dxfId="2260" priority="2734" stopIfTrue="1">
      <formula>$B938="Tender Received"</formula>
    </cfRule>
  </conditionalFormatting>
  <conditionalFormatting sqref="M937:N940">
    <cfRule type="expression" dxfId="2259" priority="2731" stopIfTrue="1">
      <formula>AND($B937="Tender Received",$D937&lt;=(TODAY()+3))</formula>
    </cfRule>
    <cfRule type="expression" dxfId="2258" priority="2732" stopIfTrue="1">
      <formula>$B937="Tender Received"</formula>
    </cfRule>
  </conditionalFormatting>
  <conditionalFormatting sqref="L940">
    <cfRule type="expression" dxfId="2257" priority="2729" stopIfTrue="1">
      <formula>AND($B940="Tender Received",$D940&lt;=(TODAY()+3))</formula>
    </cfRule>
    <cfRule type="expression" dxfId="2256" priority="2730" stopIfTrue="1">
      <formula>$B940="Tender Received"</formula>
    </cfRule>
  </conditionalFormatting>
  <conditionalFormatting sqref="C937:C940">
    <cfRule type="expression" dxfId="2255" priority="2727" stopIfTrue="1">
      <formula>AND($B937="Tender Received",$D937&lt;=(TODAY()+3))</formula>
    </cfRule>
    <cfRule type="expression" dxfId="2254" priority="2728" stopIfTrue="1">
      <formula>$B937="Tender Received"</formula>
    </cfRule>
  </conditionalFormatting>
  <conditionalFormatting sqref="I939">
    <cfRule type="expression" dxfId="2253" priority="2725" stopIfTrue="1">
      <formula>AND($B939="Tender Received",$D939&lt;=(TODAY()+3))</formula>
    </cfRule>
    <cfRule type="expression" dxfId="2252" priority="2726" stopIfTrue="1">
      <formula>$B939="Tender Received"</formula>
    </cfRule>
  </conditionalFormatting>
  <conditionalFormatting sqref="L939">
    <cfRule type="expression" dxfId="2251" priority="2723" stopIfTrue="1">
      <formula>AND($B939="Tender Received",$D939&lt;=(TODAY()+3))</formula>
    </cfRule>
    <cfRule type="expression" dxfId="2250" priority="2724" stopIfTrue="1">
      <formula>$B939="Tender Received"</formula>
    </cfRule>
  </conditionalFormatting>
  <conditionalFormatting sqref="L938">
    <cfRule type="expression" dxfId="2249" priority="2721" stopIfTrue="1">
      <formula>AND($B938="Tender Received",$D938&lt;=(TODAY()+3))</formula>
    </cfRule>
    <cfRule type="expression" dxfId="2248" priority="2722" stopIfTrue="1">
      <formula>$B938="Tender Received"</formula>
    </cfRule>
  </conditionalFormatting>
  <conditionalFormatting sqref="L937">
    <cfRule type="expression" dxfId="2247" priority="2719" stopIfTrue="1">
      <formula>AND($B937="Tender Received",$D937&lt;=(TODAY()+3))</formula>
    </cfRule>
    <cfRule type="expression" dxfId="2246" priority="2720" stopIfTrue="1">
      <formula>$B937="Tender Received"</formula>
    </cfRule>
  </conditionalFormatting>
  <conditionalFormatting sqref="L938">
    <cfRule type="expression" dxfId="2245" priority="2717" stopIfTrue="1">
      <formula>AND($B938="Tender Received",$D938&lt;=(TODAY()+3))</formula>
    </cfRule>
    <cfRule type="expression" dxfId="2244" priority="2718" stopIfTrue="1">
      <formula>$B938="Tender Received"</formula>
    </cfRule>
  </conditionalFormatting>
  <conditionalFormatting sqref="I937">
    <cfRule type="expression" dxfId="2243" priority="2715" stopIfTrue="1">
      <formula>AND($B937="Tender Received",$D937&lt;=(TODAY()+3))</formula>
    </cfRule>
    <cfRule type="expression" dxfId="2242" priority="2716" stopIfTrue="1">
      <formula>$B937="Tender Received"</formula>
    </cfRule>
  </conditionalFormatting>
  <conditionalFormatting sqref="L937">
    <cfRule type="expression" dxfId="2241" priority="2713" stopIfTrue="1">
      <formula>AND($B937="Tender Received",$D937&lt;=(TODAY()+3))</formula>
    </cfRule>
    <cfRule type="expression" dxfId="2240" priority="2714" stopIfTrue="1">
      <formula>$B937="Tender Received"</formula>
    </cfRule>
  </conditionalFormatting>
  <conditionalFormatting sqref="L940">
    <cfRule type="expression" dxfId="2239" priority="2711" stopIfTrue="1">
      <formula>AND($B940="Tender Received",$D940&lt;=(TODAY()+3))</formula>
    </cfRule>
    <cfRule type="expression" dxfId="2238" priority="2712" stopIfTrue="1">
      <formula>$B940="Tender Received"</formula>
    </cfRule>
  </conditionalFormatting>
  <conditionalFormatting sqref="L939">
    <cfRule type="expression" dxfId="2237" priority="2709" stopIfTrue="1">
      <formula>AND($B939="Tender Received",$D939&lt;=(TODAY()+3))</formula>
    </cfRule>
    <cfRule type="expression" dxfId="2236" priority="2710" stopIfTrue="1">
      <formula>$B939="Tender Received"</formula>
    </cfRule>
  </conditionalFormatting>
  <conditionalFormatting sqref="J939">
    <cfRule type="expression" dxfId="2235" priority="2707" stopIfTrue="1">
      <formula>AND($B939="Tender Received",$D939&lt;=(TODAY()+3))</formula>
    </cfRule>
    <cfRule type="expression" dxfId="2234" priority="2708" stopIfTrue="1">
      <formula>$B939="Tender Received"</formula>
    </cfRule>
  </conditionalFormatting>
  <conditionalFormatting sqref="Q937">
    <cfRule type="expression" dxfId="2233" priority="2705" stopIfTrue="1">
      <formula>AND($B937="Tender Received",$D937&lt;=(TODAY()+3))</formula>
    </cfRule>
    <cfRule type="expression" dxfId="2232" priority="2706" stopIfTrue="1">
      <formula>$B937="Tender Received"</formula>
    </cfRule>
  </conditionalFormatting>
  <conditionalFormatting sqref="E939">
    <cfRule type="expression" dxfId="2231" priority="2703" stopIfTrue="1">
      <formula>AND($B939="Tender Received",$D939&lt;=(TODAY()+3))</formula>
    </cfRule>
    <cfRule type="expression" dxfId="2230" priority="2704" stopIfTrue="1">
      <formula>$B939="Tender Received"</formula>
    </cfRule>
  </conditionalFormatting>
  <conditionalFormatting sqref="J940">
    <cfRule type="expression" dxfId="2229" priority="2701" stopIfTrue="1">
      <formula>AND($B940="Tender Received",$D940&lt;=(TODAY()+3))</formula>
    </cfRule>
    <cfRule type="expression" dxfId="2228" priority="2702" stopIfTrue="1">
      <formula>$B940="Tender Received"</formula>
    </cfRule>
  </conditionalFormatting>
  <conditionalFormatting sqref="I940">
    <cfRule type="expression" dxfId="2227" priority="2699" stopIfTrue="1">
      <formula>AND($B940="Tender Received",$D940&lt;=(TODAY()+3))</formula>
    </cfRule>
    <cfRule type="expression" dxfId="2226" priority="2700" stopIfTrue="1">
      <formula>$B940="Tender Received"</formula>
    </cfRule>
  </conditionalFormatting>
  <conditionalFormatting sqref="B942:B944 B941:R941">
    <cfRule type="expression" dxfId="2225" priority="2697" stopIfTrue="1">
      <formula>AND($B941="Tender Received",$D941&lt;=(TODAY()+3))</formula>
    </cfRule>
    <cfRule type="expression" dxfId="2224" priority="2698" stopIfTrue="1">
      <formula>$B941="Tender Received"</formula>
    </cfRule>
  </conditionalFormatting>
  <conditionalFormatting sqref="L941">
    <cfRule type="expression" dxfId="2223" priority="2695" stopIfTrue="1">
      <formula>AND($B941="Tender Received",$D941&lt;=(TODAY()+3))</formula>
    </cfRule>
    <cfRule type="expression" dxfId="2222" priority="2696" stopIfTrue="1">
      <formula>$B941="Tender Received"</formula>
    </cfRule>
  </conditionalFormatting>
  <conditionalFormatting sqref="C942:H942 J942:K942 L944:M944 M942:P942 R944 R942">
    <cfRule type="expression" dxfId="2221" priority="2693" stopIfTrue="1">
      <formula>AND($B942="Tender Received",$D942&lt;=(TODAY()+3))</formula>
    </cfRule>
    <cfRule type="expression" dxfId="2220" priority="2694" stopIfTrue="1">
      <formula>$B942="Tender Received"</formula>
    </cfRule>
  </conditionalFormatting>
  <conditionalFormatting sqref="L942">
    <cfRule type="expression" dxfId="2219" priority="2691" stopIfTrue="1">
      <formula>AND($B942="Tender Received",$D942&lt;=(TODAY()+3))</formula>
    </cfRule>
    <cfRule type="expression" dxfId="2218" priority="2692" stopIfTrue="1">
      <formula>$B942="Tender Received"</formula>
    </cfRule>
  </conditionalFormatting>
  <conditionalFormatting sqref="I942">
    <cfRule type="expression" dxfId="2217" priority="2689" stopIfTrue="1">
      <formula>AND($B942="Tender Received",$D942&lt;=(TODAY()+3))</formula>
    </cfRule>
    <cfRule type="expression" dxfId="2216" priority="2690" stopIfTrue="1">
      <formula>$B942="Tender Received"</formula>
    </cfRule>
  </conditionalFormatting>
  <conditionalFormatting sqref="J943:M943 C943:G943 R943">
    <cfRule type="expression" dxfId="2215" priority="2687" stopIfTrue="1">
      <formula>AND($B943="Tender Received",$D943&lt;=(TODAY()+3))</formula>
    </cfRule>
    <cfRule type="expression" dxfId="2214" priority="2688" stopIfTrue="1">
      <formula>$B943="Tender Received"</formula>
    </cfRule>
  </conditionalFormatting>
  <conditionalFormatting sqref="I943">
    <cfRule type="expression" dxfId="2213" priority="2685" stopIfTrue="1">
      <formula>AND($B943="Tender Received",$D943&lt;=(TODAY()+3))</formula>
    </cfRule>
    <cfRule type="expression" dxfId="2212" priority="2686" stopIfTrue="1">
      <formula>$B943="Tender Received"</formula>
    </cfRule>
  </conditionalFormatting>
  <conditionalFormatting sqref="D944:J944">
    <cfRule type="expression" dxfId="2211" priority="2683" stopIfTrue="1">
      <formula>AND($B944="Tender Received",$D944&lt;=(TODAY()+3))</formula>
    </cfRule>
    <cfRule type="expression" dxfId="2210" priority="2684" stopIfTrue="1">
      <formula>$B944="Tender Received"</formula>
    </cfRule>
  </conditionalFormatting>
  <conditionalFormatting sqref="N943:P944">
    <cfRule type="expression" dxfId="2209" priority="2681" stopIfTrue="1">
      <formula>AND($B943="Tender Received",$D943&lt;=(TODAY()+3))</formula>
    </cfRule>
    <cfRule type="expression" dxfId="2208" priority="2682" stopIfTrue="1">
      <formula>$B943="Tender Received"</formula>
    </cfRule>
  </conditionalFormatting>
  <conditionalFormatting sqref="C944">
    <cfRule type="expression" dxfId="2207" priority="2679" stopIfTrue="1">
      <formula>AND($B944="Tender Received",$D944&lt;=(TODAY()+3))</formula>
    </cfRule>
    <cfRule type="expression" dxfId="2206" priority="2680" stopIfTrue="1">
      <formula>$B944="Tender Received"</formula>
    </cfRule>
  </conditionalFormatting>
  <conditionalFormatting sqref="C941:H941 J941:K941 M941:R941">
    <cfRule type="expression" dxfId="2205" priority="2677" stopIfTrue="1">
      <formula>AND($B941="Tender Received",$D941&lt;=(TODAY()+3))</formula>
    </cfRule>
    <cfRule type="expression" dxfId="2204" priority="2678" stopIfTrue="1">
      <formula>$B941="Tender Received"</formula>
    </cfRule>
  </conditionalFormatting>
  <conditionalFormatting sqref="L941">
    <cfRule type="expression" dxfId="2203" priority="2675" stopIfTrue="1">
      <formula>AND($B941="Tender Received",$D941&lt;=(TODAY()+3))</formula>
    </cfRule>
    <cfRule type="expression" dxfId="2202" priority="2676" stopIfTrue="1">
      <formula>$B941="Tender Received"</formula>
    </cfRule>
  </conditionalFormatting>
  <conditionalFormatting sqref="I941">
    <cfRule type="expression" dxfId="2201" priority="2673" stopIfTrue="1">
      <formula>AND($B941="Tender Received",$D941&lt;=(TODAY()+3))</formula>
    </cfRule>
    <cfRule type="expression" dxfId="2200" priority="2674" stopIfTrue="1">
      <formula>$B941="Tender Received"</formula>
    </cfRule>
  </conditionalFormatting>
  <conditionalFormatting sqref="J942:M942 C942:G942 R942">
    <cfRule type="expression" dxfId="2199" priority="2671" stopIfTrue="1">
      <formula>AND($B942="Tender Received",$D942&lt;=(TODAY()+3))</formula>
    </cfRule>
    <cfRule type="expression" dxfId="2198" priority="2672" stopIfTrue="1">
      <formula>$B942="Tender Received"</formula>
    </cfRule>
  </conditionalFormatting>
  <conditionalFormatting sqref="I942">
    <cfRule type="expression" dxfId="2197" priority="2669" stopIfTrue="1">
      <formula>AND($B942="Tender Received",$D942&lt;=(TODAY()+3))</formula>
    </cfRule>
    <cfRule type="expression" dxfId="2196" priority="2670" stopIfTrue="1">
      <formula>$B942="Tender Received"</formula>
    </cfRule>
  </conditionalFormatting>
  <conditionalFormatting sqref="N942:P942">
    <cfRule type="expression" dxfId="2195" priority="2667" stopIfTrue="1">
      <formula>AND($B942="Tender Received",$D942&lt;=(TODAY()+3))</formula>
    </cfRule>
    <cfRule type="expression" dxfId="2194" priority="2668" stopIfTrue="1">
      <formula>$B942="Tender Received"</formula>
    </cfRule>
  </conditionalFormatting>
  <conditionalFormatting sqref="H942">
    <cfRule type="expression" dxfId="2193" priority="2665" stopIfTrue="1">
      <formula>AND($B942="Tender Received",$D942&lt;=(TODAY()+3))</formula>
    </cfRule>
    <cfRule type="expression" dxfId="2192" priority="2666" stopIfTrue="1">
      <formula>$B942="Tender Received"</formula>
    </cfRule>
  </conditionalFormatting>
  <conditionalFormatting sqref="Q942">
    <cfRule type="expression" dxfId="2191" priority="2663" stopIfTrue="1">
      <formula>AND($B942="Tender Received",$D942&lt;=(TODAY()+3))</formula>
    </cfRule>
    <cfRule type="expression" dxfId="2190" priority="2664" stopIfTrue="1">
      <formula>$B942="Tender Received"</formula>
    </cfRule>
  </conditionalFormatting>
  <conditionalFormatting sqref="Q942">
    <cfRule type="expression" dxfId="2189" priority="2661" stopIfTrue="1">
      <formula>AND($B942="Tender Received",$D942&lt;=(TODAY()+3))</formula>
    </cfRule>
    <cfRule type="expression" dxfId="2188" priority="2662" stopIfTrue="1">
      <formula>$B942="Tender Received"</formula>
    </cfRule>
  </conditionalFormatting>
  <conditionalFormatting sqref="H943">
    <cfRule type="expression" dxfId="2187" priority="2659" stopIfTrue="1">
      <formula>AND($B943="Tender Received",$D943&lt;=(TODAY()+3))</formula>
    </cfRule>
    <cfRule type="expression" dxfId="2186" priority="2660" stopIfTrue="1">
      <formula>$B943="Tender Received"</formula>
    </cfRule>
  </conditionalFormatting>
  <conditionalFormatting sqref="K944">
    <cfRule type="expression" dxfId="2185" priority="2657" stopIfTrue="1">
      <formula>AND($B944="Tender Received",$D944&lt;=(TODAY()+3))</formula>
    </cfRule>
    <cfRule type="expression" dxfId="2184" priority="2658" stopIfTrue="1">
      <formula>$B944="Tender Received"</formula>
    </cfRule>
  </conditionalFormatting>
  <conditionalFormatting sqref="Q944">
    <cfRule type="expression" dxfId="2183" priority="2655" stopIfTrue="1">
      <formula>AND($B944="Tender Received",$D944&lt;=(TODAY()+3))</formula>
    </cfRule>
    <cfRule type="expression" dxfId="2182" priority="2656" stopIfTrue="1">
      <formula>$B944="Tender Received"</formula>
    </cfRule>
  </conditionalFormatting>
  <conditionalFormatting sqref="Q943">
    <cfRule type="expression" dxfId="2181" priority="2653" stopIfTrue="1">
      <formula>AND($B943="Tender Received",$D943&lt;=(TODAY()+3))</formula>
    </cfRule>
    <cfRule type="expression" dxfId="2180" priority="2654" stopIfTrue="1">
      <formula>$B943="Tender Received"</formula>
    </cfRule>
  </conditionalFormatting>
  <conditionalFormatting sqref="O945:R945 B945:H945 J945:K945">
    <cfRule type="expression" dxfId="2179" priority="2651" stopIfTrue="1">
      <formula>AND($B945="Tender Received",$D945&lt;=(TODAY()+3))</formula>
    </cfRule>
    <cfRule type="expression" dxfId="2178" priority="2652" stopIfTrue="1">
      <formula>$B945="Tender Received"</formula>
    </cfRule>
  </conditionalFormatting>
  <conditionalFormatting sqref="M945:N945">
    <cfRule type="expression" dxfId="2177" priority="2649" stopIfTrue="1">
      <formula>AND($B945="Tender Received",$D945&lt;=(TODAY()+3))</formula>
    </cfRule>
    <cfRule type="expression" dxfId="2176" priority="2650" stopIfTrue="1">
      <formula>$B945="Tender Received"</formula>
    </cfRule>
  </conditionalFormatting>
  <conditionalFormatting sqref="L945">
    <cfRule type="expression" dxfId="2175" priority="2647" stopIfTrue="1">
      <formula>AND($B945="Tender Received",$D945&lt;=(TODAY()+3))</formula>
    </cfRule>
    <cfRule type="expression" dxfId="2174" priority="2648" stopIfTrue="1">
      <formula>$B945="Tender Received"</formula>
    </cfRule>
  </conditionalFormatting>
  <conditionalFormatting sqref="L945">
    <cfRule type="expression" dxfId="2173" priority="2645" stopIfTrue="1">
      <formula>AND($B945="Tender Received",$D945&lt;=(TODAY()+3))</formula>
    </cfRule>
    <cfRule type="expression" dxfId="2172" priority="2646" stopIfTrue="1">
      <formula>$B945="Tender Received"</formula>
    </cfRule>
  </conditionalFormatting>
  <conditionalFormatting sqref="I945">
    <cfRule type="expression" dxfId="2171" priority="2643" stopIfTrue="1">
      <formula>AND($B945="Tender Received",$D945&lt;=(TODAY()+3))</formula>
    </cfRule>
    <cfRule type="expression" dxfId="2170" priority="2644" stopIfTrue="1">
      <formula>$B945="Tender Received"</formula>
    </cfRule>
  </conditionalFormatting>
  <conditionalFormatting sqref="J946:K946 E946:H946 R946">
    <cfRule type="expression" dxfId="2169" priority="2641" stopIfTrue="1">
      <formula>AND($B946="Tender Received",$D946&lt;=(TODAY()+3))</formula>
    </cfRule>
    <cfRule type="expression" dxfId="2168" priority="2642" stopIfTrue="1">
      <formula>$B946="Tender Received"</formula>
    </cfRule>
  </conditionalFormatting>
  <conditionalFormatting sqref="M946">
    <cfRule type="expression" dxfId="2167" priority="2639" stopIfTrue="1">
      <formula>AND($B946="Tender Received",$D946&lt;=(TODAY()+3))</formula>
    </cfRule>
    <cfRule type="expression" dxfId="2166" priority="2640" stopIfTrue="1">
      <formula>$B946="Tender Received"</formula>
    </cfRule>
  </conditionalFormatting>
  <conditionalFormatting sqref="B946">
    <cfRule type="expression" dxfId="2165" priority="2637" stopIfTrue="1">
      <formula>AND($B946="Tender Received",$D946&lt;=(TODAY()+3))</formula>
    </cfRule>
    <cfRule type="expression" dxfId="2164" priority="2638" stopIfTrue="1">
      <formula>$B946="Tender Received"</formula>
    </cfRule>
  </conditionalFormatting>
  <conditionalFormatting sqref="J946:K946 E946:H946 R946 M946">
    <cfRule type="expression" dxfId="2163" priority="2635" stopIfTrue="1">
      <formula>AND($B946="Tender Received",$D946&lt;=(TODAY()+3))</formula>
    </cfRule>
    <cfRule type="expression" dxfId="2162" priority="2636" stopIfTrue="1">
      <formula>$B946="Tender Received"</formula>
    </cfRule>
  </conditionalFormatting>
  <conditionalFormatting sqref="L946">
    <cfRule type="expression" dxfId="2161" priority="2633" stopIfTrue="1">
      <formula>AND($B946="Tender Received",$D946&lt;=(TODAY()+3))</formula>
    </cfRule>
    <cfRule type="expression" dxfId="2160" priority="2634" stopIfTrue="1">
      <formula>$B946="Tender Received"</formula>
    </cfRule>
  </conditionalFormatting>
  <conditionalFormatting sqref="L946">
    <cfRule type="expression" dxfId="2159" priority="2631" stopIfTrue="1">
      <formula>AND($B946="Tender Received",$D946&lt;=(TODAY()+3))</formula>
    </cfRule>
    <cfRule type="expression" dxfId="2158" priority="2632" stopIfTrue="1">
      <formula>$B946="Tender Received"</formula>
    </cfRule>
  </conditionalFormatting>
  <conditionalFormatting sqref="D946">
    <cfRule type="expression" dxfId="2157" priority="2629" stopIfTrue="1">
      <formula>AND($B946="Tender Received",$D946&lt;=(TODAY()+3))</formula>
    </cfRule>
    <cfRule type="expression" dxfId="2156" priority="2630" stopIfTrue="1">
      <formula>$B946="Tender Received"</formula>
    </cfRule>
  </conditionalFormatting>
  <conditionalFormatting sqref="O946:P946">
    <cfRule type="expression" dxfId="2155" priority="2627" stopIfTrue="1">
      <formula>AND($B946="Tender Received",$D946&lt;=(TODAY()+3))</formula>
    </cfRule>
    <cfRule type="expression" dxfId="2154" priority="2628" stopIfTrue="1">
      <formula>$B946="Tender Received"</formula>
    </cfRule>
  </conditionalFormatting>
  <conditionalFormatting sqref="N946">
    <cfRule type="expression" dxfId="2153" priority="2625" stopIfTrue="1">
      <formula>AND($B946="Tender Received",$D946&lt;=(TODAY()+3))</formula>
    </cfRule>
    <cfRule type="expression" dxfId="2152" priority="2626" stopIfTrue="1">
      <formula>$B946="Tender Received"</formula>
    </cfRule>
  </conditionalFormatting>
  <conditionalFormatting sqref="C946">
    <cfRule type="expression" dxfId="2151" priority="2623" stopIfTrue="1">
      <formula>AND($B946="Tender Received",$D946&lt;=(TODAY()+3))</formula>
    </cfRule>
    <cfRule type="expression" dxfId="2150" priority="2624" stopIfTrue="1">
      <formula>$B946="Tender Received"</formula>
    </cfRule>
  </conditionalFormatting>
  <conditionalFormatting sqref="I946">
    <cfRule type="expression" dxfId="2149" priority="2621" stopIfTrue="1">
      <formula>AND($B946="Tender Received",$D946&lt;=(TODAY()+3))</formula>
    </cfRule>
    <cfRule type="expression" dxfId="2148" priority="2622" stopIfTrue="1">
      <formula>$B946="Tender Received"</formula>
    </cfRule>
  </conditionalFormatting>
  <conditionalFormatting sqref="I946">
    <cfRule type="expression" dxfId="2147" priority="2619" stopIfTrue="1">
      <formula>AND($B946="Tender Received",$D946&lt;=(TODAY()+3))</formula>
    </cfRule>
    <cfRule type="expression" dxfId="2146" priority="2620" stopIfTrue="1">
      <formula>$B946="Tender Received"</formula>
    </cfRule>
  </conditionalFormatting>
  <conditionalFormatting sqref="Q946">
    <cfRule type="expression" dxfId="2145" priority="2617" stopIfTrue="1">
      <formula>AND($B946="Tender Received",$D946&lt;=(TODAY()+3))</formula>
    </cfRule>
    <cfRule type="expression" dxfId="2144" priority="2618" stopIfTrue="1">
      <formula>$B946="Tender Received"</formula>
    </cfRule>
  </conditionalFormatting>
  <conditionalFormatting sqref="O947:R947 B947:K947">
    <cfRule type="expression" dxfId="2143" priority="2615" stopIfTrue="1">
      <formula>AND($B947="Tender Received",$D947&lt;=(TODAY()+3))</formula>
    </cfRule>
    <cfRule type="expression" dxfId="2142" priority="2616" stopIfTrue="1">
      <formula>$B947="Tender Received"</formula>
    </cfRule>
  </conditionalFormatting>
  <conditionalFormatting sqref="M947:N947">
    <cfRule type="expression" dxfId="2141" priority="2613" stopIfTrue="1">
      <formula>AND($B947="Tender Received",$D947&lt;=(TODAY()+3))</formula>
    </cfRule>
    <cfRule type="expression" dxfId="2140" priority="2614" stopIfTrue="1">
      <formula>$B947="Tender Received"</formula>
    </cfRule>
  </conditionalFormatting>
  <conditionalFormatting sqref="C947">
    <cfRule type="expression" dxfId="2139" priority="2611" stopIfTrue="1">
      <formula>AND($B947="Tender Received",$D947&lt;=(TODAY()+3))</formula>
    </cfRule>
    <cfRule type="expression" dxfId="2138" priority="2612" stopIfTrue="1">
      <formula>$B947="Tender Received"</formula>
    </cfRule>
  </conditionalFormatting>
  <conditionalFormatting sqref="L947">
    <cfRule type="expression" dxfId="2137" priority="2609" stopIfTrue="1">
      <formula>AND($B947="Tender Received",$D947&lt;=(TODAY()+3))</formula>
    </cfRule>
    <cfRule type="expression" dxfId="2136" priority="2610" stopIfTrue="1">
      <formula>$B947="Tender Received"</formula>
    </cfRule>
  </conditionalFormatting>
  <conditionalFormatting sqref="I947">
    <cfRule type="expression" dxfId="2135" priority="2607" stopIfTrue="1">
      <formula>AND($B947="Tender Received",$D947&lt;=(TODAY()+3))</formula>
    </cfRule>
    <cfRule type="expression" dxfId="2134" priority="2608" stopIfTrue="1">
      <formula>$B947="Tender Received"</formula>
    </cfRule>
  </conditionalFormatting>
  <conditionalFormatting sqref="L947">
    <cfRule type="expression" dxfId="2133" priority="2605" stopIfTrue="1">
      <formula>AND($B947="Tender Received",$D947&lt;=(TODAY()+3))</formula>
    </cfRule>
    <cfRule type="expression" dxfId="2132" priority="2606" stopIfTrue="1">
      <formula>$B947="Tender Received"</formula>
    </cfRule>
  </conditionalFormatting>
  <conditionalFormatting sqref="F9:H9 B8:B12 D8:H8 D12:K12 K9:K10 D9 D10:H10 J11:K11 J8:K8 O11:R12 O8:P10 E11:G11 R8:R10">
    <cfRule type="expression" dxfId="2131" priority="2535" stopIfTrue="1">
      <formula>AND($B8="Tender Received",$D8&lt;=(TODAY()+3))</formula>
    </cfRule>
    <cfRule type="expression" dxfId="2130" priority="2536" stopIfTrue="1">
      <formula>$B8="Tender Received"</formula>
    </cfRule>
  </conditionalFormatting>
  <conditionalFormatting sqref="I12">
    <cfRule type="expression" dxfId="2129" priority="2531" stopIfTrue="1">
      <formula>AND($B12="Tender Received",$D12&lt;=(TODAY()+3))</formula>
    </cfRule>
    <cfRule type="expression" dxfId="2128" priority="2532" stopIfTrue="1">
      <formula>$B12="Tender Received"</formula>
    </cfRule>
  </conditionalFormatting>
  <conditionalFormatting sqref="M8:N12">
    <cfRule type="expression" dxfId="2127" priority="2529" stopIfTrue="1">
      <formula>AND($B8="Tender Received",$D8&lt;=(TODAY()+3))</formula>
    </cfRule>
    <cfRule type="expression" dxfId="2126" priority="2530" stopIfTrue="1">
      <formula>$B8="Tender Received"</formula>
    </cfRule>
  </conditionalFormatting>
  <conditionalFormatting sqref="L10">
    <cfRule type="expression" dxfId="2125" priority="2527" stopIfTrue="1">
      <formula>AND($B10="Tender Received",$D10&lt;=(TODAY()+3))</formula>
    </cfRule>
    <cfRule type="expression" dxfId="2124" priority="2528" stopIfTrue="1">
      <formula>$B10="Tender Received"</formula>
    </cfRule>
  </conditionalFormatting>
  <conditionalFormatting sqref="C8:C12">
    <cfRule type="expression" dxfId="2123" priority="2523" stopIfTrue="1">
      <formula>AND($B8="Tender Received",$D8&lt;=(TODAY()+3))</formula>
    </cfRule>
    <cfRule type="expression" dxfId="2122" priority="2524" stopIfTrue="1">
      <formula>$B8="Tender Received"</formula>
    </cfRule>
  </conditionalFormatting>
  <conditionalFormatting sqref="O12:R12 D12:K12">
    <cfRule type="expression" dxfId="2121" priority="2519" stopIfTrue="1">
      <formula>AND($B12="Tender Received",$D12&lt;=(TODAY()+3))</formula>
    </cfRule>
    <cfRule type="expression" dxfId="2120" priority="2520" stopIfTrue="1">
      <formula>$B12="Tender Received"</formula>
    </cfRule>
  </conditionalFormatting>
  <conditionalFormatting sqref="L9">
    <cfRule type="expression" dxfId="2119" priority="2511" stopIfTrue="1">
      <formula>AND($B9="Tender Received",$D9&lt;=(TODAY()+3))</formula>
    </cfRule>
    <cfRule type="expression" dxfId="2118" priority="2512" stopIfTrue="1">
      <formula>$B9="Tender Received"</formula>
    </cfRule>
  </conditionalFormatting>
  <conditionalFormatting sqref="L8">
    <cfRule type="expression" dxfId="2117" priority="2509" stopIfTrue="1">
      <formula>AND($B8="Tender Received",$D8&lt;=(TODAY()+3))</formula>
    </cfRule>
    <cfRule type="expression" dxfId="2116" priority="2510" stopIfTrue="1">
      <formula>$B8="Tender Received"</formula>
    </cfRule>
  </conditionalFormatting>
  <conditionalFormatting sqref="L11">
    <cfRule type="expression" dxfId="2115" priority="2505" stopIfTrue="1">
      <formula>AND($B11="Tender Received",$D11&lt;=(TODAY()+3))</formula>
    </cfRule>
    <cfRule type="expression" dxfId="2114" priority="2506" stopIfTrue="1">
      <formula>$B11="Tender Received"</formula>
    </cfRule>
  </conditionalFormatting>
  <conditionalFormatting sqref="L8">
    <cfRule type="expression" dxfId="2113" priority="2501" stopIfTrue="1">
      <formula>AND($B8="Tender Received",$D8&lt;=(TODAY()+3))</formula>
    </cfRule>
    <cfRule type="expression" dxfId="2112" priority="2502" stopIfTrue="1">
      <formula>$B8="Tender Received"</formula>
    </cfRule>
  </conditionalFormatting>
  <conditionalFormatting sqref="L11">
    <cfRule type="expression" dxfId="2111" priority="2499" stopIfTrue="1">
      <formula>AND($B11="Tender Received",$D11&lt;=(TODAY()+3))</formula>
    </cfRule>
    <cfRule type="expression" dxfId="2110" priority="2500" stopIfTrue="1">
      <formula>$B11="Tender Received"</formula>
    </cfRule>
  </conditionalFormatting>
  <conditionalFormatting sqref="M12:N12">
    <cfRule type="expression" dxfId="2109" priority="2495" stopIfTrue="1">
      <formula>AND($B12="Tender Received",$D12&lt;=(TODAY()+3))</formula>
    </cfRule>
    <cfRule type="expression" dxfId="2108" priority="2496" stopIfTrue="1">
      <formula>$B12="Tender Received"</formula>
    </cfRule>
  </conditionalFormatting>
  <conditionalFormatting sqref="C12">
    <cfRule type="expression" dxfId="2107" priority="2491" stopIfTrue="1">
      <formula>AND($B12="Tender Received",$D12&lt;=(TODAY()+3))</formula>
    </cfRule>
    <cfRule type="expression" dxfId="2106" priority="2492" stopIfTrue="1">
      <formula>$B12="Tender Received"</formula>
    </cfRule>
  </conditionalFormatting>
  <conditionalFormatting sqref="L10">
    <cfRule type="expression" dxfId="2105" priority="2487" stopIfTrue="1">
      <formula>AND($B10="Tender Received",$D10&lt;=(TODAY()+3))</formula>
    </cfRule>
    <cfRule type="expression" dxfId="2104" priority="2488" stopIfTrue="1">
      <formula>$B10="Tender Received"</formula>
    </cfRule>
  </conditionalFormatting>
  <conditionalFormatting sqref="L9">
    <cfRule type="expression" dxfId="2103" priority="2485" stopIfTrue="1">
      <formula>AND($B9="Tender Received",$D9&lt;=(TODAY()+3))</formula>
    </cfRule>
    <cfRule type="expression" dxfId="2102" priority="2486" stopIfTrue="1">
      <formula>$B9="Tender Received"</formula>
    </cfRule>
  </conditionalFormatting>
  <conditionalFormatting sqref="J9">
    <cfRule type="expression" dxfId="2101" priority="2481" stopIfTrue="1">
      <formula>AND($B9="Tender Received",$D9&lt;=(TODAY()+3))</formula>
    </cfRule>
    <cfRule type="expression" dxfId="2100" priority="2482" stopIfTrue="1">
      <formula>$B9="Tender Received"</formula>
    </cfRule>
  </conditionalFormatting>
  <conditionalFormatting sqref="C11">
    <cfRule type="expression" dxfId="2099" priority="2479" stopIfTrue="1">
      <formula>AND($B11="Tender Received",$D11&lt;=(TODAY()+3))</formula>
    </cfRule>
    <cfRule type="expression" dxfId="2098" priority="2480" stopIfTrue="1">
      <formula>$B11="Tender Received"</formula>
    </cfRule>
  </conditionalFormatting>
  <conditionalFormatting sqref="L12">
    <cfRule type="expression" dxfId="2097" priority="2473" stopIfTrue="1">
      <formula>AND($B12="Tender Received",$D12&lt;=(TODAY()+3))</formula>
    </cfRule>
    <cfRule type="expression" dxfId="2096" priority="2474" stopIfTrue="1">
      <formula>$B12="Tender Received"</formula>
    </cfRule>
  </conditionalFormatting>
  <conditionalFormatting sqref="L12">
    <cfRule type="expression" dxfId="2095" priority="2471" stopIfTrue="1">
      <formula>AND($B12="Tender Received",$D12&lt;=(TODAY()+3))</formula>
    </cfRule>
    <cfRule type="expression" dxfId="2094" priority="2472" stopIfTrue="1">
      <formula>$B12="Tender Received"</formula>
    </cfRule>
  </conditionalFormatting>
  <conditionalFormatting sqref="E9">
    <cfRule type="expression" dxfId="2093" priority="2465" stopIfTrue="1">
      <formula>AND($B9="Tender Received",$D9&lt;=(TODAY()+3))</formula>
    </cfRule>
    <cfRule type="expression" dxfId="2092" priority="2466" stopIfTrue="1">
      <formula>$B9="Tender Received"</formula>
    </cfRule>
  </conditionalFormatting>
  <conditionalFormatting sqref="J10">
    <cfRule type="expression" dxfId="2091" priority="2463" stopIfTrue="1">
      <formula>AND($B10="Tender Received",$D10&lt;=(TODAY()+3))</formula>
    </cfRule>
    <cfRule type="expression" dxfId="2090" priority="2464" stopIfTrue="1">
      <formula>$B10="Tender Received"</formula>
    </cfRule>
  </conditionalFormatting>
  <conditionalFormatting sqref="C12">
    <cfRule type="expression" dxfId="2089" priority="2457" stopIfTrue="1">
      <formula>AND($B12="Tender Received",$D12&lt;=(TODAY()+3))</formula>
    </cfRule>
    <cfRule type="expression" dxfId="2088" priority="2458" stopIfTrue="1">
      <formula>$B12="Tender Received"</formula>
    </cfRule>
  </conditionalFormatting>
  <conditionalFormatting sqref="J11">
    <cfRule type="expression" dxfId="2087" priority="2455" stopIfTrue="1">
      <formula>AND($B11="Tender Received",$D11&lt;=(TODAY()+3))</formula>
    </cfRule>
    <cfRule type="expression" dxfId="2086" priority="2456" stopIfTrue="1">
      <formula>$B11="Tender Received"</formula>
    </cfRule>
  </conditionalFormatting>
  <conditionalFormatting sqref="C948:R948">
    <cfRule type="expression" dxfId="2085" priority="2449" stopIfTrue="1">
      <formula>AND($B948="Tender Received",$D948&lt;=(TODAY()+3))</formula>
    </cfRule>
    <cfRule type="expression" dxfId="2084" priority="2450" stopIfTrue="1">
      <formula>$B948="Tender Received"</formula>
    </cfRule>
  </conditionalFormatting>
  <conditionalFormatting sqref="Q948">
    <cfRule type="expression" dxfId="2083" priority="2451" stopIfTrue="1">
      <formula>AND($B950="Tender Received",$D950&lt;=(TODAY()+3))</formula>
    </cfRule>
    <cfRule type="expression" dxfId="2082" priority="2452" stopIfTrue="1">
      <formula>$B950="Tender Received"</formula>
    </cfRule>
  </conditionalFormatting>
  <conditionalFormatting sqref="R26 B25:C25 B26:P26 J25:R25 E25:H25">
    <cfRule type="expression" dxfId="2081" priority="2445" stopIfTrue="1">
      <formula>AND($B25="Tender Received",$D25&lt;=(TODAY()+3))</formula>
    </cfRule>
    <cfRule type="expression" dxfId="2080" priority="2446" stopIfTrue="1">
      <formula>$B25="Tender Received"</formula>
    </cfRule>
  </conditionalFormatting>
  <conditionalFormatting sqref="I25">
    <cfRule type="expression" dxfId="2079" priority="2443" stopIfTrue="1">
      <formula>AND($B25="Tender Received",$D25&lt;=(TODAY()+3))</formula>
    </cfRule>
    <cfRule type="expression" dxfId="2078" priority="2444" stopIfTrue="1">
      <formula>$B25="Tender Received"</formula>
    </cfRule>
  </conditionalFormatting>
  <conditionalFormatting sqref="Q25">
    <cfRule type="expression" dxfId="2077" priority="2433" stopIfTrue="1">
      <formula>AND($B27="Tender Received",$D27&lt;=(TODAY()+3))</formula>
    </cfRule>
    <cfRule type="expression" dxfId="2076" priority="2434" stopIfTrue="1">
      <formula>$B27="Tender Received"</formula>
    </cfRule>
  </conditionalFormatting>
  <conditionalFormatting sqref="Q26">
    <cfRule type="expression" dxfId="2075" priority="2431" stopIfTrue="1">
      <formula>AND($B26="Tender Received",$D26&lt;=(TODAY()+3))</formula>
    </cfRule>
    <cfRule type="expression" dxfId="2074" priority="2432" stopIfTrue="1">
      <formula>$B26="Tender Received"</formula>
    </cfRule>
  </conditionalFormatting>
  <conditionalFormatting sqref="Q26">
    <cfRule type="expression" dxfId="2073" priority="2429" stopIfTrue="1">
      <formula>AND($B28="Tender Received",$D28&lt;=(TODAY()+3))</formula>
    </cfRule>
    <cfRule type="expression" dxfId="2072" priority="2430" stopIfTrue="1">
      <formula>$B28="Tender Received"</formula>
    </cfRule>
  </conditionalFormatting>
  <conditionalFormatting sqref="D25">
    <cfRule type="expression" dxfId="2071" priority="2425" stopIfTrue="1">
      <formula>AND($B25="Tender Received",$D25&lt;=(TODAY()+3))</formula>
    </cfRule>
    <cfRule type="expression" dxfId="2070" priority="2426" stopIfTrue="1">
      <formula>$B25="Tender Received"</formula>
    </cfRule>
  </conditionalFormatting>
  <conditionalFormatting sqref="H41">
    <cfRule type="expression" dxfId="2069" priority="2417" stopIfTrue="1">
      <formula>AND($B41="Tender Received",$D41&lt;=(TODAY()+3))</formula>
    </cfRule>
    <cfRule type="expression" dxfId="2068" priority="2418" stopIfTrue="1">
      <formula>$B41="Tender Received"</formula>
    </cfRule>
  </conditionalFormatting>
  <conditionalFormatting sqref="Q41">
    <cfRule type="expression" dxfId="2067" priority="2415" stopIfTrue="1">
      <formula>AND($B41="Tender Received",$D41&lt;=(TODAY()+3))</formula>
    </cfRule>
    <cfRule type="expression" dxfId="2066" priority="2416" stopIfTrue="1">
      <formula>$B41="Tender Received"</formula>
    </cfRule>
  </conditionalFormatting>
  <conditionalFormatting sqref="O949:P949 R949 B949:H949 J949:K949">
    <cfRule type="expression" dxfId="2065" priority="2411" stopIfTrue="1">
      <formula>AND($B949="Tender Received",$D949&lt;=(TODAY()+3))</formula>
    </cfRule>
    <cfRule type="expression" dxfId="2064" priority="2412" stopIfTrue="1">
      <formula>$B949="Tender Received"</formula>
    </cfRule>
  </conditionalFormatting>
  <conditionalFormatting sqref="M949:N949">
    <cfRule type="expression" dxfId="2063" priority="2409" stopIfTrue="1">
      <formula>AND($B949="Tender Received",$D949&lt;=(TODAY()+3))</formula>
    </cfRule>
    <cfRule type="expression" dxfId="2062" priority="2410" stopIfTrue="1">
      <formula>$B949="Tender Received"</formula>
    </cfRule>
  </conditionalFormatting>
  <conditionalFormatting sqref="L949">
    <cfRule type="expression" dxfId="2061" priority="2407" stopIfTrue="1">
      <formula>AND($B949="Tender Received",$D949&lt;=(TODAY()+3))</formula>
    </cfRule>
    <cfRule type="expression" dxfId="2060" priority="2408" stopIfTrue="1">
      <formula>$B949="Tender Received"</formula>
    </cfRule>
  </conditionalFormatting>
  <conditionalFormatting sqref="L949">
    <cfRule type="expression" dxfId="2059" priority="2405" stopIfTrue="1">
      <formula>AND($B949="Tender Received",$D949&lt;=(TODAY()+3))</formula>
    </cfRule>
    <cfRule type="expression" dxfId="2058" priority="2406" stopIfTrue="1">
      <formula>$B949="Tender Received"</formula>
    </cfRule>
  </conditionalFormatting>
  <conditionalFormatting sqref="Q949">
    <cfRule type="expression" dxfId="2057" priority="2403" stopIfTrue="1">
      <formula>AND($B949="Tender Received",$D949&lt;=(TODAY()+3))</formula>
    </cfRule>
    <cfRule type="expression" dxfId="2056" priority="2404" stopIfTrue="1">
      <formula>$B949="Tender Received"</formula>
    </cfRule>
  </conditionalFormatting>
  <conditionalFormatting sqref="I949">
    <cfRule type="expression" dxfId="2055" priority="2401" stopIfTrue="1">
      <formula>AND($B949="Tender Received",$D949&lt;=(TODAY()+3))</formula>
    </cfRule>
    <cfRule type="expression" dxfId="2054" priority="2402" stopIfTrue="1">
      <formula>$B949="Tender Received"</formula>
    </cfRule>
  </conditionalFormatting>
  <conditionalFormatting sqref="B950:B951">
    <cfRule type="expression" dxfId="2053" priority="2399" stopIfTrue="1">
      <formula>AND($B950="Tender Received",$D950&lt;=(TODAY()+3))</formula>
    </cfRule>
    <cfRule type="expression" dxfId="2052" priority="2400" stopIfTrue="1">
      <formula>$B950="Tender Received"</formula>
    </cfRule>
  </conditionalFormatting>
  <conditionalFormatting sqref="C951:H951 J951:P951 L950:M950 R950:R951">
    <cfRule type="expression" dxfId="2051" priority="2397" stopIfTrue="1">
      <formula>AND($B950="Tender Received",$D950&lt;=(TODAY()+3))</formula>
    </cfRule>
    <cfRule type="expression" dxfId="2050" priority="2398" stopIfTrue="1">
      <formula>$B950="Tender Received"</formula>
    </cfRule>
  </conditionalFormatting>
  <conditionalFormatting sqref="I951">
    <cfRule type="expression" dxfId="2049" priority="2395" stopIfTrue="1">
      <formula>AND($B951="Tender Received",$D951&lt;=(TODAY()+3))</formula>
    </cfRule>
    <cfRule type="expression" dxfId="2048" priority="2396" stopIfTrue="1">
      <formula>$B951="Tender Received"</formula>
    </cfRule>
  </conditionalFormatting>
  <conditionalFormatting sqref="D950:J950">
    <cfRule type="expression" dxfId="2047" priority="2393" stopIfTrue="1">
      <formula>AND($B950="Tender Received",$D950&lt;=(TODAY()+3))</formula>
    </cfRule>
    <cfRule type="expression" dxfId="2046" priority="2394" stopIfTrue="1">
      <formula>$B950="Tender Received"</formula>
    </cfRule>
  </conditionalFormatting>
  <conditionalFormatting sqref="N950:P950">
    <cfRule type="expression" dxfId="2045" priority="2391" stopIfTrue="1">
      <formula>AND($B950="Tender Received",$D950&lt;=(TODAY()+3))</formula>
    </cfRule>
    <cfRule type="expression" dxfId="2044" priority="2392" stopIfTrue="1">
      <formula>$B950="Tender Received"</formula>
    </cfRule>
  </conditionalFormatting>
  <conditionalFormatting sqref="C950">
    <cfRule type="expression" dxfId="2043" priority="2389" stopIfTrue="1">
      <formula>AND($B950="Tender Received",$D950&lt;=(TODAY()+3))</formula>
    </cfRule>
    <cfRule type="expression" dxfId="2042" priority="2390" stopIfTrue="1">
      <formula>$B950="Tender Received"</formula>
    </cfRule>
  </conditionalFormatting>
  <conditionalFormatting sqref="Q951">
    <cfRule type="expression" dxfId="2041" priority="2387" stopIfTrue="1">
      <formula>AND($B951="Tender Received",$D951&lt;=(TODAY()+3))</formula>
    </cfRule>
    <cfRule type="expression" dxfId="2040" priority="2388" stopIfTrue="1">
      <formula>$B951="Tender Received"</formula>
    </cfRule>
  </conditionalFormatting>
  <conditionalFormatting sqref="K950">
    <cfRule type="expression" dxfId="2039" priority="2385" stopIfTrue="1">
      <formula>AND($B950="Tender Received",$D950&lt;=(TODAY()+3))</formula>
    </cfRule>
    <cfRule type="expression" dxfId="2038" priority="2386" stopIfTrue="1">
      <formula>$B950="Tender Received"</formula>
    </cfRule>
  </conditionalFormatting>
  <conditionalFormatting sqref="Q950">
    <cfRule type="expression" dxfId="2037" priority="2383" stopIfTrue="1">
      <formula>AND($B950="Tender Received",$D950&lt;=(TODAY()+3))</formula>
    </cfRule>
    <cfRule type="expression" dxfId="2036" priority="2384" stopIfTrue="1">
      <formula>$B950="Tender Received"</formula>
    </cfRule>
  </conditionalFormatting>
  <conditionalFormatting sqref="B952:B954">
    <cfRule type="expression" dxfId="2035" priority="2375" stopIfTrue="1">
      <formula>AND($B952="Tender Received",$D952&lt;=(TODAY()+3))</formula>
    </cfRule>
    <cfRule type="expression" dxfId="2034" priority="2376" stopIfTrue="1">
      <formula>$B952="Tender Received"</formula>
    </cfRule>
  </conditionalFormatting>
  <conditionalFormatting sqref="C954:H954 J954:P954 L953:M953 R953:R954">
    <cfRule type="expression" dxfId="2033" priority="2373" stopIfTrue="1">
      <formula>AND($B953="Tender Received",$D953&lt;=(TODAY()+3))</formula>
    </cfRule>
    <cfRule type="expression" dxfId="2032" priority="2374" stopIfTrue="1">
      <formula>$B953="Tender Received"</formula>
    </cfRule>
  </conditionalFormatting>
  <conditionalFormatting sqref="I954">
    <cfRule type="expression" dxfId="2031" priority="2371" stopIfTrue="1">
      <formula>AND($B954="Tender Received",$D954&lt;=(TODAY()+3))</formula>
    </cfRule>
    <cfRule type="expression" dxfId="2030" priority="2372" stopIfTrue="1">
      <formula>$B954="Tender Received"</formula>
    </cfRule>
  </conditionalFormatting>
  <conditionalFormatting sqref="J952:M952 C952:G952 R952">
    <cfRule type="expression" dxfId="2029" priority="2369" stopIfTrue="1">
      <formula>AND($B952="Tender Received",$D952&lt;=(TODAY()+3))</formula>
    </cfRule>
    <cfRule type="expression" dxfId="2028" priority="2370" stopIfTrue="1">
      <formula>$B952="Tender Received"</formula>
    </cfRule>
  </conditionalFormatting>
  <conditionalFormatting sqref="I952">
    <cfRule type="expression" dxfId="2027" priority="2367" stopIfTrue="1">
      <formula>AND($B952="Tender Received",$D952&lt;=(TODAY()+3))</formula>
    </cfRule>
    <cfRule type="expression" dxfId="2026" priority="2368" stopIfTrue="1">
      <formula>$B952="Tender Received"</formula>
    </cfRule>
  </conditionalFormatting>
  <conditionalFormatting sqref="D953:J953">
    <cfRule type="expression" dxfId="2025" priority="2365" stopIfTrue="1">
      <formula>AND($B953="Tender Received",$D953&lt;=(TODAY()+3))</formula>
    </cfRule>
    <cfRule type="expression" dxfId="2024" priority="2366" stopIfTrue="1">
      <formula>$B953="Tender Received"</formula>
    </cfRule>
  </conditionalFormatting>
  <conditionalFormatting sqref="N952:P953">
    <cfRule type="expression" dxfId="2023" priority="2363" stopIfTrue="1">
      <formula>AND($B952="Tender Received",$D952&lt;=(TODAY()+3))</formula>
    </cfRule>
    <cfRule type="expression" dxfId="2022" priority="2364" stopIfTrue="1">
      <formula>$B952="Tender Received"</formula>
    </cfRule>
  </conditionalFormatting>
  <conditionalFormatting sqref="C953">
    <cfRule type="expression" dxfId="2021" priority="2361" stopIfTrue="1">
      <formula>AND($B953="Tender Received",$D953&lt;=(TODAY()+3))</formula>
    </cfRule>
    <cfRule type="expression" dxfId="2020" priority="2362" stopIfTrue="1">
      <formula>$B953="Tender Received"</formula>
    </cfRule>
  </conditionalFormatting>
  <conditionalFormatting sqref="Q954">
    <cfRule type="expression" dxfId="2019" priority="2359" stopIfTrue="1">
      <formula>AND($B954="Tender Received",$D954&lt;=(TODAY()+3))</formula>
    </cfRule>
    <cfRule type="expression" dxfId="2018" priority="2360" stopIfTrue="1">
      <formula>$B954="Tender Received"</formula>
    </cfRule>
  </conditionalFormatting>
  <conditionalFormatting sqref="H952">
    <cfRule type="expression" dxfId="2017" priority="2357" stopIfTrue="1">
      <formula>AND($B952="Tender Received",$D952&lt;=(TODAY()+3))</formula>
    </cfRule>
    <cfRule type="expression" dxfId="2016" priority="2358" stopIfTrue="1">
      <formula>$B952="Tender Received"</formula>
    </cfRule>
  </conditionalFormatting>
  <conditionalFormatting sqref="K953">
    <cfRule type="expression" dxfId="2015" priority="2355" stopIfTrue="1">
      <formula>AND($B953="Tender Received",$D953&lt;=(TODAY()+3))</formula>
    </cfRule>
    <cfRule type="expression" dxfId="2014" priority="2356" stopIfTrue="1">
      <formula>$B953="Tender Received"</formula>
    </cfRule>
  </conditionalFormatting>
  <conditionalFormatting sqref="Q953">
    <cfRule type="expression" dxfId="2013" priority="2353" stopIfTrue="1">
      <formula>AND($B953="Tender Received",$D953&lt;=(TODAY()+3))</formula>
    </cfRule>
    <cfRule type="expression" dxfId="2012" priority="2354" stopIfTrue="1">
      <formula>$B953="Tender Received"</formula>
    </cfRule>
  </conditionalFormatting>
  <conditionalFormatting sqref="Q952">
    <cfRule type="expression" dxfId="2011" priority="2351" stopIfTrue="1">
      <formula>AND($B952="Tender Received",$D952&lt;=(TODAY()+3))</formula>
    </cfRule>
    <cfRule type="expression" dxfId="2010" priority="2352" stopIfTrue="1">
      <formula>$B952="Tender Received"</formula>
    </cfRule>
  </conditionalFormatting>
  <conditionalFormatting sqref="O955:R955 B955:H955 J955:K955">
    <cfRule type="expression" dxfId="2009" priority="2349" stopIfTrue="1">
      <formula>AND($B955="Tender Received",$D955&lt;=(TODAY()+3))</formula>
    </cfRule>
    <cfRule type="expression" dxfId="2008" priority="2350" stopIfTrue="1">
      <formula>$B955="Tender Received"</formula>
    </cfRule>
  </conditionalFormatting>
  <conditionalFormatting sqref="M955:N955">
    <cfRule type="expression" dxfId="2007" priority="2347" stopIfTrue="1">
      <formula>AND($B955="Tender Received",$D955&lt;=(TODAY()+3))</formula>
    </cfRule>
    <cfRule type="expression" dxfId="2006" priority="2348" stopIfTrue="1">
      <formula>$B955="Tender Received"</formula>
    </cfRule>
  </conditionalFormatting>
  <conditionalFormatting sqref="L955">
    <cfRule type="expression" dxfId="2005" priority="2345" stopIfTrue="1">
      <formula>AND($B955="Tender Received",$D955&lt;=(TODAY()+3))</formula>
    </cfRule>
    <cfRule type="expression" dxfId="2004" priority="2346" stopIfTrue="1">
      <formula>$B955="Tender Received"</formula>
    </cfRule>
  </conditionalFormatting>
  <conditionalFormatting sqref="L955">
    <cfRule type="expression" dxfId="2003" priority="2343" stopIfTrue="1">
      <formula>AND($B955="Tender Received",$D955&lt;=(TODAY()+3))</formula>
    </cfRule>
    <cfRule type="expression" dxfId="2002" priority="2344" stopIfTrue="1">
      <formula>$B955="Tender Received"</formula>
    </cfRule>
  </conditionalFormatting>
  <conditionalFormatting sqref="I955">
    <cfRule type="expression" dxfId="2001" priority="2341" stopIfTrue="1">
      <formula>AND($B955="Tender Received",$D955&lt;=(TODAY()+3))</formula>
    </cfRule>
    <cfRule type="expression" dxfId="2000" priority="2342" stopIfTrue="1">
      <formula>$B955="Tender Received"</formula>
    </cfRule>
  </conditionalFormatting>
  <conditionalFormatting sqref="C956:R956">
    <cfRule type="expression" dxfId="1999" priority="2339" stopIfTrue="1">
      <formula>AND($B956="Tender Received",$D956&lt;=(TODAY()+3))</formula>
    </cfRule>
    <cfRule type="expression" dxfId="1998" priority="2340" stopIfTrue="1">
      <formula>$B956="Tender Received"</formula>
    </cfRule>
  </conditionalFormatting>
  <conditionalFormatting sqref="B956">
    <cfRule type="expression" dxfId="1997" priority="2337" stopIfTrue="1">
      <formula>AND($B956="Tender Received",$D956&lt;=(TODAY()+3))</formula>
    </cfRule>
    <cfRule type="expression" dxfId="1996" priority="2338" stopIfTrue="1">
      <formula>$B956="Tender Received"</formula>
    </cfRule>
  </conditionalFormatting>
  <conditionalFormatting sqref="R957 B957:P957">
    <cfRule type="expression" dxfId="1995" priority="2335" stopIfTrue="1">
      <formula>AND($B957="Tender Received",$D957&lt;=(TODAY()+3))</formula>
    </cfRule>
    <cfRule type="expression" dxfId="1994" priority="2336" stopIfTrue="1">
      <formula>$B957="Tender Received"</formula>
    </cfRule>
  </conditionalFormatting>
  <conditionalFormatting sqref="Q957">
    <cfRule type="expression" dxfId="1993" priority="2333" stopIfTrue="1">
      <formula>AND($B957="Tender Received",$D957&lt;=(TODAY()+3))</formula>
    </cfRule>
    <cfRule type="expression" dxfId="1992" priority="2334" stopIfTrue="1">
      <formula>$B957="Tender Received"</formula>
    </cfRule>
  </conditionalFormatting>
  <conditionalFormatting sqref="I11">
    <cfRule type="expression" dxfId="1991" priority="2315" stopIfTrue="1">
      <formula>AND($B11="Tender Received",$D11&lt;=(TODAY()+3))</formula>
    </cfRule>
    <cfRule type="expression" dxfId="1990" priority="2316" stopIfTrue="1">
      <formula>$B11="Tender Received"</formula>
    </cfRule>
  </conditionalFormatting>
  <conditionalFormatting sqref="Q10">
    <cfRule type="expression" dxfId="1989" priority="2305" stopIfTrue="1">
      <formula>AND($B10="Tender Received",$D10&lt;=(TODAY()+3))</formula>
    </cfRule>
    <cfRule type="expression" dxfId="1988" priority="2306" stopIfTrue="1">
      <formula>$B10="Tender Received"</formula>
    </cfRule>
  </conditionalFormatting>
  <conditionalFormatting sqref="B958:B959 O958:R959 D958:K959">
    <cfRule type="expression" dxfId="1987" priority="2301" stopIfTrue="1">
      <formula>AND($B958="Tender Received",$D958&lt;=(TODAY()+3))</formula>
    </cfRule>
    <cfRule type="expression" dxfId="1986" priority="2302" stopIfTrue="1">
      <formula>$B958="Tender Received"</formula>
    </cfRule>
  </conditionalFormatting>
  <conditionalFormatting sqref="I959">
    <cfRule type="expression" dxfId="1985" priority="2299" stopIfTrue="1">
      <formula>AND($B959="Tender Received",$D959&lt;=(TODAY()+3))</formula>
    </cfRule>
    <cfRule type="expression" dxfId="1984" priority="2300" stopIfTrue="1">
      <formula>$B959="Tender Received"</formula>
    </cfRule>
  </conditionalFormatting>
  <conditionalFormatting sqref="M958:N959">
    <cfRule type="expression" dxfId="1983" priority="2297" stopIfTrue="1">
      <formula>AND($B958="Tender Received",$D958&lt;=(TODAY()+3))</formula>
    </cfRule>
    <cfRule type="expression" dxfId="1982" priority="2298" stopIfTrue="1">
      <formula>$B958="Tender Received"</formula>
    </cfRule>
  </conditionalFormatting>
  <conditionalFormatting sqref="C958:C959">
    <cfRule type="expression" dxfId="1981" priority="2295" stopIfTrue="1">
      <formula>AND($B958="Tender Received",$D958&lt;=(TODAY()+3))</formula>
    </cfRule>
    <cfRule type="expression" dxfId="1980" priority="2296" stopIfTrue="1">
      <formula>$B958="Tender Received"</formula>
    </cfRule>
  </conditionalFormatting>
  <conditionalFormatting sqref="O959:R959 D959:K959">
    <cfRule type="expression" dxfId="1979" priority="2293" stopIfTrue="1">
      <formula>AND($B959="Tender Received",$D959&lt;=(TODAY()+3))</formula>
    </cfRule>
    <cfRule type="expression" dxfId="1978" priority="2294" stopIfTrue="1">
      <formula>$B959="Tender Received"</formula>
    </cfRule>
  </conditionalFormatting>
  <conditionalFormatting sqref="L958">
    <cfRule type="expression" dxfId="1977" priority="2291" stopIfTrue="1">
      <formula>AND($B958="Tender Received",$D958&lt;=(TODAY()+3))</formula>
    </cfRule>
    <cfRule type="expression" dxfId="1976" priority="2292" stopIfTrue="1">
      <formula>$B958="Tender Received"</formula>
    </cfRule>
  </conditionalFormatting>
  <conditionalFormatting sqref="L958">
    <cfRule type="expression" dxfId="1975" priority="2289" stopIfTrue="1">
      <formula>AND($B958="Tender Received",$D958&lt;=(TODAY()+3))</formula>
    </cfRule>
    <cfRule type="expression" dxfId="1974" priority="2290" stopIfTrue="1">
      <formula>$B958="Tender Received"</formula>
    </cfRule>
  </conditionalFormatting>
  <conditionalFormatting sqref="M959:N959">
    <cfRule type="expression" dxfId="1973" priority="2287" stopIfTrue="1">
      <formula>AND($B959="Tender Received",$D959&lt;=(TODAY()+3))</formula>
    </cfRule>
    <cfRule type="expression" dxfId="1972" priority="2288" stopIfTrue="1">
      <formula>$B959="Tender Received"</formula>
    </cfRule>
  </conditionalFormatting>
  <conditionalFormatting sqref="C959">
    <cfRule type="expression" dxfId="1971" priority="2285" stopIfTrue="1">
      <formula>AND($B959="Tender Received",$D959&lt;=(TODAY()+3))</formula>
    </cfRule>
    <cfRule type="expression" dxfId="1970" priority="2286" stopIfTrue="1">
      <formula>$B959="Tender Received"</formula>
    </cfRule>
  </conditionalFormatting>
  <conditionalFormatting sqref="C958">
    <cfRule type="expression" dxfId="1969" priority="2283" stopIfTrue="1">
      <formula>AND($B958="Tender Received",$D958&lt;=(TODAY()+3))</formula>
    </cfRule>
    <cfRule type="expression" dxfId="1968" priority="2284" stopIfTrue="1">
      <formula>$B958="Tender Received"</formula>
    </cfRule>
  </conditionalFormatting>
  <conditionalFormatting sqref="L959">
    <cfRule type="expression" dxfId="1967" priority="2281" stopIfTrue="1">
      <formula>AND($B959="Tender Received",$D959&lt;=(TODAY()+3))</formula>
    </cfRule>
    <cfRule type="expression" dxfId="1966" priority="2282" stopIfTrue="1">
      <formula>$B959="Tender Received"</formula>
    </cfRule>
  </conditionalFormatting>
  <conditionalFormatting sqref="L959">
    <cfRule type="expression" dxfId="1965" priority="2279" stopIfTrue="1">
      <formula>AND($B959="Tender Received",$D959&lt;=(TODAY()+3))</formula>
    </cfRule>
    <cfRule type="expression" dxfId="1964" priority="2280" stopIfTrue="1">
      <formula>$B959="Tender Received"</formula>
    </cfRule>
  </conditionalFormatting>
  <conditionalFormatting sqref="I958">
    <cfRule type="expression" dxfId="1963" priority="2277" stopIfTrue="1">
      <formula>AND($B958="Tender Received",$D958&lt;=(TODAY()+3))</formula>
    </cfRule>
    <cfRule type="expression" dxfId="1962" priority="2278" stopIfTrue="1">
      <formula>$B958="Tender Received"</formula>
    </cfRule>
  </conditionalFormatting>
  <conditionalFormatting sqref="C959">
    <cfRule type="expression" dxfId="1961" priority="2275" stopIfTrue="1">
      <formula>AND($B959="Tender Received",$D959&lt;=(TODAY()+3))</formula>
    </cfRule>
    <cfRule type="expression" dxfId="1960" priority="2276" stopIfTrue="1">
      <formula>$B959="Tender Received"</formula>
    </cfRule>
  </conditionalFormatting>
  <conditionalFormatting sqref="J958">
    <cfRule type="expression" dxfId="1959" priority="2273" stopIfTrue="1">
      <formula>AND($B958="Tender Received",$D958&lt;=(TODAY()+3))</formula>
    </cfRule>
    <cfRule type="expression" dxfId="1958" priority="2274" stopIfTrue="1">
      <formula>$B958="Tender Received"</formula>
    </cfRule>
  </conditionalFormatting>
  <conditionalFormatting sqref="J960:K960 E960:H960 R960">
    <cfRule type="expression" dxfId="1957" priority="2271" stopIfTrue="1">
      <formula>AND($B960="Tender Received",$D960&lt;=(TODAY()+3))</formula>
    </cfRule>
    <cfRule type="expression" dxfId="1956" priority="2272" stopIfTrue="1">
      <formula>$B960="Tender Received"</formula>
    </cfRule>
  </conditionalFormatting>
  <conditionalFormatting sqref="M960">
    <cfRule type="expression" dxfId="1955" priority="2269" stopIfTrue="1">
      <formula>AND($B960="Tender Received",$D960&lt;=(TODAY()+3))</formula>
    </cfRule>
    <cfRule type="expression" dxfId="1954" priority="2270" stopIfTrue="1">
      <formula>$B960="Tender Received"</formula>
    </cfRule>
  </conditionalFormatting>
  <conditionalFormatting sqref="B960">
    <cfRule type="expression" dxfId="1953" priority="2267" stopIfTrue="1">
      <formula>AND($B960="Tender Received",$D960&lt;=(TODAY()+3))</formula>
    </cfRule>
    <cfRule type="expression" dxfId="1952" priority="2268" stopIfTrue="1">
      <formula>$B960="Tender Received"</formula>
    </cfRule>
  </conditionalFormatting>
  <conditionalFormatting sqref="J960:K960 E960:H960 R960 M960">
    <cfRule type="expression" dxfId="1951" priority="2265" stopIfTrue="1">
      <formula>AND($B960="Tender Received",$D960&lt;=(TODAY()+3))</formula>
    </cfRule>
    <cfRule type="expression" dxfId="1950" priority="2266" stopIfTrue="1">
      <formula>$B960="Tender Received"</formula>
    </cfRule>
  </conditionalFormatting>
  <conditionalFormatting sqref="L960">
    <cfRule type="expression" dxfId="1949" priority="2263" stopIfTrue="1">
      <formula>AND($B960="Tender Received",$D960&lt;=(TODAY()+3))</formula>
    </cfRule>
    <cfRule type="expression" dxfId="1948" priority="2264" stopIfTrue="1">
      <formula>$B960="Tender Received"</formula>
    </cfRule>
  </conditionalFormatting>
  <conditionalFormatting sqref="L960">
    <cfRule type="expression" dxfId="1947" priority="2261" stopIfTrue="1">
      <formula>AND($B960="Tender Received",$D960&lt;=(TODAY()+3))</formula>
    </cfRule>
    <cfRule type="expression" dxfId="1946" priority="2262" stopIfTrue="1">
      <formula>$B960="Tender Received"</formula>
    </cfRule>
  </conditionalFormatting>
  <conditionalFormatting sqref="D960">
    <cfRule type="expression" dxfId="1945" priority="2259" stopIfTrue="1">
      <formula>AND($B960="Tender Received",$D960&lt;=(TODAY()+3))</formula>
    </cfRule>
    <cfRule type="expression" dxfId="1944" priority="2260" stopIfTrue="1">
      <formula>$B960="Tender Received"</formula>
    </cfRule>
  </conditionalFormatting>
  <conditionalFormatting sqref="O960:P960">
    <cfRule type="expression" dxfId="1943" priority="2257" stopIfTrue="1">
      <formula>AND($B960="Tender Received",$D960&lt;=(TODAY()+3))</formula>
    </cfRule>
    <cfRule type="expression" dxfId="1942" priority="2258" stopIfTrue="1">
      <formula>$B960="Tender Received"</formula>
    </cfRule>
  </conditionalFormatting>
  <conditionalFormatting sqref="N960">
    <cfRule type="expression" dxfId="1941" priority="2255" stopIfTrue="1">
      <formula>AND($B960="Tender Received",$D960&lt;=(TODAY()+3))</formula>
    </cfRule>
    <cfRule type="expression" dxfId="1940" priority="2256" stopIfTrue="1">
      <formula>$B960="Tender Received"</formula>
    </cfRule>
  </conditionalFormatting>
  <conditionalFormatting sqref="C960">
    <cfRule type="expression" dxfId="1939" priority="2253" stopIfTrue="1">
      <formula>AND($B960="Tender Received",$D960&lt;=(TODAY()+3))</formula>
    </cfRule>
    <cfRule type="expression" dxfId="1938" priority="2254" stopIfTrue="1">
      <formula>$B960="Tender Received"</formula>
    </cfRule>
  </conditionalFormatting>
  <conditionalFormatting sqref="I960">
    <cfRule type="expression" dxfId="1937" priority="2251" stopIfTrue="1">
      <formula>AND($B960="Tender Received",$D960&lt;=(TODAY()+3))</formula>
    </cfRule>
    <cfRule type="expression" dxfId="1936" priority="2252" stopIfTrue="1">
      <formula>$B960="Tender Received"</formula>
    </cfRule>
  </conditionalFormatting>
  <conditionalFormatting sqref="I960">
    <cfRule type="expression" dxfId="1935" priority="2249" stopIfTrue="1">
      <formula>AND($B960="Tender Received",$D960&lt;=(TODAY()+3))</formula>
    </cfRule>
    <cfRule type="expression" dxfId="1934" priority="2250" stopIfTrue="1">
      <formula>$B960="Tender Received"</formula>
    </cfRule>
  </conditionalFormatting>
  <conditionalFormatting sqref="Q960">
    <cfRule type="expression" dxfId="1933" priority="2247" stopIfTrue="1">
      <formula>AND($B960="Tender Received",$D960&lt;=(TODAY()+3))</formula>
    </cfRule>
    <cfRule type="expression" dxfId="1932" priority="2248" stopIfTrue="1">
      <formula>$B960="Tender Received"</formula>
    </cfRule>
  </conditionalFormatting>
  <conditionalFormatting sqref="B13 O13:R13 D13:K14">
    <cfRule type="expression" dxfId="1931" priority="2201" stopIfTrue="1">
      <formula>AND($B13="Tender Received",$D13&lt;=(TODAY()+3))</formula>
    </cfRule>
    <cfRule type="expression" dxfId="1930" priority="2202" stopIfTrue="1">
      <formula>$B13="Tender Received"</formula>
    </cfRule>
  </conditionalFormatting>
  <conditionalFormatting sqref="M13:N13">
    <cfRule type="expression" dxfId="1929" priority="2199" stopIfTrue="1">
      <formula>AND($B13="Tender Received",$D13&lt;=(TODAY()+3))</formula>
    </cfRule>
    <cfRule type="expression" dxfId="1928" priority="2200" stopIfTrue="1">
      <formula>$B13="Tender Received"</formula>
    </cfRule>
  </conditionalFormatting>
  <conditionalFormatting sqref="L13">
    <cfRule type="expression" dxfId="1927" priority="2197" stopIfTrue="1">
      <formula>AND($B13="Tender Received",$D13&lt;=(TODAY()+3))</formula>
    </cfRule>
    <cfRule type="expression" dxfId="1926" priority="2198" stopIfTrue="1">
      <formula>$B13="Tender Received"</formula>
    </cfRule>
  </conditionalFormatting>
  <conditionalFormatting sqref="C13:C14">
    <cfRule type="expression" dxfId="1925" priority="2195" stopIfTrue="1">
      <formula>AND($B13="Tender Received",$D13&lt;=(TODAY()+3))</formula>
    </cfRule>
    <cfRule type="expression" dxfId="1924" priority="2196" stopIfTrue="1">
      <formula>$B13="Tender Received"</formula>
    </cfRule>
  </conditionalFormatting>
  <conditionalFormatting sqref="J23:R23 M13:R13 B15:K15 B14:G14 B22:R22 B23:C23 B24:G24 M14:P14 R14 R21 E23:G23 D13:G13 H13:K14 B21:G21 B20 M15 I21:N21 P21 I24:P24 R24">
    <cfRule type="expression" dxfId="1923" priority="2191" stopIfTrue="1">
      <formula>AND($B13="Tender Received",$D13&lt;=(TODAY()+3))</formula>
    </cfRule>
    <cfRule type="expression" dxfId="1922" priority="2192" stopIfTrue="1">
      <formula>$B13="Tender Received"</formula>
    </cfRule>
  </conditionalFormatting>
  <conditionalFormatting sqref="M14:N14">
    <cfRule type="expression" dxfId="1921" priority="2189" stopIfTrue="1">
      <formula>AND($B14="Tender Received",$D14&lt;=(TODAY()+3))</formula>
    </cfRule>
    <cfRule type="expression" dxfId="1920" priority="2190" stopIfTrue="1">
      <formula>$B14="Tender Received"</formula>
    </cfRule>
  </conditionalFormatting>
  <conditionalFormatting sqref="L14">
    <cfRule type="expression" dxfId="1919" priority="2185" stopIfTrue="1">
      <formula>AND($B14="Tender Received",$D14&lt;=(TODAY()+3))</formula>
    </cfRule>
    <cfRule type="expression" dxfId="1918" priority="2186" stopIfTrue="1">
      <formula>$B14="Tender Received"</formula>
    </cfRule>
  </conditionalFormatting>
  <conditionalFormatting sqref="C14:C15">
    <cfRule type="expression" dxfId="1917" priority="2183" stopIfTrue="1">
      <formula>AND($B14="Tender Received",$D14&lt;=(TODAY()+3))</formula>
    </cfRule>
    <cfRule type="expression" dxfId="1916" priority="2184" stopIfTrue="1">
      <formula>$B14="Tender Received"</formula>
    </cfRule>
  </conditionalFormatting>
  <conditionalFormatting sqref="L15">
    <cfRule type="expression" dxfId="1915" priority="2181" stopIfTrue="1">
      <formula>AND($B15="Tender Received",$D15&lt;=(TODAY()+3))</formula>
    </cfRule>
    <cfRule type="expression" dxfId="1914" priority="2182" stopIfTrue="1">
      <formula>$B15="Tender Received"</formula>
    </cfRule>
  </conditionalFormatting>
  <conditionalFormatting sqref="L14:L15">
    <cfRule type="expression" dxfId="1913" priority="2179" stopIfTrue="1">
      <formula>AND($B14="Tender Received",$D14&lt;=(TODAY()+3))</formula>
    </cfRule>
    <cfRule type="expression" dxfId="1912" priority="2180" stopIfTrue="1">
      <formula>$B14="Tender Received"</formula>
    </cfRule>
  </conditionalFormatting>
  <conditionalFormatting sqref="C13:C14">
    <cfRule type="expression" dxfId="1911" priority="2177" stopIfTrue="1">
      <formula>AND($B13="Tender Received",$D13&lt;=(TODAY()+3))</formula>
    </cfRule>
    <cfRule type="expression" dxfId="1910" priority="2178" stopIfTrue="1">
      <formula>$B13="Tender Received"</formula>
    </cfRule>
  </conditionalFormatting>
  <conditionalFormatting sqref="L13">
    <cfRule type="expression" dxfId="1909" priority="2175" stopIfTrue="1">
      <formula>AND($B13="Tender Received",$D13&lt;=(TODAY()+3))</formula>
    </cfRule>
    <cfRule type="expression" dxfId="1908" priority="2176" stopIfTrue="1">
      <formula>$B13="Tender Received"</formula>
    </cfRule>
  </conditionalFormatting>
  <conditionalFormatting sqref="C20:H20 J20:P20 R20">
    <cfRule type="expression" dxfId="1907" priority="2173" stopIfTrue="1">
      <formula>AND($B20="Tender Received",$D20&lt;=(TODAY()+3))</formula>
    </cfRule>
    <cfRule type="expression" dxfId="1906" priority="2174" stopIfTrue="1">
      <formula>$B20="Tender Received"</formula>
    </cfRule>
  </conditionalFormatting>
  <conditionalFormatting sqref="I20">
    <cfRule type="expression" dxfId="1905" priority="2169" stopIfTrue="1">
      <formula>AND($B20="Tender Received",$D20&lt;=(TODAY()+3))</formula>
    </cfRule>
    <cfRule type="expression" dxfId="1904" priority="2170" stopIfTrue="1">
      <formula>$B20="Tender Received"</formula>
    </cfRule>
  </conditionalFormatting>
  <conditionalFormatting sqref="H14:I14">
    <cfRule type="expression" dxfId="1903" priority="2157" stopIfTrue="1">
      <formula>AND($B14="Tender Received",$D14&lt;=(TODAY()+3))</formula>
    </cfRule>
    <cfRule type="expression" dxfId="1902" priority="2158" stopIfTrue="1">
      <formula>$B14="Tender Received"</formula>
    </cfRule>
  </conditionalFormatting>
  <conditionalFormatting sqref="Q14">
    <cfRule type="expression" dxfId="1901" priority="2155" stopIfTrue="1">
      <formula>AND($B14="Tender Received",$D14&lt;=(TODAY()+3))</formula>
    </cfRule>
    <cfRule type="expression" dxfId="1900" priority="2156" stopIfTrue="1">
      <formula>$B14="Tender Received"</formula>
    </cfRule>
  </conditionalFormatting>
  <conditionalFormatting sqref="H23:I23">
    <cfRule type="expression" dxfId="1899" priority="2151" stopIfTrue="1">
      <formula>AND($B23="Tender Received",$D23&lt;=(TODAY()+3))</formula>
    </cfRule>
    <cfRule type="expression" dxfId="1898" priority="2152" stopIfTrue="1">
      <formula>$B23="Tender Received"</formula>
    </cfRule>
  </conditionalFormatting>
  <conditionalFormatting sqref="Q20">
    <cfRule type="expression" dxfId="1897" priority="2135" stopIfTrue="1">
      <formula>AND($B20="Tender Received",$D20&lt;=(TODAY()+3))</formula>
    </cfRule>
    <cfRule type="expression" dxfId="1896" priority="2136" stopIfTrue="1">
      <formula>$B20="Tender Received"</formula>
    </cfRule>
  </conditionalFormatting>
  <conditionalFormatting sqref="I13">
    <cfRule type="expression" dxfId="1895" priority="2127" stopIfTrue="1">
      <formula>AND($B13="Tender Received",$D13&lt;=(TODAY()+3))</formula>
    </cfRule>
    <cfRule type="expression" dxfId="1894" priority="2128" stopIfTrue="1">
      <formula>$B13="Tender Received"</formula>
    </cfRule>
  </conditionalFormatting>
  <conditionalFormatting sqref="Q21">
    <cfRule type="expression" dxfId="1893" priority="2125" stopIfTrue="1">
      <formula>AND($B21="Tender Received",$D21&lt;=(TODAY()+3))</formula>
    </cfRule>
    <cfRule type="expression" dxfId="1892" priority="2126" stopIfTrue="1">
      <formula>$B21="Tender Received"</formula>
    </cfRule>
  </conditionalFormatting>
  <conditionalFormatting sqref="D23">
    <cfRule type="expression" dxfId="1891" priority="2121" stopIfTrue="1">
      <formula>AND($B23="Tender Received",$D23&lt;=(TODAY()+3))</formula>
    </cfRule>
    <cfRule type="expression" dxfId="1890" priority="2122" stopIfTrue="1">
      <formula>$B23="Tender Received"</formula>
    </cfRule>
  </conditionalFormatting>
  <conditionalFormatting sqref="B27:G27 I27:R27 B28:R29">
    <cfRule type="expression" dxfId="1889" priority="2113" stopIfTrue="1">
      <formula>AND($B27="Tender Received",$D27&lt;=(TODAY()+3))</formula>
    </cfRule>
    <cfRule type="expression" dxfId="1888" priority="2114" stopIfTrue="1">
      <formula>$B27="Tender Received"</formula>
    </cfRule>
  </conditionalFormatting>
  <conditionalFormatting sqref="H27">
    <cfRule type="expression" dxfId="1887" priority="2111" stopIfTrue="1">
      <formula>AND($B27="Tender Received",$D27&lt;=(TODAY()+3))</formula>
    </cfRule>
    <cfRule type="expression" dxfId="1886" priority="2112" stopIfTrue="1">
      <formula>$B27="Tender Received"</formula>
    </cfRule>
  </conditionalFormatting>
  <conditionalFormatting sqref="B31:C31 B30:G30 I30:P30 R30 E31:R31">
    <cfRule type="expression" dxfId="1885" priority="2109" stopIfTrue="1">
      <formula>AND($B30="Tender Received",$D30&lt;=(TODAY()+3))</formula>
    </cfRule>
    <cfRule type="expression" dxfId="1884" priority="2110" stopIfTrue="1">
      <formula>$B30="Tender Received"</formula>
    </cfRule>
  </conditionalFormatting>
  <conditionalFormatting sqref="H44">
    <cfRule type="expression" dxfId="1883" priority="2107" stopIfTrue="1">
      <formula>AND($B44="Tender Received",$D44&lt;=(TODAY()+3))</formula>
    </cfRule>
    <cfRule type="expression" dxfId="1882" priority="2108" stopIfTrue="1">
      <formula>$B44="Tender Received"</formula>
    </cfRule>
  </conditionalFormatting>
  <conditionalFormatting sqref="H60">
    <cfRule type="expression" dxfId="1881" priority="2105" stopIfTrue="1">
      <formula>AND($B60="Tender Received",$D60&lt;=(TODAY()+3))</formula>
    </cfRule>
    <cfRule type="expression" dxfId="1880" priority="2106" stopIfTrue="1">
      <formula>$B60="Tender Received"</formula>
    </cfRule>
  </conditionalFormatting>
  <conditionalFormatting sqref="Q60">
    <cfRule type="expression" dxfId="1879" priority="2103" stopIfTrue="1">
      <formula>AND($B60="Tender Received",$D60&lt;=(TODAY()+3))</formula>
    </cfRule>
    <cfRule type="expression" dxfId="1878" priority="2104" stopIfTrue="1">
      <formula>$B60="Tender Received"</formula>
    </cfRule>
  </conditionalFormatting>
  <conditionalFormatting sqref="H64">
    <cfRule type="expression" dxfId="1877" priority="2101" stopIfTrue="1">
      <formula>AND($B64="Tender Received",$D64&lt;=(TODAY()+3))</formula>
    </cfRule>
    <cfRule type="expression" dxfId="1876" priority="2102" stopIfTrue="1">
      <formula>$B64="Tender Received"</formula>
    </cfRule>
  </conditionalFormatting>
  <conditionalFormatting sqref="Q64">
    <cfRule type="expression" dxfId="1875" priority="2099" stopIfTrue="1">
      <formula>AND($B64="Tender Received",$D64&lt;=(TODAY()+3))</formula>
    </cfRule>
    <cfRule type="expression" dxfId="1874" priority="2100" stopIfTrue="1">
      <formula>$B64="Tender Received"</formula>
    </cfRule>
  </conditionalFormatting>
  <conditionalFormatting sqref="I10">
    <cfRule type="expression" dxfId="1873" priority="2081" stopIfTrue="1">
      <formula>AND($B10="Tender Received",$D10&lt;=(TODAY()+3))</formula>
    </cfRule>
    <cfRule type="expression" dxfId="1872" priority="2082" stopIfTrue="1">
      <formula>$B10="Tender Received"</formula>
    </cfRule>
  </conditionalFormatting>
  <conditionalFormatting sqref="I10">
    <cfRule type="expression" dxfId="1871" priority="2079" stopIfTrue="1">
      <formula>AND($B10="Tender Received",$D10&lt;=(TODAY()+3))</formula>
    </cfRule>
    <cfRule type="expression" dxfId="1870" priority="2080" stopIfTrue="1">
      <formula>$B10="Tender Received"</formula>
    </cfRule>
  </conditionalFormatting>
  <conditionalFormatting sqref="O961:R961 B961:H961 J961:K961 B961:B968">
    <cfRule type="expression" dxfId="1869" priority="2077" stopIfTrue="1">
      <formula>AND($B961="Tender Received",$D961&lt;=(TODAY()+3))</formula>
    </cfRule>
    <cfRule type="expression" dxfId="1868" priority="2078" stopIfTrue="1">
      <formula>$B961="Tender Received"</formula>
    </cfRule>
  </conditionalFormatting>
  <conditionalFormatting sqref="M961:N961">
    <cfRule type="expression" dxfId="1867" priority="2075" stopIfTrue="1">
      <formula>AND($B961="Tender Received",$D961&lt;=(TODAY()+3))</formula>
    </cfRule>
    <cfRule type="expression" dxfId="1866" priority="2076" stopIfTrue="1">
      <formula>$B961="Tender Received"</formula>
    </cfRule>
  </conditionalFormatting>
  <conditionalFormatting sqref="L961">
    <cfRule type="expression" dxfId="1865" priority="2073" stopIfTrue="1">
      <formula>AND($B961="Tender Received",$D961&lt;=(TODAY()+3))</formula>
    </cfRule>
    <cfRule type="expression" dxfId="1864" priority="2074" stopIfTrue="1">
      <formula>$B961="Tender Received"</formula>
    </cfRule>
  </conditionalFormatting>
  <conditionalFormatting sqref="L961">
    <cfRule type="expression" dxfId="1863" priority="2071" stopIfTrue="1">
      <formula>AND($B961="Tender Received",$D961&lt;=(TODAY()+3))</formula>
    </cfRule>
    <cfRule type="expression" dxfId="1862" priority="2072" stopIfTrue="1">
      <formula>$B961="Tender Received"</formula>
    </cfRule>
  </conditionalFormatting>
  <conditionalFormatting sqref="I961">
    <cfRule type="expression" dxfId="1861" priority="2069" stopIfTrue="1">
      <formula>AND($B961="Tender Received",$D961&lt;=(TODAY()+3))</formula>
    </cfRule>
    <cfRule type="expression" dxfId="1860" priority="2070" stopIfTrue="1">
      <formula>$B961="Tender Received"</formula>
    </cfRule>
  </conditionalFormatting>
  <conditionalFormatting sqref="D11">
    <cfRule type="expression" dxfId="1859" priority="2067" stopIfTrue="1">
      <formula>AND($B11="Tender Received",$D11&lt;=(TODAY()+3))</formula>
    </cfRule>
    <cfRule type="expression" dxfId="1858" priority="2068" stopIfTrue="1">
      <formula>$B11="Tender Received"</formula>
    </cfRule>
  </conditionalFormatting>
  <conditionalFormatting sqref="O962:R963 F963:I963 D962:K962 B962:B963 K963 D963">
    <cfRule type="expression" dxfId="1857" priority="2051" stopIfTrue="1">
      <formula>AND($B962="Tender Received",$D962&lt;=(TODAY()+3))</formula>
    </cfRule>
    <cfRule type="expression" dxfId="1856" priority="2052" stopIfTrue="1">
      <formula>$B962="Tender Received"</formula>
    </cfRule>
  </conditionalFormatting>
  <conditionalFormatting sqref="I962">
    <cfRule type="expression" dxfId="1855" priority="2049" stopIfTrue="1">
      <formula>AND($B962="Tender Received",$D962&lt;=(TODAY()+3))</formula>
    </cfRule>
    <cfRule type="expression" dxfId="1854" priority="2050" stopIfTrue="1">
      <formula>$B962="Tender Received"</formula>
    </cfRule>
  </conditionalFormatting>
  <conditionalFormatting sqref="M962:N963">
    <cfRule type="expression" dxfId="1853" priority="2047" stopIfTrue="1">
      <formula>AND($B962="Tender Received",$D962&lt;=(TODAY()+3))</formula>
    </cfRule>
    <cfRule type="expression" dxfId="1852" priority="2048" stopIfTrue="1">
      <formula>$B962="Tender Received"</formula>
    </cfRule>
  </conditionalFormatting>
  <conditionalFormatting sqref="C962:C963">
    <cfRule type="expression" dxfId="1851" priority="2045" stopIfTrue="1">
      <formula>AND($B962="Tender Received",$D962&lt;=(TODAY()+3))</formula>
    </cfRule>
    <cfRule type="expression" dxfId="1850" priority="2046" stopIfTrue="1">
      <formula>$B962="Tender Received"</formula>
    </cfRule>
  </conditionalFormatting>
  <conditionalFormatting sqref="I963">
    <cfRule type="expression" dxfId="1849" priority="2043" stopIfTrue="1">
      <formula>AND($B963="Tender Received",$D963&lt;=(TODAY()+3))</formula>
    </cfRule>
    <cfRule type="expression" dxfId="1848" priority="2044" stopIfTrue="1">
      <formula>$B963="Tender Received"</formula>
    </cfRule>
  </conditionalFormatting>
  <conditionalFormatting sqref="L963">
    <cfRule type="expression" dxfId="1847" priority="2041" stopIfTrue="1">
      <formula>AND($B963="Tender Received",$D963&lt;=(TODAY()+3))</formula>
    </cfRule>
    <cfRule type="expression" dxfId="1846" priority="2042" stopIfTrue="1">
      <formula>$B963="Tender Received"</formula>
    </cfRule>
  </conditionalFormatting>
  <conditionalFormatting sqref="L962">
    <cfRule type="expression" dxfId="1845" priority="2039" stopIfTrue="1">
      <formula>AND($B962="Tender Received",$D962&lt;=(TODAY()+3))</formula>
    </cfRule>
    <cfRule type="expression" dxfId="1844" priority="2040" stopIfTrue="1">
      <formula>$B962="Tender Received"</formula>
    </cfRule>
  </conditionalFormatting>
  <conditionalFormatting sqref="L962">
    <cfRule type="expression" dxfId="1843" priority="2037" stopIfTrue="1">
      <formula>AND($B962="Tender Received",$D962&lt;=(TODAY()+3))</formula>
    </cfRule>
    <cfRule type="expression" dxfId="1842" priority="2038" stopIfTrue="1">
      <formula>$B962="Tender Received"</formula>
    </cfRule>
  </conditionalFormatting>
  <conditionalFormatting sqref="L963">
    <cfRule type="expression" dxfId="1841" priority="2035" stopIfTrue="1">
      <formula>AND($B963="Tender Received",$D963&lt;=(TODAY()+3))</formula>
    </cfRule>
    <cfRule type="expression" dxfId="1840" priority="2036" stopIfTrue="1">
      <formula>$B963="Tender Received"</formula>
    </cfRule>
  </conditionalFormatting>
  <conditionalFormatting sqref="J963">
    <cfRule type="expression" dxfId="1839" priority="2033" stopIfTrue="1">
      <formula>AND($B963="Tender Received",$D963&lt;=(TODAY()+3))</formula>
    </cfRule>
    <cfRule type="expression" dxfId="1838" priority="2034" stopIfTrue="1">
      <formula>$B963="Tender Received"</formula>
    </cfRule>
  </conditionalFormatting>
  <conditionalFormatting sqref="E963">
    <cfRule type="expression" dxfId="1837" priority="2031" stopIfTrue="1">
      <formula>AND($B963="Tender Received",$D963&lt;=(TODAY()+3))</formula>
    </cfRule>
    <cfRule type="expression" dxfId="1836" priority="2032" stopIfTrue="1">
      <formula>$B963="Tender Received"</formula>
    </cfRule>
  </conditionalFormatting>
  <conditionalFormatting sqref="O964:R964 B964 K964 D964:H964">
    <cfRule type="expression" dxfId="1835" priority="2029" stopIfTrue="1">
      <formula>AND($B964="Tender Received",$D964&lt;=(TODAY()+3))</formula>
    </cfRule>
    <cfRule type="expression" dxfId="1834" priority="2030" stopIfTrue="1">
      <formula>$B964="Tender Received"</formula>
    </cfRule>
  </conditionalFormatting>
  <conditionalFormatting sqref="M964:N964">
    <cfRule type="expression" dxfId="1833" priority="2027" stopIfTrue="1">
      <formula>AND($B964="Tender Received",$D964&lt;=(TODAY()+3))</formula>
    </cfRule>
    <cfRule type="expression" dxfId="1832" priority="2028" stopIfTrue="1">
      <formula>$B964="Tender Received"</formula>
    </cfRule>
  </conditionalFormatting>
  <conditionalFormatting sqref="L964">
    <cfRule type="expression" dxfId="1831" priority="2025" stopIfTrue="1">
      <formula>AND($B964="Tender Received",$D964&lt;=(TODAY()+3))</formula>
    </cfRule>
    <cfRule type="expression" dxfId="1830" priority="2026" stopIfTrue="1">
      <formula>$B964="Tender Received"</formula>
    </cfRule>
  </conditionalFormatting>
  <conditionalFormatting sqref="C964">
    <cfRule type="expression" dxfId="1829" priority="2023" stopIfTrue="1">
      <formula>AND($B964="Tender Received",$D964&lt;=(TODAY()+3))</formula>
    </cfRule>
    <cfRule type="expression" dxfId="1828" priority="2024" stopIfTrue="1">
      <formula>$B964="Tender Received"</formula>
    </cfRule>
  </conditionalFormatting>
  <conditionalFormatting sqref="L964">
    <cfRule type="expression" dxfId="1827" priority="2021" stopIfTrue="1">
      <formula>AND($B964="Tender Received",$D964&lt;=(TODAY()+3))</formula>
    </cfRule>
    <cfRule type="expression" dxfId="1826" priority="2022" stopIfTrue="1">
      <formula>$B964="Tender Received"</formula>
    </cfRule>
  </conditionalFormatting>
  <conditionalFormatting sqref="J964">
    <cfRule type="expression" dxfId="1825" priority="2019" stopIfTrue="1">
      <formula>AND($B964="Tender Received",$D964&lt;=(TODAY()+3))</formula>
    </cfRule>
    <cfRule type="expression" dxfId="1824" priority="2020" stopIfTrue="1">
      <formula>$B964="Tender Received"</formula>
    </cfRule>
  </conditionalFormatting>
  <conditionalFormatting sqref="I964">
    <cfRule type="expression" dxfId="1823" priority="2017" stopIfTrue="1">
      <formula>AND($B964="Tender Received",$D964&lt;=(TODAY()+3))</formula>
    </cfRule>
    <cfRule type="expression" dxfId="1822" priority="2018" stopIfTrue="1">
      <formula>$B964="Tender Received"</formula>
    </cfRule>
  </conditionalFormatting>
  <conditionalFormatting sqref="O965:R965 B965 D965:K965">
    <cfRule type="expression" dxfId="1821" priority="2015" stopIfTrue="1">
      <formula>AND($B965="Tender Received",$D965&lt;=(TODAY()+3))</formula>
    </cfRule>
    <cfRule type="expression" dxfId="1820" priority="2016" stopIfTrue="1">
      <formula>$B965="Tender Received"</formula>
    </cfRule>
  </conditionalFormatting>
  <conditionalFormatting sqref="I965">
    <cfRule type="expression" dxfId="1819" priority="2013" stopIfTrue="1">
      <formula>AND($B965="Tender Received",$D965&lt;=(TODAY()+3))</formula>
    </cfRule>
    <cfRule type="expression" dxfId="1818" priority="2014" stopIfTrue="1">
      <formula>$B965="Tender Received"</formula>
    </cfRule>
  </conditionalFormatting>
  <conditionalFormatting sqref="M965:N965">
    <cfRule type="expression" dxfId="1817" priority="2011" stopIfTrue="1">
      <formula>AND($B965="Tender Received",$D965&lt;=(TODAY()+3))</formula>
    </cfRule>
    <cfRule type="expression" dxfId="1816" priority="2012" stopIfTrue="1">
      <formula>$B965="Tender Received"</formula>
    </cfRule>
  </conditionalFormatting>
  <conditionalFormatting sqref="C965">
    <cfRule type="expression" dxfId="1815" priority="2009" stopIfTrue="1">
      <formula>AND($B965="Tender Received",$D965&lt;=(TODAY()+3))</formula>
    </cfRule>
    <cfRule type="expression" dxfId="1814" priority="2010" stopIfTrue="1">
      <formula>$B965="Tender Received"</formula>
    </cfRule>
  </conditionalFormatting>
  <conditionalFormatting sqref="O965:R965 D965:K965">
    <cfRule type="expression" dxfId="1813" priority="2007" stopIfTrue="1">
      <formula>AND($B965="Tender Received",$D965&lt;=(TODAY()+3))</formula>
    </cfRule>
    <cfRule type="expression" dxfId="1812" priority="2008" stopIfTrue="1">
      <formula>$B965="Tender Received"</formula>
    </cfRule>
  </conditionalFormatting>
  <conditionalFormatting sqref="M965:N965">
    <cfRule type="expression" dxfId="1811" priority="2005" stopIfTrue="1">
      <formula>AND($B965="Tender Received",$D965&lt;=(TODAY()+3))</formula>
    </cfRule>
    <cfRule type="expression" dxfId="1810" priority="2006" stopIfTrue="1">
      <formula>$B965="Tender Received"</formula>
    </cfRule>
  </conditionalFormatting>
  <conditionalFormatting sqref="C965">
    <cfRule type="expression" dxfId="1809" priority="2003" stopIfTrue="1">
      <formula>AND($B965="Tender Received",$D965&lt;=(TODAY()+3))</formula>
    </cfRule>
    <cfRule type="expression" dxfId="1808" priority="2004" stopIfTrue="1">
      <formula>$B965="Tender Received"</formula>
    </cfRule>
  </conditionalFormatting>
  <conditionalFormatting sqref="L965">
    <cfRule type="expression" dxfId="1807" priority="2001" stopIfTrue="1">
      <formula>AND($B965="Tender Received",$D965&lt;=(TODAY()+3))</formula>
    </cfRule>
    <cfRule type="expression" dxfId="1806" priority="2002" stopIfTrue="1">
      <formula>$B965="Tender Received"</formula>
    </cfRule>
  </conditionalFormatting>
  <conditionalFormatting sqref="L965">
    <cfRule type="expression" dxfId="1805" priority="1999" stopIfTrue="1">
      <formula>AND($B965="Tender Received",$D965&lt;=(TODAY()+3))</formula>
    </cfRule>
    <cfRule type="expression" dxfId="1804" priority="2000" stopIfTrue="1">
      <formula>$B965="Tender Received"</formula>
    </cfRule>
  </conditionalFormatting>
  <conditionalFormatting sqref="C965">
    <cfRule type="expression" dxfId="1803" priority="1997" stopIfTrue="1">
      <formula>AND($B965="Tender Received",$D965&lt;=(TODAY()+3))</formula>
    </cfRule>
    <cfRule type="expression" dxfId="1802" priority="1998" stopIfTrue="1">
      <formula>$B965="Tender Received"</formula>
    </cfRule>
  </conditionalFormatting>
  <conditionalFormatting sqref="D966:K966">
    <cfRule type="expression" dxfId="1801" priority="1995" stopIfTrue="1">
      <formula>AND($B966="Tender Received",$D966&lt;=(TODAY()+3))</formula>
    </cfRule>
    <cfRule type="expression" dxfId="1800" priority="1996" stopIfTrue="1">
      <formula>$B966="Tender Received"</formula>
    </cfRule>
  </conditionalFormatting>
  <conditionalFormatting sqref="C966">
    <cfRule type="expression" dxfId="1799" priority="1993" stopIfTrue="1">
      <formula>AND($B966="Tender Received",$D966&lt;=(TODAY()+3))</formula>
    </cfRule>
    <cfRule type="expression" dxfId="1798" priority="1994" stopIfTrue="1">
      <formula>$B966="Tender Received"</formula>
    </cfRule>
  </conditionalFormatting>
  <conditionalFormatting sqref="M966:P966 R966 B966:K966">
    <cfRule type="expression" dxfId="1797" priority="1991" stopIfTrue="1">
      <formula>AND($B966="Tender Received",$D966&lt;=(TODAY()+3))</formula>
    </cfRule>
    <cfRule type="expression" dxfId="1796" priority="1992" stopIfTrue="1">
      <formula>$B966="Tender Received"</formula>
    </cfRule>
  </conditionalFormatting>
  <conditionalFormatting sqref="M966:N966">
    <cfRule type="expression" dxfId="1795" priority="1989" stopIfTrue="1">
      <formula>AND($B966="Tender Received",$D966&lt;=(TODAY()+3))</formula>
    </cfRule>
    <cfRule type="expression" dxfId="1794" priority="1990" stopIfTrue="1">
      <formula>$B966="Tender Received"</formula>
    </cfRule>
  </conditionalFormatting>
  <conditionalFormatting sqref="L966">
    <cfRule type="expression" dxfId="1793" priority="1987" stopIfTrue="1">
      <formula>AND($B966="Tender Received",$D966&lt;=(TODAY()+3))</formula>
    </cfRule>
    <cfRule type="expression" dxfId="1792" priority="1988" stopIfTrue="1">
      <formula>$B966="Tender Received"</formula>
    </cfRule>
  </conditionalFormatting>
  <conditionalFormatting sqref="C966">
    <cfRule type="expression" dxfId="1791" priority="1985" stopIfTrue="1">
      <formula>AND($B966="Tender Received",$D966&lt;=(TODAY()+3))</formula>
    </cfRule>
    <cfRule type="expression" dxfId="1790" priority="1986" stopIfTrue="1">
      <formula>$B966="Tender Received"</formula>
    </cfRule>
  </conditionalFormatting>
  <conditionalFormatting sqref="L966">
    <cfRule type="expression" dxfId="1789" priority="1983" stopIfTrue="1">
      <formula>AND($B966="Tender Received",$D966&lt;=(TODAY()+3))</formula>
    </cfRule>
    <cfRule type="expression" dxfId="1788" priority="1984" stopIfTrue="1">
      <formula>$B966="Tender Received"</formula>
    </cfRule>
  </conditionalFormatting>
  <conditionalFormatting sqref="C966">
    <cfRule type="expression" dxfId="1787" priority="1981" stopIfTrue="1">
      <formula>AND($B966="Tender Received",$D966&lt;=(TODAY()+3))</formula>
    </cfRule>
    <cfRule type="expression" dxfId="1786" priority="1982" stopIfTrue="1">
      <formula>$B966="Tender Received"</formula>
    </cfRule>
  </conditionalFormatting>
  <conditionalFormatting sqref="H966:I966">
    <cfRule type="expression" dxfId="1785" priority="1979" stopIfTrue="1">
      <formula>AND($B966="Tender Received",$D966&lt;=(TODAY()+3))</formula>
    </cfRule>
    <cfRule type="expression" dxfId="1784" priority="1980" stopIfTrue="1">
      <formula>$B966="Tender Received"</formula>
    </cfRule>
  </conditionalFormatting>
  <conditionalFormatting sqref="Q966">
    <cfRule type="expression" dxfId="1783" priority="1977" stopIfTrue="1">
      <formula>AND($B966="Tender Received",$D966&lt;=(TODAY()+3))</formula>
    </cfRule>
    <cfRule type="expression" dxfId="1782" priority="1978" stopIfTrue="1">
      <formula>$B966="Tender Received"</formula>
    </cfRule>
  </conditionalFormatting>
  <conditionalFormatting sqref="B967:K967 M967:P967 R967">
    <cfRule type="expression" dxfId="1781" priority="1975" stopIfTrue="1">
      <formula>AND($B967="Tender Received",$D967&lt;=(TODAY()+3))</formula>
    </cfRule>
    <cfRule type="expression" dxfId="1780" priority="1976" stopIfTrue="1">
      <formula>$B967="Tender Received"</formula>
    </cfRule>
  </conditionalFormatting>
  <conditionalFormatting sqref="C967">
    <cfRule type="expression" dxfId="1779" priority="1973" stopIfTrue="1">
      <formula>AND($B967="Tender Received",$D967&lt;=(TODAY()+3))</formula>
    </cfRule>
    <cfRule type="expression" dxfId="1778" priority="1974" stopIfTrue="1">
      <formula>$B967="Tender Received"</formula>
    </cfRule>
  </conditionalFormatting>
  <conditionalFormatting sqref="L967">
    <cfRule type="expression" dxfId="1777" priority="1971" stopIfTrue="1">
      <formula>AND($B967="Tender Received",$D967&lt;=(TODAY()+3))</formula>
    </cfRule>
    <cfRule type="expression" dxfId="1776" priority="1972" stopIfTrue="1">
      <formula>$B967="Tender Received"</formula>
    </cfRule>
  </conditionalFormatting>
  <conditionalFormatting sqref="L967">
    <cfRule type="expression" dxfId="1775" priority="1969" stopIfTrue="1">
      <formula>AND($B967="Tender Received",$D967&lt;=(TODAY()+3))</formula>
    </cfRule>
    <cfRule type="expression" dxfId="1774" priority="1970" stopIfTrue="1">
      <formula>$B967="Tender Received"</formula>
    </cfRule>
  </conditionalFormatting>
  <conditionalFormatting sqref="Q967">
    <cfRule type="expression" dxfId="1773" priority="1967" stopIfTrue="1">
      <formula>AND($B967="Tender Received",$D967&lt;=(TODAY()+3))</formula>
    </cfRule>
    <cfRule type="expression" dxfId="1772" priority="1968" stopIfTrue="1">
      <formula>$B967="Tender Received"</formula>
    </cfRule>
  </conditionalFormatting>
  <conditionalFormatting sqref="B968">
    <cfRule type="expression" dxfId="1771" priority="1965" stopIfTrue="1">
      <formula>AND($B968="Tender Received",$D968&lt;=(TODAY()+3))</formula>
    </cfRule>
    <cfRule type="expression" dxfId="1770" priority="1966" stopIfTrue="1">
      <formula>$B968="Tender Received"</formula>
    </cfRule>
  </conditionalFormatting>
  <conditionalFormatting sqref="C968:H968 J968:K968 M968:P968 R968">
    <cfRule type="expression" dxfId="1769" priority="1963" stopIfTrue="1">
      <formula>AND($B968="Tender Received",$D968&lt;=(TODAY()+3))</formula>
    </cfRule>
    <cfRule type="expression" dxfId="1768" priority="1964" stopIfTrue="1">
      <formula>$B968="Tender Received"</formula>
    </cfRule>
  </conditionalFormatting>
  <conditionalFormatting sqref="L968">
    <cfRule type="expression" dxfId="1767" priority="1961" stopIfTrue="1">
      <formula>AND($B968="Tender Received",$D968&lt;=(TODAY()+3))</formula>
    </cfRule>
    <cfRule type="expression" dxfId="1766" priority="1962" stopIfTrue="1">
      <formula>$B968="Tender Received"</formula>
    </cfRule>
  </conditionalFormatting>
  <conditionalFormatting sqref="I968">
    <cfRule type="expression" dxfId="1765" priority="1959" stopIfTrue="1">
      <formula>AND($B968="Tender Received",$D968&lt;=(TODAY()+3))</formula>
    </cfRule>
    <cfRule type="expression" dxfId="1764" priority="1960" stopIfTrue="1">
      <formula>$B968="Tender Received"</formula>
    </cfRule>
  </conditionalFormatting>
  <conditionalFormatting sqref="J968:M968 C968:G968 R968">
    <cfRule type="expression" dxfId="1763" priority="1957" stopIfTrue="1">
      <formula>AND($B968="Tender Received",$D968&lt;=(TODAY()+3))</formula>
    </cfRule>
    <cfRule type="expression" dxfId="1762" priority="1958" stopIfTrue="1">
      <formula>$B968="Tender Received"</formula>
    </cfRule>
  </conditionalFormatting>
  <conditionalFormatting sqref="I968">
    <cfRule type="expression" dxfId="1761" priority="1955" stopIfTrue="1">
      <formula>AND($B968="Tender Received",$D968&lt;=(TODAY()+3))</formula>
    </cfRule>
    <cfRule type="expression" dxfId="1760" priority="1956" stopIfTrue="1">
      <formula>$B968="Tender Received"</formula>
    </cfRule>
  </conditionalFormatting>
  <conditionalFormatting sqref="N968:P968">
    <cfRule type="expression" dxfId="1759" priority="1953" stopIfTrue="1">
      <formula>AND($B968="Tender Received",$D968&lt;=(TODAY()+3))</formula>
    </cfRule>
    <cfRule type="expression" dxfId="1758" priority="1954" stopIfTrue="1">
      <formula>$B968="Tender Received"</formula>
    </cfRule>
  </conditionalFormatting>
  <conditionalFormatting sqref="H968">
    <cfRule type="expression" dxfId="1757" priority="1951" stopIfTrue="1">
      <formula>AND($B968="Tender Received",$D968&lt;=(TODAY()+3))</formula>
    </cfRule>
    <cfRule type="expression" dxfId="1756" priority="1952" stopIfTrue="1">
      <formula>$B968="Tender Received"</formula>
    </cfRule>
  </conditionalFormatting>
  <conditionalFormatting sqref="Q968">
    <cfRule type="expression" dxfId="1755" priority="1949" stopIfTrue="1">
      <formula>AND($B968="Tender Received",$D968&lt;=(TODAY()+3))</formula>
    </cfRule>
    <cfRule type="expression" dxfId="1754" priority="1950" stopIfTrue="1">
      <formula>$B968="Tender Received"</formula>
    </cfRule>
  </conditionalFormatting>
  <conditionalFormatting sqref="Q968">
    <cfRule type="expression" dxfId="1753" priority="1947" stopIfTrue="1">
      <formula>AND($B968="Tender Received",$D968&lt;=(TODAY()+3))</formula>
    </cfRule>
    <cfRule type="expression" dxfId="1752" priority="1948" stopIfTrue="1">
      <formula>$B968="Tender Received"</formula>
    </cfRule>
  </conditionalFormatting>
  <conditionalFormatting sqref="H66">
    <cfRule type="expression" dxfId="1751" priority="1917" stopIfTrue="1">
      <formula>AND($B66="Tender Received",$D66&lt;=(TODAY()+3))</formula>
    </cfRule>
    <cfRule type="expression" dxfId="1750" priority="1918" stopIfTrue="1">
      <formula>$B66="Tender Received"</formula>
    </cfRule>
  </conditionalFormatting>
  <conditionalFormatting sqref="I58">
    <cfRule type="expression" dxfId="1749" priority="1913" stopIfTrue="1">
      <formula>AND($B58="Tender Received",$C58&lt;=(TODAY()+3))</formula>
    </cfRule>
    <cfRule type="expression" dxfId="1748" priority="1914" stopIfTrue="1">
      <formula>$B58="Tender Received"</formula>
    </cfRule>
  </conditionalFormatting>
  <conditionalFormatting sqref="O972:P972 R972 B972:D972">
    <cfRule type="expression" dxfId="1747" priority="1909" stopIfTrue="1">
      <formula>AND($B972="Tender Received",$D972&lt;=(TODAY()+3))</formula>
    </cfRule>
    <cfRule type="expression" dxfId="1746" priority="1910" stopIfTrue="1">
      <formula>$B972="Tender Received"</formula>
    </cfRule>
  </conditionalFormatting>
  <conditionalFormatting sqref="M972:N972">
    <cfRule type="expression" dxfId="1745" priority="1907" stopIfTrue="1">
      <formula>AND($B972="Tender Received",$D972&lt;=(TODAY()+3))</formula>
    </cfRule>
    <cfRule type="expression" dxfId="1744" priority="1908" stopIfTrue="1">
      <formula>$B972="Tender Received"</formula>
    </cfRule>
  </conditionalFormatting>
  <conditionalFormatting sqref="L972">
    <cfRule type="expression" dxfId="1743" priority="1905" stopIfTrue="1">
      <formula>AND($B972="Tender Received",$D972&lt;=(TODAY()+3))</formula>
    </cfRule>
    <cfRule type="expression" dxfId="1742" priority="1906" stopIfTrue="1">
      <formula>$B972="Tender Received"</formula>
    </cfRule>
  </conditionalFormatting>
  <conditionalFormatting sqref="L972">
    <cfRule type="expression" dxfId="1741" priority="1903" stopIfTrue="1">
      <formula>AND($B972="Tender Received",$D972&lt;=(TODAY()+3))</formula>
    </cfRule>
    <cfRule type="expression" dxfId="1740" priority="1904" stopIfTrue="1">
      <formula>$B972="Tender Received"</formula>
    </cfRule>
  </conditionalFormatting>
  <conditionalFormatting sqref="Q972">
    <cfRule type="expression" dxfId="1739" priority="1901" stopIfTrue="1">
      <formula>AND($B972="Tender Received",$D972&lt;=(TODAY()+3))</formula>
    </cfRule>
    <cfRule type="expression" dxfId="1738" priority="1902" stopIfTrue="1">
      <formula>$B972="Tender Received"</formula>
    </cfRule>
  </conditionalFormatting>
  <conditionalFormatting sqref="B970">
    <cfRule type="expression" dxfId="1737" priority="1899" stopIfTrue="1">
      <formula>AND($B970="Tender Received",$D970&lt;=(TODAY()+3))</formula>
    </cfRule>
    <cfRule type="expression" dxfId="1736" priority="1900" stopIfTrue="1">
      <formula>$B970="Tender Received"</formula>
    </cfRule>
  </conditionalFormatting>
  <conditionalFormatting sqref="O970:R970 C970:H970 J970:K970">
    <cfRule type="expression" dxfId="1735" priority="1897" stopIfTrue="1">
      <formula>AND($B970="Tender Received",$D970&lt;=(TODAY()+3))</formula>
    </cfRule>
    <cfRule type="expression" dxfId="1734" priority="1898" stopIfTrue="1">
      <formula>$B970="Tender Received"</formula>
    </cfRule>
  </conditionalFormatting>
  <conditionalFormatting sqref="M970:N970">
    <cfRule type="expression" dxfId="1733" priority="1895" stopIfTrue="1">
      <formula>AND($B970="Tender Received",$D970&lt;=(TODAY()+3))</formula>
    </cfRule>
    <cfRule type="expression" dxfId="1732" priority="1896" stopIfTrue="1">
      <formula>$B970="Tender Received"</formula>
    </cfRule>
  </conditionalFormatting>
  <conditionalFormatting sqref="J970">
    <cfRule type="expression" dxfId="1731" priority="1893" stopIfTrue="1">
      <formula>AND($B970="Tender Received",$D970&lt;=(TODAY()+3))</formula>
    </cfRule>
    <cfRule type="expression" dxfId="1730" priority="1894" stopIfTrue="1">
      <formula>$B970="Tender Received"</formula>
    </cfRule>
  </conditionalFormatting>
  <conditionalFormatting sqref="L970">
    <cfRule type="expression" dxfId="1729" priority="1891" stopIfTrue="1">
      <formula>AND($B970="Tender Received",$D970&lt;=(TODAY()+3))</formula>
    </cfRule>
    <cfRule type="expression" dxfId="1728" priority="1892" stopIfTrue="1">
      <formula>$B970="Tender Received"</formula>
    </cfRule>
  </conditionalFormatting>
  <conditionalFormatting sqref="O970:P970">
    <cfRule type="expression" dxfId="1727" priority="1889" stopIfTrue="1">
      <formula>AND($B970="Tender Received",$D970&lt;=(TODAY()+3))</formula>
    </cfRule>
    <cfRule type="expression" dxfId="1726" priority="1890" stopIfTrue="1">
      <formula>$B970="Tender Received"</formula>
    </cfRule>
  </conditionalFormatting>
  <conditionalFormatting sqref="N970">
    <cfRule type="expression" dxfId="1725" priority="1887" stopIfTrue="1">
      <formula>AND($B970="Tender Received",$D970&lt;=(TODAY()+3))</formula>
    </cfRule>
    <cfRule type="expression" dxfId="1724" priority="1888" stopIfTrue="1">
      <formula>$B970="Tender Received"</formula>
    </cfRule>
  </conditionalFormatting>
  <conditionalFormatting sqref="L970">
    <cfRule type="expression" dxfId="1723" priority="1885" stopIfTrue="1">
      <formula>AND($B970="Tender Received",$D970&lt;=(TODAY()+3))</formula>
    </cfRule>
    <cfRule type="expression" dxfId="1722" priority="1886" stopIfTrue="1">
      <formula>$B970="Tender Received"</formula>
    </cfRule>
  </conditionalFormatting>
  <conditionalFormatting sqref="O969:R969 B969:H969 J969:K969">
    <cfRule type="expression" dxfId="1721" priority="1883" stopIfTrue="1">
      <formula>AND($B969="Tender Received",$D969&lt;=(TODAY()+3))</formula>
    </cfRule>
    <cfRule type="expression" dxfId="1720" priority="1884" stopIfTrue="1">
      <formula>$B969="Tender Received"</formula>
    </cfRule>
  </conditionalFormatting>
  <conditionalFormatting sqref="M969:N969">
    <cfRule type="expression" dxfId="1719" priority="1881" stopIfTrue="1">
      <formula>AND($B969="Tender Received",$D969&lt;=(TODAY()+3))</formula>
    </cfRule>
    <cfRule type="expression" dxfId="1718" priority="1882" stopIfTrue="1">
      <formula>$B969="Tender Received"</formula>
    </cfRule>
  </conditionalFormatting>
  <conditionalFormatting sqref="L969">
    <cfRule type="expression" dxfId="1717" priority="1879" stopIfTrue="1">
      <formula>AND($B969="Tender Received",$D969&lt;=(TODAY()+3))</formula>
    </cfRule>
    <cfRule type="expression" dxfId="1716" priority="1880" stopIfTrue="1">
      <formula>$B969="Tender Received"</formula>
    </cfRule>
  </conditionalFormatting>
  <conditionalFormatting sqref="L969">
    <cfRule type="expression" dxfId="1715" priority="1877" stopIfTrue="1">
      <formula>AND($B969="Tender Received",$D969&lt;=(TODAY()+3))</formula>
    </cfRule>
    <cfRule type="expression" dxfId="1714" priority="1878" stopIfTrue="1">
      <formula>$B969="Tender Received"</formula>
    </cfRule>
  </conditionalFormatting>
  <conditionalFormatting sqref="J971:K971 E971:H971 R971">
    <cfRule type="expression" dxfId="1713" priority="1875" stopIfTrue="1">
      <formula>AND($B971="Tender Received",$D971&lt;=(TODAY()+3))</formula>
    </cfRule>
    <cfRule type="expression" dxfId="1712" priority="1876" stopIfTrue="1">
      <formula>$B971="Tender Received"</formula>
    </cfRule>
  </conditionalFormatting>
  <conditionalFormatting sqref="M971">
    <cfRule type="expression" dxfId="1711" priority="1873" stopIfTrue="1">
      <formula>AND($B971="Tender Received",$D971&lt;=(TODAY()+3))</formula>
    </cfRule>
    <cfRule type="expression" dxfId="1710" priority="1874" stopIfTrue="1">
      <formula>$B971="Tender Received"</formula>
    </cfRule>
  </conditionalFormatting>
  <conditionalFormatting sqref="B971">
    <cfRule type="expression" dxfId="1709" priority="1871" stopIfTrue="1">
      <formula>AND($B971="Tender Received",$D971&lt;=(TODAY()+3))</formula>
    </cfRule>
    <cfRule type="expression" dxfId="1708" priority="1872" stopIfTrue="1">
      <formula>$B971="Tender Received"</formula>
    </cfRule>
  </conditionalFormatting>
  <conditionalFormatting sqref="J971:K971 E971:H971 R971 M971">
    <cfRule type="expression" dxfId="1707" priority="1869" stopIfTrue="1">
      <formula>AND($B971="Tender Received",$D971&lt;=(TODAY()+3))</formula>
    </cfRule>
    <cfRule type="expression" dxfId="1706" priority="1870" stopIfTrue="1">
      <formula>$B971="Tender Received"</formula>
    </cfRule>
  </conditionalFormatting>
  <conditionalFormatting sqref="L971">
    <cfRule type="expression" dxfId="1705" priority="1867" stopIfTrue="1">
      <formula>AND($B971="Tender Received",$D971&lt;=(TODAY()+3))</formula>
    </cfRule>
    <cfRule type="expression" dxfId="1704" priority="1868" stopIfTrue="1">
      <formula>$B971="Tender Received"</formula>
    </cfRule>
  </conditionalFormatting>
  <conditionalFormatting sqref="L971">
    <cfRule type="expression" dxfId="1703" priority="1865" stopIfTrue="1">
      <formula>AND($B971="Tender Received",$D971&lt;=(TODAY()+3))</formula>
    </cfRule>
    <cfRule type="expression" dxfId="1702" priority="1866" stopIfTrue="1">
      <formula>$B971="Tender Received"</formula>
    </cfRule>
  </conditionalFormatting>
  <conditionalFormatting sqref="D971">
    <cfRule type="expression" dxfId="1701" priority="1863" stopIfTrue="1">
      <formula>AND($B971="Tender Received",$D971&lt;=(TODAY()+3))</formula>
    </cfRule>
    <cfRule type="expression" dxfId="1700" priority="1864" stopIfTrue="1">
      <formula>$B971="Tender Received"</formula>
    </cfRule>
  </conditionalFormatting>
  <conditionalFormatting sqref="O971:P971">
    <cfRule type="expression" dxfId="1699" priority="1861" stopIfTrue="1">
      <formula>AND($B971="Tender Received",$D971&lt;=(TODAY()+3))</formula>
    </cfRule>
    <cfRule type="expression" dxfId="1698" priority="1862" stopIfTrue="1">
      <formula>$B971="Tender Received"</formula>
    </cfRule>
  </conditionalFormatting>
  <conditionalFormatting sqref="N971">
    <cfRule type="expression" dxfId="1697" priority="1859" stopIfTrue="1">
      <formula>AND($B971="Tender Received",$D971&lt;=(TODAY()+3))</formula>
    </cfRule>
    <cfRule type="expression" dxfId="1696" priority="1860" stopIfTrue="1">
      <formula>$B971="Tender Received"</formula>
    </cfRule>
  </conditionalFormatting>
  <conditionalFormatting sqref="C971">
    <cfRule type="expression" dxfId="1695" priority="1857" stopIfTrue="1">
      <formula>AND($B971="Tender Received",$D971&lt;=(TODAY()+3))</formula>
    </cfRule>
    <cfRule type="expression" dxfId="1694" priority="1858" stopIfTrue="1">
      <formula>$B971="Tender Received"</formula>
    </cfRule>
  </conditionalFormatting>
  <conditionalFormatting sqref="I971">
    <cfRule type="expression" dxfId="1693" priority="1855" stopIfTrue="1">
      <formula>AND($B971="Tender Received",$D971&lt;=(TODAY()+3))</formula>
    </cfRule>
    <cfRule type="expression" dxfId="1692" priority="1856" stopIfTrue="1">
      <formula>$B971="Tender Received"</formula>
    </cfRule>
  </conditionalFormatting>
  <conditionalFormatting sqref="I971">
    <cfRule type="expression" dxfId="1691" priority="1853" stopIfTrue="1">
      <formula>AND($B971="Tender Received",$D971&lt;=(TODAY()+3))</formula>
    </cfRule>
    <cfRule type="expression" dxfId="1690" priority="1854" stopIfTrue="1">
      <formula>$B971="Tender Received"</formula>
    </cfRule>
  </conditionalFormatting>
  <conditionalFormatting sqref="Q971">
    <cfRule type="expression" dxfId="1689" priority="1851" stopIfTrue="1">
      <formula>AND($B971="Tender Received",$D971&lt;=(TODAY()+3))</formula>
    </cfRule>
    <cfRule type="expression" dxfId="1688" priority="1852" stopIfTrue="1">
      <formula>$B971="Tender Received"</formula>
    </cfRule>
  </conditionalFormatting>
  <conditionalFormatting sqref="I970">
    <cfRule type="expression" dxfId="1687" priority="1849" stopIfTrue="1">
      <formula>AND($B970="Tender Received",$D970&lt;=(TODAY()+3))</formula>
    </cfRule>
    <cfRule type="expression" dxfId="1686" priority="1850" stopIfTrue="1">
      <formula>$B970="Tender Received"</formula>
    </cfRule>
  </conditionalFormatting>
  <conditionalFormatting sqref="E972:K972">
    <cfRule type="expression" dxfId="1685" priority="1847" stopIfTrue="1">
      <formula>AND($B972="Tender Received",$D972&lt;=(TODAY()+3))</formula>
    </cfRule>
    <cfRule type="expression" dxfId="1684" priority="1848" stopIfTrue="1">
      <formula>$B972="Tender Received"</formula>
    </cfRule>
  </conditionalFormatting>
  <conditionalFormatting sqref="I969">
    <cfRule type="expression" dxfId="1683" priority="1845" stopIfTrue="1">
      <formula>AND($B969="Tender Received",$D969&lt;=(TODAY()+3))</formula>
    </cfRule>
    <cfRule type="expression" dxfId="1682" priority="1846" stopIfTrue="1">
      <formula>$B969="Tender Received"</formula>
    </cfRule>
  </conditionalFormatting>
  <conditionalFormatting sqref="B973:B978 D973:K973 O973:R978 F974:I974 D976:K979 K974:K975 D974 D975:H975">
    <cfRule type="expression" dxfId="1681" priority="1843" stopIfTrue="1">
      <formula>AND($B973="Tender Received",$D973&lt;=(TODAY()+3))</formula>
    </cfRule>
    <cfRule type="expression" dxfId="1680" priority="1844" stopIfTrue="1">
      <formula>$B973="Tender Received"</formula>
    </cfRule>
  </conditionalFormatting>
  <conditionalFormatting sqref="I973">
    <cfRule type="expression" dxfId="1679" priority="1841" stopIfTrue="1">
      <formula>AND($B973="Tender Received",$D973&lt;=(TODAY()+3))</formula>
    </cfRule>
    <cfRule type="expression" dxfId="1678" priority="1842" stopIfTrue="1">
      <formula>$B973="Tender Received"</formula>
    </cfRule>
  </conditionalFormatting>
  <conditionalFormatting sqref="I977">
    <cfRule type="expression" dxfId="1677" priority="1839" stopIfTrue="1">
      <formula>AND($B977="Tender Received",$D977&lt;=(TODAY()+3))</formula>
    </cfRule>
    <cfRule type="expression" dxfId="1676" priority="1840" stopIfTrue="1">
      <formula>$B977="Tender Received"</formula>
    </cfRule>
  </conditionalFormatting>
  <conditionalFormatting sqref="M973:N978">
    <cfRule type="expression" dxfId="1675" priority="1837" stopIfTrue="1">
      <formula>AND($B973="Tender Received",$D973&lt;=(TODAY()+3))</formula>
    </cfRule>
    <cfRule type="expression" dxfId="1674" priority="1838" stopIfTrue="1">
      <formula>$B973="Tender Received"</formula>
    </cfRule>
  </conditionalFormatting>
  <conditionalFormatting sqref="L975">
    <cfRule type="expression" dxfId="1673" priority="1835" stopIfTrue="1">
      <formula>AND($B975="Tender Received",$D975&lt;=(TODAY()+3))</formula>
    </cfRule>
    <cfRule type="expression" dxfId="1672" priority="1836" stopIfTrue="1">
      <formula>$B975="Tender Received"</formula>
    </cfRule>
  </conditionalFormatting>
  <conditionalFormatting sqref="L978">
    <cfRule type="expression" dxfId="1671" priority="1833" stopIfTrue="1">
      <formula>AND($B978="Tender Received",$D978&lt;=(TODAY()+3))</formula>
    </cfRule>
    <cfRule type="expression" dxfId="1670" priority="1834" stopIfTrue="1">
      <formula>$B978="Tender Received"</formula>
    </cfRule>
  </conditionalFormatting>
  <conditionalFormatting sqref="C973:C979">
    <cfRule type="expression" dxfId="1669" priority="1831" stopIfTrue="1">
      <formula>AND($B973="Tender Received",$D973&lt;=(TODAY()+3))</formula>
    </cfRule>
    <cfRule type="expression" dxfId="1668" priority="1832" stopIfTrue="1">
      <formula>$B973="Tender Received"</formula>
    </cfRule>
  </conditionalFormatting>
  <conditionalFormatting sqref="I974">
    <cfRule type="expression" dxfId="1667" priority="1829" stopIfTrue="1">
      <formula>AND($B974="Tender Received",$D974&lt;=(TODAY()+3))</formula>
    </cfRule>
    <cfRule type="expression" dxfId="1666" priority="1830" stopIfTrue="1">
      <formula>$B974="Tender Received"</formula>
    </cfRule>
  </conditionalFormatting>
  <conditionalFormatting sqref="M978:R978 O977:R977 B980:K981 B982 B979:G979 L981:R981 M979:P980 R979:R980 D977:G978 H977:K979">
    <cfRule type="expression" dxfId="1665" priority="1827" stopIfTrue="1">
      <formula>AND($B977="Tender Received",$D977&lt;=(TODAY()+3))</formula>
    </cfRule>
    <cfRule type="expression" dxfId="1664" priority="1828" stopIfTrue="1">
      <formula>$B977="Tender Received"</formula>
    </cfRule>
  </conditionalFormatting>
  <conditionalFormatting sqref="M979:N979">
    <cfRule type="expression" dxfId="1663" priority="1825" stopIfTrue="1">
      <formula>AND($B979="Tender Received",$D979&lt;=(TODAY()+3))</formula>
    </cfRule>
    <cfRule type="expression" dxfId="1662" priority="1826" stopIfTrue="1">
      <formula>$B979="Tender Received"</formula>
    </cfRule>
  </conditionalFormatting>
  <conditionalFormatting sqref="L981">
    <cfRule type="expression" dxfId="1661" priority="1823" stopIfTrue="1">
      <formula>AND($B981="Tender Received",$D981&lt;=(TODAY()+3))</formula>
    </cfRule>
    <cfRule type="expression" dxfId="1660" priority="1824" stopIfTrue="1">
      <formula>$B981="Tender Received"</formula>
    </cfRule>
  </conditionalFormatting>
  <conditionalFormatting sqref="L979">
    <cfRule type="expression" dxfId="1659" priority="1821" stopIfTrue="1">
      <formula>AND($B979="Tender Received",$D979&lt;=(TODAY()+3))</formula>
    </cfRule>
    <cfRule type="expression" dxfId="1658" priority="1822" stopIfTrue="1">
      <formula>$B979="Tender Received"</formula>
    </cfRule>
  </conditionalFormatting>
  <conditionalFormatting sqref="C979:C980">
    <cfRule type="expression" dxfId="1657" priority="1819" stopIfTrue="1">
      <formula>AND($B979="Tender Received",$D979&lt;=(TODAY()+3))</formula>
    </cfRule>
    <cfRule type="expression" dxfId="1656" priority="1820" stopIfTrue="1">
      <formula>$B979="Tender Received"</formula>
    </cfRule>
  </conditionalFormatting>
  <conditionalFormatting sqref="L974">
    <cfRule type="expression" dxfId="1655" priority="1817" stopIfTrue="1">
      <formula>AND($B974="Tender Received",$D974&lt;=(TODAY()+3))</formula>
    </cfRule>
    <cfRule type="expression" dxfId="1654" priority="1818" stopIfTrue="1">
      <formula>$B974="Tender Received"</formula>
    </cfRule>
  </conditionalFormatting>
  <conditionalFormatting sqref="L973">
    <cfRule type="expression" dxfId="1653" priority="1815" stopIfTrue="1">
      <formula>AND($B973="Tender Received",$D973&lt;=(TODAY()+3))</formula>
    </cfRule>
    <cfRule type="expression" dxfId="1652" priority="1816" stopIfTrue="1">
      <formula>$B973="Tender Received"</formula>
    </cfRule>
  </conditionalFormatting>
  <conditionalFormatting sqref="L976">
    <cfRule type="expression" dxfId="1651" priority="1813" stopIfTrue="1">
      <formula>AND($B976="Tender Received",$D976&lt;=(TODAY()+3))</formula>
    </cfRule>
    <cfRule type="expression" dxfId="1650" priority="1814" stopIfTrue="1">
      <formula>$B976="Tender Received"</formula>
    </cfRule>
  </conditionalFormatting>
  <conditionalFormatting sqref="L980">
    <cfRule type="expression" dxfId="1649" priority="1811" stopIfTrue="1">
      <formula>AND($B980="Tender Received",$D980&lt;=(TODAY()+3))</formula>
    </cfRule>
    <cfRule type="expression" dxfId="1648" priority="1812" stopIfTrue="1">
      <formula>$B980="Tender Received"</formula>
    </cfRule>
  </conditionalFormatting>
  <conditionalFormatting sqref="L973">
    <cfRule type="expression" dxfId="1647" priority="1809" stopIfTrue="1">
      <formula>AND($B973="Tender Received",$D973&lt;=(TODAY()+3))</formula>
    </cfRule>
    <cfRule type="expression" dxfId="1646" priority="1810" stopIfTrue="1">
      <formula>$B973="Tender Received"</formula>
    </cfRule>
  </conditionalFormatting>
  <conditionalFormatting sqref="L976">
    <cfRule type="expression" dxfId="1645" priority="1807" stopIfTrue="1">
      <formula>AND($B976="Tender Received",$D976&lt;=(TODAY()+3))</formula>
    </cfRule>
    <cfRule type="expression" dxfId="1644" priority="1808" stopIfTrue="1">
      <formula>$B976="Tender Received"</formula>
    </cfRule>
  </conditionalFormatting>
  <conditionalFormatting sqref="M977:N977">
    <cfRule type="expression" dxfId="1643" priority="1805" stopIfTrue="1">
      <formula>AND($B977="Tender Received",$D977&lt;=(TODAY()+3))</formula>
    </cfRule>
    <cfRule type="expression" dxfId="1642" priority="1806" stopIfTrue="1">
      <formula>$B977="Tender Received"</formula>
    </cfRule>
  </conditionalFormatting>
  <conditionalFormatting sqref="L979:L980">
    <cfRule type="expression" dxfId="1641" priority="1803" stopIfTrue="1">
      <formula>AND($B979="Tender Received",$D979&lt;=(TODAY()+3))</formula>
    </cfRule>
    <cfRule type="expression" dxfId="1640" priority="1804" stopIfTrue="1">
      <formula>$B979="Tender Received"</formula>
    </cfRule>
  </conditionalFormatting>
  <conditionalFormatting sqref="C977:C979">
    <cfRule type="expression" dxfId="1639" priority="1801" stopIfTrue="1">
      <formula>AND($B977="Tender Received",$D977&lt;=(TODAY()+3))</formula>
    </cfRule>
    <cfRule type="expression" dxfId="1638" priority="1802" stopIfTrue="1">
      <formula>$B977="Tender Received"</formula>
    </cfRule>
  </conditionalFormatting>
  <conditionalFormatting sqref="L975">
    <cfRule type="expression" dxfId="1637" priority="1799" stopIfTrue="1">
      <formula>AND($B975="Tender Received",$D975&lt;=(TODAY()+3))</formula>
    </cfRule>
    <cfRule type="expression" dxfId="1636" priority="1800" stopIfTrue="1">
      <formula>$B975="Tender Received"</formula>
    </cfRule>
  </conditionalFormatting>
  <conditionalFormatting sqref="L974">
    <cfRule type="expression" dxfId="1635" priority="1797" stopIfTrue="1">
      <formula>AND($B974="Tender Received",$D974&lt;=(TODAY()+3))</formula>
    </cfRule>
    <cfRule type="expression" dxfId="1634" priority="1798" stopIfTrue="1">
      <formula>$B974="Tender Received"</formula>
    </cfRule>
  </conditionalFormatting>
  <conditionalFormatting sqref="L978">
    <cfRule type="expression" dxfId="1633" priority="1795" stopIfTrue="1">
      <formula>AND($B978="Tender Received",$D978&lt;=(TODAY()+3))</formula>
    </cfRule>
    <cfRule type="expression" dxfId="1632" priority="1796" stopIfTrue="1">
      <formula>$B978="Tender Received"</formula>
    </cfRule>
  </conditionalFormatting>
  <conditionalFormatting sqref="C982:H982 J982:K982 M982:P982 R982">
    <cfRule type="expression" dxfId="1631" priority="1793" stopIfTrue="1">
      <formula>AND($B982="Tender Received",$D982&lt;=(TODAY()+3))</formula>
    </cfRule>
    <cfRule type="expression" dxfId="1630" priority="1794" stopIfTrue="1">
      <formula>$B982="Tender Received"</formula>
    </cfRule>
  </conditionalFormatting>
  <conditionalFormatting sqref="L982">
    <cfRule type="expression" dxfId="1629" priority="1791" stopIfTrue="1">
      <formula>AND($B982="Tender Received",$D982&lt;=(TODAY()+3))</formula>
    </cfRule>
    <cfRule type="expression" dxfId="1628" priority="1792" stopIfTrue="1">
      <formula>$B982="Tender Received"</formula>
    </cfRule>
  </conditionalFormatting>
  <conditionalFormatting sqref="I982">
    <cfRule type="expression" dxfId="1627" priority="1789" stopIfTrue="1">
      <formula>AND($B982="Tender Received",$D982&lt;=(TODAY()+3))</formula>
    </cfRule>
    <cfRule type="expression" dxfId="1626" priority="1790" stopIfTrue="1">
      <formula>$B982="Tender Received"</formula>
    </cfRule>
  </conditionalFormatting>
  <conditionalFormatting sqref="J974">
    <cfRule type="expression" dxfId="1625" priority="1787" stopIfTrue="1">
      <formula>AND($B974="Tender Received",$D974&lt;=(TODAY()+3))</formula>
    </cfRule>
    <cfRule type="expression" dxfId="1624" priority="1788" stopIfTrue="1">
      <formula>$B974="Tender Received"</formula>
    </cfRule>
  </conditionalFormatting>
  <conditionalFormatting sqref="C976">
    <cfRule type="expression" dxfId="1623" priority="1785" stopIfTrue="1">
      <formula>AND($B976="Tender Received",$D976&lt;=(TODAY()+3))</formula>
    </cfRule>
    <cfRule type="expression" dxfId="1622" priority="1786" stopIfTrue="1">
      <formula>$B976="Tender Received"</formula>
    </cfRule>
  </conditionalFormatting>
  <conditionalFormatting sqref="H979:I979">
    <cfRule type="expression" dxfId="1621" priority="1783" stopIfTrue="1">
      <formula>AND($B979="Tender Received",$D979&lt;=(TODAY()+3))</formula>
    </cfRule>
    <cfRule type="expression" dxfId="1620" priority="1784" stopIfTrue="1">
      <formula>$B979="Tender Received"</formula>
    </cfRule>
  </conditionalFormatting>
  <conditionalFormatting sqref="Q979">
    <cfRule type="expression" dxfId="1619" priority="1781" stopIfTrue="1">
      <formula>AND($B979="Tender Received",$D979&lt;=(TODAY()+3))</formula>
    </cfRule>
    <cfRule type="expression" dxfId="1618" priority="1782" stopIfTrue="1">
      <formula>$B979="Tender Received"</formula>
    </cfRule>
  </conditionalFormatting>
  <conditionalFormatting sqref="L977">
    <cfRule type="expression" dxfId="1617" priority="1779" stopIfTrue="1">
      <formula>AND($B977="Tender Received",$D977&lt;=(TODAY()+3))</formula>
    </cfRule>
    <cfRule type="expression" dxfId="1616" priority="1780" stopIfTrue="1">
      <formula>$B977="Tender Received"</formula>
    </cfRule>
  </conditionalFormatting>
  <conditionalFormatting sqref="L977">
    <cfRule type="expression" dxfId="1615" priority="1777" stopIfTrue="1">
      <formula>AND($B977="Tender Received",$D977&lt;=(TODAY()+3))</formula>
    </cfRule>
    <cfRule type="expression" dxfId="1614" priority="1778" stopIfTrue="1">
      <formula>$B977="Tender Received"</formula>
    </cfRule>
  </conditionalFormatting>
  <conditionalFormatting sqref="C981:H981 J981:K981 M981:R981">
    <cfRule type="expression" dxfId="1613" priority="1775" stopIfTrue="1">
      <formula>AND($B981="Tender Received",$D981&lt;=(TODAY()+3))</formula>
    </cfRule>
    <cfRule type="expression" dxfId="1612" priority="1776" stopIfTrue="1">
      <formula>$B981="Tender Received"</formula>
    </cfRule>
  </conditionalFormatting>
  <conditionalFormatting sqref="L981">
    <cfRule type="expression" dxfId="1611" priority="1773" stopIfTrue="1">
      <formula>AND($B981="Tender Received",$D981&lt;=(TODAY()+3))</formula>
    </cfRule>
    <cfRule type="expression" dxfId="1610" priority="1774" stopIfTrue="1">
      <formula>$B981="Tender Received"</formula>
    </cfRule>
  </conditionalFormatting>
  <conditionalFormatting sqref="I981">
    <cfRule type="expression" dxfId="1609" priority="1771" stopIfTrue="1">
      <formula>AND($B981="Tender Received",$D981&lt;=(TODAY()+3))</formula>
    </cfRule>
    <cfRule type="expression" dxfId="1608" priority="1772" stopIfTrue="1">
      <formula>$B981="Tender Received"</formula>
    </cfRule>
  </conditionalFormatting>
  <conditionalFormatting sqref="J982:M982 C982:G982 R982">
    <cfRule type="expression" dxfId="1607" priority="1769" stopIfTrue="1">
      <formula>AND($B982="Tender Received",$D982&lt;=(TODAY()+3))</formula>
    </cfRule>
    <cfRule type="expression" dxfId="1606" priority="1770" stopIfTrue="1">
      <formula>$B982="Tender Received"</formula>
    </cfRule>
  </conditionalFormatting>
  <conditionalFormatting sqref="I982">
    <cfRule type="expression" dxfId="1605" priority="1767" stopIfTrue="1">
      <formula>AND($B982="Tender Received",$D982&lt;=(TODAY()+3))</formula>
    </cfRule>
    <cfRule type="expression" dxfId="1604" priority="1768" stopIfTrue="1">
      <formula>$B982="Tender Received"</formula>
    </cfRule>
  </conditionalFormatting>
  <conditionalFormatting sqref="N982:P982">
    <cfRule type="expression" dxfId="1603" priority="1765" stopIfTrue="1">
      <formula>AND($B982="Tender Received",$D982&lt;=(TODAY()+3))</formula>
    </cfRule>
    <cfRule type="expression" dxfId="1602" priority="1766" stopIfTrue="1">
      <formula>$B982="Tender Received"</formula>
    </cfRule>
  </conditionalFormatting>
  <conditionalFormatting sqref="H982">
    <cfRule type="expression" dxfId="1601" priority="1763" stopIfTrue="1">
      <formula>AND($B982="Tender Received",$D982&lt;=(TODAY()+3))</formula>
    </cfRule>
    <cfRule type="expression" dxfId="1600" priority="1764" stopIfTrue="1">
      <formula>$B982="Tender Received"</formula>
    </cfRule>
  </conditionalFormatting>
  <conditionalFormatting sqref="Q980">
    <cfRule type="expression" dxfId="1599" priority="1761" stopIfTrue="1">
      <formula>AND($B980="Tender Received",$D980&lt;=(TODAY()+3))</formula>
    </cfRule>
    <cfRule type="expression" dxfId="1598" priority="1762" stopIfTrue="1">
      <formula>$B980="Tender Received"</formula>
    </cfRule>
  </conditionalFormatting>
  <conditionalFormatting sqref="E974">
    <cfRule type="expression" dxfId="1597" priority="1759" stopIfTrue="1">
      <formula>AND($B974="Tender Received",$D974&lt;=(TODAY()+3))</formula>
    </cfRule>
    <cfRule type="expression" dxfId="1596" priority="1760" stopIfTrue="1">
      <formula>$B974="Tender Received"</formula>
    </cfRule>
  </conditionalFormatting>
  <conditionalFormatting sqref="Q982">
    <cfRule type="expression" dxfId="1595" priority="1757" stopIfTrue="1">
      <formula>AND($B982="Tender Received",$D982&lt;=(TODAY()+3))</formula>
    </cfRule>
    <cfRule type="expression" dxfId="1594" priority="1758" stopIfTrue="1">
      <formula>$B982="Tender Received"</formula>
    </cfRule>
  </conditionalFormatting>
  <conditionalFormatting sqref="Q982">
    <cfRule type="expression" dxfId="1593" priority="1755" stopIfTrue="1">
      <formula>AND($B982="Tender Received",$D982&lt;=(TODAY()+3))</formula>
    </cfRule>
    <cfRule type="expression" dxfId="1592" priority="1756" stopIfTrue="1">
      <formula>$B982="Tender Received"</formula>
    </cfRule>
  </conditionalFormatting>
  <conditionalFormatting sqref="J975">
    <cfRule type="expression" dxfId="1591" priority="1753" stopIfTrue="1">
      <formula>AND($B975="Tender Received",$D975&lt;=(TODAY()+3))</formula>
    </cfRule>
    <cfRule type="expression" dxfId="1590" priority="1754" stopIfTrue="1">
      <formula>$B975="Tender Received"</formula>
    </cfRule>
  </conditionalFormatting>
  <conditionalFormatting sqref="I978">
    <cfRule type="expression" dxfId="1589" priority="1751" stopIfTrue="1">
      <formula>AND($B978="Tender Received",$D978&lt;=(TODAY()+3))</formula>
    </cfRule>
    <cfRule type="expression" dxfId="1588" priority="1752" stopIfTrue="1">
      <formula>$B978="Tender Received"</formula>
    </cfRule>
  </conditionalFormatting>
  <conditionalFormatting sqref="I976">
    <cfRule type="expression" dxfId="1587" priority="1749" stopIfTrue="1">
      <formula>AND($B976="Tender Received",$D976&lt;=(TODAY()+3))</formula>
    </cfRule>
    <cfRule type="expression" dxfId="1586" priority="1750" stopIfTrue="1">
      <formula>$B976="Tender Received"</formula>
    </cfRule>
  </conditionalFormatting>
  <conditionalFormatting sqref="C977">
    <cfRule type="expression" dxfId="1585" priority="1747" stopIfTrue="1">
      <formula>AND($B977="Tender Received",$D977&lt;=(TODAY()+3))</formula>
    </cfRule>
    <cfRule type="expression" dxfId="1584" priority="1748" stopIfTrue="1">
      <formula>$B977="Tender Received"</formula>
    </cfRule>
  </conditionalFormatting>
  <conditionalFormatting sqref="J976">
    <cfRule type="expression" dxfId="1583" priority="1745" stopIfTrue="1">
      <formula>AND($B976="Tender Received",$D976&lt;=(TODAY()+3))</formula>
    </cfRule>
    <cfRule type="expression" dxfId="1582" priority="1746" stopIfTrue="1">
      <formula>$B976="Tender Received"</formula>
    </cfRule>
  </conditionalFormatting>
  <conditionalFormatting sqref="I975">
    <cfRule type="expression" dxfId="1581" priority="1743" stopIfTrue="1">
      <formula>AND($B975="Tender Received",$D975&lt;=(TODAY()+3))</formula>
    </cfRule>
    <cfRule type="expression" dxfId="1580" priority="1744" stopIfTrue="1">
      <formula>$B975="Tender Received"</formula>
    </cfRule>
  </conditionalFormatting>
  <conditionalFormatting sqref="L983:M983 R983">
    <cfRule type="expression" dxfId="1579" priority="1739" stopIfTrue="1">
      <formula>AND($B983="Tender Received",$D983&lt;=(TODAY()+3))</formula>
    </cfRule>
    <cfRule type="expression" dxfId="1578" priority="1740" stopIfTrue="1">
      <formula>$B983="Tender Received"</formula>
    </cfRule>
  </conditionalFormatting>
  <conditionalFormatting sqref="D983:J983">
    <cfRule type="expression" dxfId="1577" priority="1737" stopIfTrue="1">
      <formula>AND($B983="Tender Received",$D983&lt;=(TODAY()+3))</formula>
    </cfRule>
    <cfRule type="expression" dxfId="1576" priority="1738" stopIfTrue="1">
      <formula>$B983="Tender Received"</formula>
    </cfRule>
  </conditionalFormatting>
  <conditionalFormatting sqref="N983:P983">
    <cfRule type="expression" dxfId="1575" priority="1735" stopIfTrue="1">
      <formula>AND($B983="Tender Received",$D983&lt;=(TODAY()+3))</formula>
    </cfRule>
    <cfRule type="expression" dxfId="1574" priority="1736" stopIfTrue="1">
      <formula>$B983="Tender Received"</formula>
    </cfRule>
  </conditionalFormatting>
  <conditionalFormatting sqref="C983">
    <cfRule type="expression" dxfId="1573" priority="1733" stopIfTrue="1">
      <formula>AND($B983="Tender Received",$D983&lt;=(TODAY()+3))</formula>
    </cfRule>
    <cfRule type="expression" dxfId="1572" priority="1734" stopIfTrue="1">
      <formula>$B983="Tender Received"</formula>
    </cfRule>
  </conditionalFormatting>
  <conditionalFormatting sqref="K983">
    <cfRule type="expression" dxfId="1571" priority="1731" stopIfTrue="1">
      <formula>AND($B983="Tender Received",$D983&lt;=(TODAY()+3))</formula>
    </cfRule>
    <cfRule type="expression" dxfId="1570" priority="1732" stopIfTrue="1">
      <formula>$B983="Tender Received"</formula>
    </cfRule>
  </conditionalFormatting>
  <conditionalFormatting sqref="Q983">
    <cfRule type="expression" dxfId="1569" priority="1729" stopIfTrue="1">
      <formula>AND($B983="Tender Received",$D983&lt;=(TODAY()+3))</formula>
    </cfRule>
    <cfRule type="expression" dxfId="1568" priority="1730" stopIfTrue="1">
      <formula>$B983="Tender Received"</formula>
    </cfRule>
  </conditionalFormatting>
  <conditionalFormatting sqref="B983">
    <cfRule type="expression" dxfId="1567" priority="1727" stopIfTrue="1">
      <formula>AND($B983="Tender Received",$D983&lt;=(TODAY()+3))</formula>
    </cfRule>
    <cfRule type="expression" dxfId="1566" priority="1728" stopIfTrue="1">
      <formula>$B983="Tender Received"</formula>
    </cfRule>
  </conditionalFormatting>
  <conditionalFormatting sqref="Q53">
    <cfRule type="expression" dxfId="1565" priority="1725" stopIfTrue="1">
      <formula>AND($B53="Tender Received",$D53&lt;=(TODAY()+3))</formula>
    </cfRule>
    <cfRule type="expression" dxfId="1564" priority="1726" stopIfTrue="1">
      <formula>$B53="Tender Received"</formula>
    </cfRule>
  </conditionalFormatting>
  <conditionalFormatting sqref="H65">
    <cfRule type="expression" dxfId="1563" priority="1721" stopIfTrue="1">
      <formula>AND($B65="Tender Received",$D65&lt;=(TODAY()+3))</formula>
    </cfRule>
    <cfRule type="expression" dxfId="1562" priority="1722" stopIfTrue="1">
      <formula>$B65="Tender Received"</formula>
    </cfRule>
  </conditionalFormatting>
  <conditionalFormatting sqref="Q65">
    <cfRule type="expression" dxfId="1561" priority="1719" stopIfTrue="1">
      <formula>AND($B65="Tender Received",$D65&lt;=(TODAY()+3))</formula>
    </cfRule>
    <cfRule type="expression" dxfId="1560" priority="1720" stopIfTrue="1">
      <formula>$B65="Tender Received"</formula>
    </cfRule>
  </conditionalFormatting>
  <conditionalFormatting sqref="H105">
    <cfRule type="expression" dxfId="1559" priority="1717" stopIfTrue="1">
      <formula>AND($B105="Tender Received",$D105&lt;=(TODAY()+3))</formula>
    </cfRule>
    <cfRule type="expression" dxfId="1558" priority="1718" stopIfTrue="1">
      <formula>$B105="Tender Received"</formula>
    </cfRule>
  </conditionalFormatting>
  <conditionalFormatting sqref="Q105">
    <cfRule type="expression" dxfId="1557" priority="1715" stopIfTrue="1">
      <formula>AND($B105="Tender Received",$D105&lt;=(TODAY()+3))</formula>
    </cfRule>
    <cfRule type="expression" dxfId="1556" priority="1716" stopIfTrue="1">
      <formula>$B105="Tender Received"</formula>
    </cfRule>
  </conditionalFormatting>
  <conditionalFormatting sqref="B984:B986">
    <cfRule type="expression" dxfId="1555" priority="1703" stopIfTrue="1">
      <formula>AND($B984="Tender Received",$D984&lt;=(TODAY()+3))</formula>
    </cfRule>
    <cfRule type="expression" dxfId="1554" priority="1704" stopIfTrue="1">
      <formula>$B984="Tender Received"</formula>
    </cfRule>
  </conditionalFormatting>
  <conditionalFormatting sqref="C984:H984 J984:K984 L986:M986 M984:P984 R986 R984">
    <cfRule type="expression" dxfId="1553" priority="1701" stopIfTrue="1">
      <formula>AND($B984="Tender Received",$D984&lt;=(TODAY()+3))</formula>
    </cfRule>
    <cfRule type="expression" dxfId="1552" priority="1702" stopIfTrue="1">
      <formula>$B984="Tender Received"</formula>
    </cfRule>
  </conditionalFormatting>
  <conditionalFormatting sqref="L984">
    <cfRule type="expression" dxfId="1551" priority="1699" stopIfTrue="1">
      <formula>AND($B984="Tender Received",$D984&lt;=(TODAY()+3))</formula>
    </cfRule>
    <cfRule type="expression" dxfId="1550" priority="1700" stopIfTrue="1">
      <formula>$B984="Tender Received"</formula>
    </cfRule>
  </conditionalFormatting>
  <conditionalFormatting sqref="I984">
    <cfRule type="expression" dxfId="1549" priority="1697" stopIfTrue="1">
      <formula>AND($B984="Tender Received",$D984&lt;=(TODAY()+3))</formula>
    </cfRule>
    <cfRule type="expression" dxfId="1548" priority="1698" stopIfTrue="1">
      <formula>$B984="Tender Received"</formula>
    </cfRule>
  </conditionalFormatting>
  <conditionalFormatting sqref="J985:M985 C985:G985 R985">
    <cfRule type="expression" dxfId="1547" priority="1695" stopIfTrue="1">
      <formula>AND($B985="Tender Received",$D985&lt;=(TODAY()+3))</formula>
    </cfRule>
    <cfRule type="expression" dxfId="1546" priority="1696" stopIfTrue="1">
      <formula>$B985="Tender Received"</formula>
    </cfRule>
  </conditionalFormatting>
  <conditionalFormatting sqref="I985">
    <cfRule type="expression" dxfId="1545" priority="1693" stopIfTrue="1">
      <formula>AND($B985="Tender Received",$D985&lt;=(TODAY()+3))</formula>
    </cfRule>
    <cfRule type="expression" dxfId="1544" priority="1694" stopIfTrue="1">
      <formula>$B985="Tender Received"</formula>
    </cfRule>
  </conditionalFormatting>
  <conditionalFormatting sqref="D986:J986">
    <cfRule type="expression" dxfId="1543" priority="1691" stopIfTrue="1">
      <formula>AND($B986="Tender Received",$D986&lt;=(TODAY()+3))</formula>
    </cfRule>
    <cfRule type="expression" dxfId="1542" priority="1692" stopIfTrue="1">
      <formula>$B986="Tender Received"</formula>
    </cfRule>
  </conditionalFormatting>
  <conditionalFormatting sqref="N985:P986">
    <cfRule type="expression" dxfId="1541" priority="1689" stopIfTrue="1">
      <formula>AND($B985="Tender Received",$D985&lt;=(TODAY()+3))</formula>
    </cfRule>
    <cfRule type="expression" dxfId="1540" priority="1690" stopIfTrue="1">
      <formula>$B985="Tender Received"</formula>
    </cfRule>
  </conditionalFormatting>
  <conditionalFormatting sqref="C986">
    <cfRule type="expression" dxfId="1539" priority="1687" stopIfTrue="1">
      <formula>AND($B986="Tender Received",$D986&lt;=(TODAY()+3))</formula>
    </cfRule>
    <cfRule type="expression" dxfId="1538" priority="1688" stopIfTrue="1">
      <formula>$B986="Tender Received"</formula>
    </cfRule>
  </conditionalFormatting>
  <conditionalFormatting sqref="J984:M984 C984:G984 R984">
    <cfRule type="expression" dxfId="1537" priority="1685" stopIfTrue="1">
      <formula>AND($B984="Tender Received",$D984&lt;=(TODAY()+3))</formula>
    </cfRule>
    <cfRule type="expression" dxfId="1536" priority="1686" stopIfTrue="1">
      <formula>$B984="Tender Received"</formula>
    </cfRule>
  </conditionalFormatting>
  <conditionalFormatting sqref="I984">
    <cfRule type="expression" dxfId="1535" priority="1683" stopIfTrue="1">
      <formula>AND($B984="Tender Received",$D984&lt;=(TODAY()+3))</formula>
    </cfRule>
    <cfRule type="expression" dxfId="1534" priority="1684" stopIfTrue="1">
      <formula>$B984="Tender Received"</formula>
    </cfRule>
  </conditionalFormatting>
  <conditionalFormatting sqref="N984:P984">
    <cfRule type="expression" dxfId="1533" priority="1681" stopIfTrue="1">
      <formula>AND($B984="Tender Received",$D984&lt;=(TODAY()+3))</formula>
    </cfRule>
    <cfRule type="expression" dxfId="1532" priority="1682" stopIfTrue="1">
      <formula>$B984="Tender Received"</formula>
    </cfRule>
  </conditionalFormatting>
  <conditionalFormatting sqref="H984">
    <cfRule type="expression" dxfId="1531" priority="1679" stopIfTrue="1">
      <formula>AND($B984="Tender Received",$D984&lt;=(TODAY()+3))</formula>
    </cfRule>
    <cfRule type="expression" dxfId="1530" priority="1680" stopIfTrue="1">
      <formula>$B984="Tender Received"</formula>
    </cfRule>
  </conditionalFormatting>
  <conditionalFormatting sqref="Q984">
    <cfRule type="expression" dxfId="1529" priority="1677" stopIfTrue="1">
      <formula>AND($B984="Tender Received",$D984&lt;=(TODAY()+3))</formula>
    </cfRule>
    <cfRule type="expression" dxfId="1528" priority="1678" stopIfTrue="1">
      <formula>$B984="Tender Received"</formula>
    </cfRule>
  </conditionalFormatting>
  <conditionalFormatting sqref="Q984">
    <cfRule type="expression" dxfId="1527" priority="1675" stopIfTrue="1">
      <formula>AND($B984="Tender Received",$D984&lt;=(TODAY()+3))</formula>
    </cfRule>
    <cfRule type="expression" dxfId="1526" priority="1676" stopIfTrue="1">
      <formula>$B984="Tender Received"</formula>
    </cfRule>
  </conditionalFormatting>
  <conditionalFormatting sqref="H985">
    <cfRule type="expression" dxfId="1525" priority="1673" stopIfTrue="1">
      <formula>AND($B985="Tender Received",$D985&lt;=(TODAY()+3))</formula>
    </cfRule>
    <cfRule type="expression" dxfId="1524" priority="1674" stopIfTrue="1">
      <formula>$B985="Tender Received"</formula>
    </cfRule>
  </conditionalFormatting>
  <conditionalFormatting sqref="K986">
    <cfRule type="expression" dxfId="1523" priority="1671" stopIfTrue="1">
      <formula>AND($B986="Tender Received",$D986&lt;=(TODAY()+3))</formula>
    </cfRule>
    <cfRule type="expression" dxfId="1522" priority="1672" stopIfTrue="1">
      <formula>$B986="Tender Received"</formula>
    </cfRule>
  </conditionalFormatting>
  <conditionalFormatting sqref="Q986">
    <cfRule type="expression" dxfId="1521" priority="1669" stopIfTrue="1">
      <formula>AND($B986="Tender Received",$D986&lt;=(TODAY()+3))</formula>
    </cfRule>
    <cfRule type="expression" dxfId="1520" priority="1670" stopIfTrue="1">
      <formula>$B986="Tender Received"</formula>
    </cfRule>
  </conditionalFormatting>
  <conditionalFormatting sqref="Q985">
    <cfRule type="expression" dxfId="1519" priority="1667" stopIfTrue="1">
      <formula>AND($B985="Tender Received",$D985&lt;=(TODAY()+3))</formula>
    </cfRule>
    <cfRule type="expression" dxfId="1518" priority="1668" stopIfTrue="1">
      <formula>$B985="Tender Received"</formula>
    </cfRule>
  </conditionalFormatting>
  <conditionalFormatting sqref="O987:R987 B987:K987">
    <cfRule type="expression" dxfId="1517" priority="1665" stopIfTrue="1">
      <formula>AND($B987="Tender Received",$D987&lt;=(TODAY()+3))</formula>
    </cfRule>
    <cfRule type="expression" dxfId="1516" priority="1666" stopIfTrue="1">
      <formula>$B987="Tender Received"</formula>
    </cfRule>
  </conditionalFormatting>
  <conditionalFormatting sqref="M987:N987">
    <cfRule type="expression" dxfId="1515" priority="1663" stopIfTrue="1">
      <formula>AND($B987="Tender Received",$D987&lt;=(TODAY()+3))</formula>
    </cfRule>
    <cfRule type="expression" dxfId="1514" priority="1664" stopIfTrue="1">
      <formula>$B987="Tender Received"</formula>
    </cfRule>
  </conditionalFormatting>
  <conditionalFormatting sqref="C987">
    <cfRule type="expression" dxfId="1513" priority="1661" stopIfTrue="1">
      <formula>AND($B987="Tender Received",$D987&lt;=(TODAY()+3))</formula>
    </cfRule>
    <cfRule type="expression" dxfId="1512" priority="1662" stopIfTrue="1">
      <formula>$B987="Tender Received"</formula>
    </cfRule>
  </conditionalFormatting>
  <conditionalFormatting sqref="L987">
    <cfRule type="expression" dxfId="1511" priority="1659" stopIfTrue="1">
      <formula>AND($B987="Tender Received",$D987&lt;=(TODAY()+3))</formula>
    </cfRule>
    <cfRule type="expression" dxfId="1510" priority="1660" stopIfTrue="1">
      <formula>$B987="Tender Received"</formula>
    </cfRule>
  </conditionalFormatting>
  <conditionalFormatting sqref="I987">
    <cfRule type="expression" dxfId="1509" priority="1657" stopIfTrue="1">
      <formula>AND($B987="Tender Received",$D987&lt;=(TODAY()+3))</formula>
    </cfRule>
    <cfRule type="expression" dxfId="1508" priority="1658" stopIfTrue="1">
      <formula>$B987="Tender Received"</formula>
    </cfRule>
  </conditionalFormatting>
  <conditionalFormatting sqref="L987">
    <cfRule type="expression" dxfId="1507" priority="1655" stopIfTrue="1">
      <formula>AND($B987="Tender Received",$D987&lt;=(TODAY()+3))</formula>
    </cfRule>
    <cfRule type="expression" dxfId="1506" priority="1656" stopIfTrue="1">
      <formula>$B987="Tender Received"</formula>
    </cfRule>
  </conditionalFormatting>
  <conditionalFormatting sqref="H68">
    <cfRule type="expression" dxfId="1505" priority="1653" stopIfTrue="1">
      <formula>AND($B68="Tender Received",$D68&lt;=(TODAY()+3))</formula>
    </cfRule>
    <cfRule type="expression" dxfId="1504" priority="1654" stopIfTrue="1">
      <formula>$B68="Tender Received"</formula>
    </cfRule>
  </conditionalFormatting>
  <conditionalFormatting sqref="Q206">
    <cfRule type="expression" dxfId="1503" priority="1651" stopIfTrue="1">
      <formula>AND($B206="Tender Received",$D206&lt;=(TODAY()+3))</formula>
    </cfRule>
    <cfRule type="expression" dxfId="1502" priority="1652" stopIfTrue="1">
      <formula>$B206="Tender Received"</formula>
    </cfRule>
  </conditionalFormatting>
  <conditionalFormatting sqref="H268">
    <cfRule type="expression" dxfId="1501" priority="1649" stopIfTrue="1">
      <formula>AND($B268="Tender Received",$D268&lt;=(TODAY()+3))</formula>
    </cfRule>
    <cfRule type="expression" dxfId="1500" priority="1650" stopIfTrue="1">
      <formula>$B268="Tender Received"</formula>
    </cfRule>
  </conditionalFormatting>
  <conditionalFormatting sqref="H268">
    <cfRule type="expression" dxfId="1499" priority="1647" stopIfTrue="1">
      <formula>AND($B268="Tender Received",$D268&lt;=(TODAY()+3))</formula>
    </cfRule>
    <cfRule type="expression" dxfId="1498" priority="1648" stopIfTrue="1">
      <formula>$B268="Tender Received"</formula>
    </cfRule>
  </conditionalFormatting>
  <conditionalFormatting sqref="Q268">
    <cfRule type="expression" dxfId="1497" priority="1645" stopIfTrue="1">
      <formula>AND($B268="Tender Received",$D268&lt;=(TODAY()+3))</formula>
    </cfRule>
    <cfRule type="expression" dxfId="1496" priority="1646" stopIfTrue="1">
      <formula>$B268="Tender Received"</formula>
    </cfRule>
  </conditionalFormatting>
  <conditionalFormatting sqref="Q268">
    <cfRule type="expression" dxfId="1495" priority="1643" stopIfTrue="1">
      <formula>AND($B268="Tender Received",$D268&lt;=(TODAY()+3))</formula>
    </cfRule>
    <cfRule type="expression" dxfId="1494" priority="1644" stopIfTrue="1">
      <formula>$B268="Tender Received"</formula>
    </cfRule>
  </conditionalFormatting>
  <conditionalFormatting sqref="H30">
    <cfRule type="expression" dxfId="1493" priority="1641" stopIfTrue="1">
      <formula>AND($B30="Tender Received",$D30&lt;=(TODAY()+3))</formula>
    </cfRule>
    <cfRule type="expression" dxfId="1492" priority="1642" stopIfTrue="1">
      <formula>$B30="Tender Received"</formula>
    </cfRule>
  </conditionalFormatting>
  <conditionalFormatting sqref="Q30">
    <cfRule type="expression" dxfId="1491" priority="1639" stopIfTrue="1">
      <formula>AND($B30="Tender Received",$D30&lt;=(TODAY()+3))</formula>
    </cfRule>
    <cfRule type="expression" dxfId="1490" priority="1640" stopIfTrue="1">
      <formula>$B30="Tender Received"</formula>
    </cfRule>
  </conditionalFormatting>
  <conditionalFormatting sqref="H32">
    <cfRule type="expression" dxfId="1489" priority="1637" stopIfTrue="1">
      <formula>AND($B32="Tender Received",$D32&lt;=(TODAY()+3))</formula>
    </cfRule>
    <cfRule type="expression" dxfId="1488" priority="1638" stopIfTrue="1">
      <formula>$B32="Tender Received"</formula>
    </cfRule>
  </conditionalFormatting>
  <conditionalFormatting sqref="Q32">
    <cfRule type="expression" dxfId="1487" priority="1635" stopIfTrue="1">
      <formula>AND($B32="Tender Received",$D32&lt;=(TODAY()+3))</formula>
    </cfRule>
    <cfRule type="expression" dxfId="1486" priority="1636" stopIfTrue="1">
      <formula>$B32="Tender Received"</formula>
    </cfRule>
  </conditionalFormatting>
  <conditionalFormatting sqref="H108">
    <cfRule type="expression" dxfId="1485" priority="1633" stopIfTrue="1">
      <formula>AND($B108="Tender Received",$D108&lt;=(TODAY()+3))</formula>
    </cfRule>
    <cfRule type="expression" dxfId="1484" priority="1634" stopIfTrue="1">
      <formula>$B108="Tender Received"</formula>
    </cfRule>
  </conditionalFormatting>
  <conditionalFormatting sqref="Q108">
    <cfRule type="expression" dxfId="1483" priority="1631" stopIfTrue="1">
      <formula>AND($B108="Tender Received",$D108&lt;=(TODAY()+3))</formula>
    </cfRule>
    <cfRule type="expression" dxfId="1482" priority="1632" stopIfTrue="1">
      <formula>$B108="Tender Received"</formula>
    </cfRule>
  </conditionalFormatting>
  <conditionalFormatting sqref="H137">
    <cfRule type="expression" dxfId="1481" priority="1629" stopIfTrue="1">
      <formula>AND($B137="Tender Received",$D137&lt;=(TODAY()+3))</formula>
    </cfRule>
    <cfRule type="expression" dxfId="1480" priority="1630" stopIfTrue="1">
      <formula>$B137="Tender Received"</formula>
    </cfRule>
  </conditionalFormatting>
  <conditionalFormatting sqref="H141">
    <cfRule type="expression" dxfId="1479" priority="1627" stopIfTrue="1">
      <formula>AND($B141="Tender Received",$D141&lt;=(TODAY()+3))</formula>
    </cfRule>
    <cfRule type="expression" dxfId="1478" priority="1628" stopIfTrue="1">
      <formula>$B141="Tender Received"</formula>
    </cfRule>
  </conditionalFormatting>
  <conditionalFormatting sqref="Q141">
    <cfRule type="expression" dxfId="1477" priority="1625" stopIfTrue="1">
      <formula>AND($B141="Tender Received",$D141&lt;=(TODAY()+3))</formula>
    </cfRule>
    <cfRule type="expression" dxfId="1476" priority="1626" stopIfTrue="1">
      <formula>$B141="Tender Received"</formula>
    </cfRule>
  </conditionalFormatting>
  <conditionalFormatting sqref="H146">
    <cfRule type="expression" dxfId="1475" priority="1623" stopIfTrue="1">
      <formula>AND($B146="Tender Received",$D146&lt;=(TODAY()+3))</formula>
    </cfRule>
    <cfRule type="expression" dxfId="1474" priority="1624" stopIfTrue="1">
      <formula>$B146="Tender Received"</formula>
    </cfRule>
  </conditionalFormatting>
  <conditionalFormatting sqref="Q146">
    <cfRule type="expression" dxfId="1473" priority="1621" stopIfTrue="1">
      <formula>AND($B146="Tender Received",$D146&lt;=(TODAY()+3))</formula>
    </cfRule>
    <cfRule type="expression" dxfId="1472" priority="1622" stopIfTrue="1">
      <formula>$B146="Tender Received"</formula>
    </cfRule>
  </conditionalFormatting>
  <conditionalFormatting sqref="H156">
    <cfRule type="expression" dxfId="1471" priority="1619" stopIfTrue="1">
      <formula>AND($B156="Tender Received",$D156&lt;=(TODAY()+3))</formula>
    </cfRule>
    <cfRule type="expression" dxfId="1470" priority="1620" stopIfTrue="1">
      <formula>$B156="Tender Received"</formula>
    </cfRule>
  </conditionalFormatting>
  <conditionalFormatting sqref="Q156">
    <cfRule type="expression" dxfId="1469" priority="1617" stopIfTrue="1">
      <formula>AND($B156="Tender Received",$D156&lt;=(TODAY()+3))</formula>
    </cfRule>
    <cfRule type="expression" dxfId="1468" priority="1618" stopIfTrue="1">
      <formula>$B156="Tender Received"</formula>
    </cfRule>
  </conditionalFormatting>
  <conditionalFormatting sqref="Q185">
    <cfRule type="expression" dxfId="1467" priority="1615" stopIfTrue="1">
      <formula>AND($B185="Tender Received",$D185&lt;=(TODAY()+3))</formula>
    </cfRule>
    <cfRule type="expression" dxfId="1466" priority="1616" stopIfTrue="1">
      <formula>$B185="Tender Received"</formula>
    </cfRule>
  </conditionalFormatting>
  <conditionalFormatting sqref="Q187">
    <cfRule type="expression" dxfId="1465" priority="1613" stopIfTrue="1">
      <formula>AND($B187="Tender Received",$D187&lt;=(TODAY()+3))</formula>
    </cfRule>
    <cfRule type="expression" dxfId="1464" priority="1614" stopIfTrue="1">
      <formula>$B187="Tender Received"</formula>
    </cfRule>
  </conditionalFormatting>
  <conditionalFormatting sqref="H197">
    <cfRule type="expression" dxfId="1463" priority="1611" stopIfTrue="1">
      <formula>AND($B197="Tender Received",$D197&lt;=(TODAY()+3))</formula>
    </cfRule>
    <cfRule type="expression" dxfId="1462" priority="1612" stopIfTrue="1">
      <formula>$B197="Tender Received"</formula>
    </cfRule>
  </conditionalFormatting>
  <conditionalFormatting sqref="Q197">
    <cfRule type="expression" dxfId="1461" priority="1609" stopIfTrue="1">
      <formula>AND($B197="Tender Received",$D197&lt;=(TODAY()+3))</formula>
    </cfRule>
    <cfRule type="expression" dxfId="1460" priority="1610" stopIfTrue="1">
      <formula>$B197="Tender Received"</formula>
    </cfRule>
  </conditionalFormatting>
  <conditionalFormatting sqref="H217">
    <cfRule type="expression" dxfId="1459" priority="1607" stopIfTrue="1">
      <formula>AND($B217="Tender Received",$D217&lt;=(TODAY()+3))</formula>
    </cfRule>
    <cfRule type="expression" dxfId="1458" priority="1608" stopIfTrue="1">
      <formula>$B217="Tender Received"</formula>
    </cfRule>
  </conditionalFormatting>
  <conditionalFormatting sqref="I8">
    <cfRule type="expression" dxfId="1457" priority="1599" stopIfTrue="1">
      <formula>AND($B8="Tender Received",$D8&lt;=(TODAY()+3))</formula>
    </cfRule>
    <cfRule type="expression" dxfId="1456" priority="1600" stopIfTrue="1">
      <formula>$B8="Tender Received"</formula>
    </cfRule>
  </conditionalFormatting>
  <conditionalFormatting sqref="D988:K988">
    <cfRule type="expression" dxfId="1455" priority="1595" stopIfTrue="1">
      <formula>AND($B988="Tender Received",$D988&lt;=(TODAY()+3))</formula>
    </cfRule>
    <cfRule type="expression" dxfId="1454" priority="1596" stopIfTrue="1">
      <formula>$B988="Tender Received"</formula>
    </cfRule>
  </conditionalFormatting>
  <conditionalFormatting sqref="C988">
    <cfRule type="expression" dxfId="1453" priority="1593" stopIfTrue="1">
      <formula>AND($B988="Tender Received",$D988&lt;=(TODAY()+3))</formula>
    </cfRule>
    <cfRule type="expression" dxfId="1452" priority="1594" stopIfTrue="1">
      <formula>$B988="Tender Received"</formula>
    </cfRule>
  </conditionalFormatting>
  <conditionalFormatting sqref="L990:R990 M988:P989 R988:R989 B988:K990">
    <cfRule type="expression" dxfId="1451" priority="1591" stopIfTrue="1">
      <formula>AND($B988="Tender Received",$D988&lt;=(TODAY()+3))</formula>
    </cfRule>
    <cfRule type="expression" dxfId="1450" priority="1592" stopIfTrue="1">
      <formula>$B988="Tender Received"</formula>
    </cfRule>
  </conditionalFormatting>
  <conditionalFormatting sqref="M988:N988">
    <cfRule type="expression" dxfId="1449" priority="1589" stopIfTrue="1">
      <formula>AND($B988="Tender Received",$D988&lt;=(TODAY()+3))</formula>
    </cfRule>
    <cfRule type="expression" dxfId="1448" priority="1590" stopIfTrue="1">
      <formula>$B988="Tender Received"</formula>
    </cfRule>
  </conditionalFormatting>
  <conditionalFormatting sqref="L990">
    <cfRule type="expression" dxfId="1447" priority="1587" stopIfTrue="1">
      <formula>AND($B990="Tender Received",$D990&lt;=(TODAY()+3))</formula>
    </cfRule>
    <cfRule type="expression" dxfId="1446" priority="1588" stopIfTrue="1">
      <formula>$B990="Tender Received"</formula>
    </cfRule>
  </conditionalFormatting>
  <conditionalFormatting sqref="L988">
    <cfRule type="expression" dxfId="1445" priority="1585" stopIfTrue="1">
      <formula>AND($B988="Tender Received",$D988&lt;=(TODAY()+3))</formula>
    </cfRule>
    <cfRule type="expression" dxfId="1444" priority="1586" stopIfTrue="1">
      <formula>$B988="Tender Received"</formula>
    </cfRule>
  </conditionalFormatting>
  <conditionalFormatting sqref="C988:C989">
    <cfRule type="expression" dxfId="1443" priority="1583" stopIfTrue="1">
      <formula>AND($B988="Tender Received",$D988&lt;=(TODAY()+3))</formula>
    </cfRule>
    <cfRule type="expression" dxfId="1442" priority="1584" stopIfTrue="1">
      <formula>$B988="Tender Received"</formula>
    </cfRule>
  </conditionalFormatting>
  <conditionalFormatting sqref="L989">
    <cfRule type="expression" dxfId="1441" priority="1581" stopIfTrue="1">
      <formula>AND($B989="Tender Received",$D989&lt;=(TODAY()+3))</formula>
    </cfRule>
    <cfRule type="expression" dxfId="1440" priority="1582" stopIfTrue="1">
      <formula>$B989="Tender Received"</formula>
    </cfRule>
  </conditionalFormatting>
  <conditionalFormatting sqref="L988:L989">
    <cfRule type="expression" dxfId="1439" priority="1579" stopIfTrue="1">
      <formula>AND($B988="Tender Received",$D988&lt;=(TODAY()+3))</formula>
    </cfRule>
    <cfRule type="expression" dxfId="1438" priority="1580" stopIfTrue="1">
      <formula>$B988="Tender Received"</formula>
    </cfRule>
  </conditionalFormatting>
  <conditionalFormatting sqref="C988">
    <cfRule type="expression" dxfId="1437" priority="1577" stopIfTrue="1">
      <formula>AND($B988="Tender Received",$D988&lt;=(TODAY()+3))</formula>
    </cfRule>
    <cfRule type="expression" dxfId="1436" priority="1578" stopIfTrue="1">
      <formula>$B988="Tender Received"</formula>
    </cfRule>
  </conditionalFormatting>
  <conditionalFormatting sqref="H988:I988">
    <cfRule type="expression" dxfId="1435" priority="1575" stopIfTrue="1">
      <formula>AND($B988="Tender Received",$D988&lt;=(TODAY()+3))</formula>
    </cfRule>
    <cfRule type="expression" dxfId="1434" priority="1576" stopIfTrue="1">
      <formula>$B988="Tender Received"</formula>
    </cfRule>
  </conditionalFormatting>
  <conditionalFormatting sqref="Q988">
    <cfRule type="expression" dxfId="1433" priority="1573" stopIfTrue="1">
      <formula>AND($B988="Tender Received",$D988&lt;=(TODAY()+3))</formula>
    </cfRule>
    <cfRule type="expression" dxfId="1432" priority="1574" stopIfTrue="1">
      <formula>$B988="Tender Received"</formula>
    </cfRule>
  </conditionalFormatting>
  <conditionalFormatting sqref="C990:H990 J990:K990 M990:R990">
    <cfRule type="expression" dxfId="1431" priority="1571" stopIfTrue="1">
      <formula>AND($B990="Tender Received",$D990&lt;=(TODAY()+3))</formula>
    </cfRule>
    <cfRule type="expression" dxfId="1430" priority="1572" stopIfTrue="1">
      <formula>$B990="Tender Received"</formula>
    </cfRule>
  </conditionalFormatting>
  <conditionalFormatting sqref="L990">
    <cfRule type="expression" dxfId="1429" priority="1569" stopIfTrue="1">
      <formula>AND($B990="Tender Received",$D990&lt;=(TODAY()+3))</formula>
    </cfRule>
    <cfRule type="expression" dxfId="1428" priority="1570" stopIfTrue="1">
      <formula>$B990="Tender Received"</formula>
    </cfRule>
  </conditionalFormatting>
  <conditionalFormatting sqref="I990">
    <cfRule type="expression" dxfId="1427" priority="1567" stopIfTrue="1">
      <formula>AND($B990="Tender Received",$D990&lt;=(TODAY()+3))</formula>
    </cfRule>
    <cfRule type="expression" dxfId="1426" priority="1568" stopIfTrue="1">
      <formula>$B990="Tender Received"</formula>
    </cfRule>
  </conditionalFormatting>
  <conditionalFormatting sqref="Q989">
    <cfRule type="expression" dxfId="1425" priority="1565" stopIfTrue="1">
      <formula>AND($B989="Tender Received",$D989&lt;=(TODAY()+3))</formula>
    </cfRule>
    <cfRule type="expression" dxfId="1424" priority="1566" stopIfTrue="1">
      <formula>$B989="Tender Received"</formula>
    </cfRule>
  </conditionalFormatting>
  <conditionalFormatting sqref="R991 B991:G991 I991:P991">
    <cfRule type="expression" dxfId="1423" priority="1563" stopIfTrue="1">
      <formula>AND($B991="Tender Received",$D991&lt;=(TODAY()+3))</formula>
    </cfRule>
    <cfRule type="expression" dxfId="1422" priority="1564" stopIfTrue="1">
      <formula>$B991="Tender Received"</formula>
    </cfRule>
  </conditionalFormatting>
  <conditionalFormatting sqref="Q991">
    <cfRule type="expression" dxfId="1421" priority="1561" stopIfTrue="1">
      <formula>AND($B991="Tender Received",$D991&lt;=(TODAY()+3))</formula>
    </cfRule>
    <cfRule type="expression" dxfId="1420" priority="1562" stopIfTrue="1">
      <formula>$B991="Tender Received"</formula>
    </cfRule>
  </conditionalFormatting>
  <conditionalFormatting sqref="H991">
    <cfRule type="expression" dxfId="1419" priority="1559" stopIfTrue="1">
      <formula>AND($B991="Tender Received",$D991&lt;=(TODAY()+3))</formula>
    </cfRule>
    <cfRule type="expression" dxfId="1418" priority="1560" stopIfTrue="1">
      <formula>$B991="Tender Received"</formula>
    </cfRule>
  </conditionalFormatting>
  <conditionalFormatting sqref="C992:H992 J992:K992 M992:P992 R992">
    <cfRule type="expression" dxfId="1417" priority="1555" stopIfTrue="1">
      <formula>AND($B992="Tender Received",$D992&lt;=(TODAY()+3))</formula>
    </cfRule>
    <cfRule type="expression" dxfId="1416" priority="1556" stopIfTrue="1">
      <formula>$B992="Tender Received"</formula>
    </cfRule>
  </conditionalFormatting>
  <conditionalFormatting sqref="L992">
    <cfRule type="expression" dxfId="1415" priority="1553" stopIfTrue="1">
      <formula>AND($B992="Tender Received",$D992&lt;=(TODAY()+3))</formula>
    </cfRule>
    <cfRule type="expression" dxfId="1414" priority="1554" stopIfTrue="1">
      <formula>$B992="Tender Received"</formula>
    </cfRule>
  </conditionalFormatting>
  <conditionalFormatting sqref="I992">
    <cfRule type="expression" dxfId="1413" priority="1551" stopIfTrue="1">
      <formula>AND($B992="Tender Received",$D992&lt;=(TODAY()+3))</formula>
    </cfRule>
    <cfRule type="expression" dxfId="1412" priority="1552" stopIfTrue="1">
      <formula>$B992="Tender Received"</formula>
    </cfRule>
  </conditionalFormatting>
  <conditionalFormatting sqref="J992:M992 C992:G992 R992">
    <cfRule type="expression" dxfId="1411" priority="1549" stopIfTrue="1">
      <formula>AND($B992="Tender Received",$D992&lt;=(TODAY()+3))</formula>
    </cfRule>
    <cfRule type="expression" dxfId="1410" priority="1550" stopIfTrue="1">
      <formula>$B992="Tender Received"</formula>
    </cfRule>
  </conditionalFormatting>
  <conditionalFormatting sqref="I992">
    <cfRule type="expression" dxfId="1409" priority="1547" stopIfTrue="1">
      <formula>AND($B992="Tender Received",$D992&lt;=(TODAY()+3))</formula>
    </cfRule>
    <cfRule type="expression" dxfId="1408" priority="1548" stopIfTrue="1">
      <formula>$B992="Tender Received"</formula>
    </cfRule>
  </conditionalFormatting>
  <conditionalFormatting sqref="N992:P992">
    <cfRule type="expression" dxfId="1407" priority="1545" stopIfTrue="1">
      <formula>AND($B992="Tender Received",$D992&lt;=(TODAY()+3))</formula>
    </cfRule>
    <cfRule type="expression" dxfId="1406" priority="1546" stopIfTrue="1">
      <formula>$B992="Tender Received"</formula>
    </cfRule>
  </conditionalFormatting>
  <conditionalFormatting sqref="H992">
    <cfRule type="expression" dxfId="1405" priority="1543" stopIfTrue="1">
      <formula>AND($B992="Tender Received",$D992&lt;=(TODAY()+3))</formula>
    </cfRule>
    <cfRule type="expression" dxfId="1404" priority="1544" stopIfTrue="1">
      <formula>$B992="Tender Received"</formula>
    </cfRule>
  </conditionalFormatting>
  <conditionalFormatting sqref="Q992">
    <cfRule type="expression" dxfId="1403" priority="1541" stopIfTrue="1">
      <formula>AND($B992="Tender Received",$D992&lt;=(TODAY()+3))</formula>
    </cfRule>
    <cfRule type="expression" dxfId="1402" priority="1542" stopIfTrue="1">
      <formula>$B992="Tender Received"</formula>
    </cfRule>
  </conditionalFormatting>
  <conditionalFormatting sqref="Q992">
    <cfRule type="expression" dxfId="1401" priority="1539" stopIfTrue="1">
      <formula>AND($B992="Tender Received",$D992&lt;=(TODAY()+3))</formula>
    </cfRule>
    <cfRule type="expression" dxfId="1400" priority="1540" stopIfTrue="1">
      <formula>$B992="Tender Received"</formula>
    </cfRule>
  </conditionalFormatting>
  <conditionalFormatting sqref="B992">
    <cfRule type="expression" dxfId="1399" priority="1537" stopIfTrue="1">
      <formula>AND($B992="Tender Received",$D992&lt;=(TODAY()+3))</formula>
    </cfRule>
    <cfRule type="expression" dxfId="1398" priority="1538" stopIfTrue="1">
      <formula>$B992="Tender Received"</formula>
    </cfRule>
  </conditionalFormatting>
  <conditionalFormatting sqref="C993:R993">
    <cfRule type="expression" dxfId="1397" priority="1535" stopIfTrue="1">
      <formula>AND($B993="Tender Received",$D993&lt;=(TODAY()+3))</formula>
    </cfRule>
    <cfRule type="expression" dxfId="1396" priority="1536" stopIfTrue="1">
      <formula>$B993="Tender Received"</formula>
    </cfRule>
  </conditionalFormatting>
  <conditionalFormatting sqref="L993">
    <cfRule type="expression" dxfId="1395" priority="1533" stopIfTrue="1">
      <formula>AND($B993="Tender Received",$D993&lt;=(TODAY()+3))</formula>
    </cfRule>
    <cfRule type="expression" dxfId="1394" priority="1534" stopIfTrue="1">
      <formula>$B993="Tender Received"</formula>
    </cfRule>
  </conditionalFormatting>
  <conditionalFormatting sqref="C993:H993 J993:K993 M993:R993">
    <cfRule type="expression" dxfId="1393" priority="1531" stopIfTrue="1">
      <formula>AND($B993="Tender Received",$D993&lt;=(TODAY()+3))</formula>
    </cfRule>
    <cfRule type="expression" dxfId="1392" priority="1532" stopIfTrue="1">
      <formula>$B993="Tender Received"</formula>
    </cfRule>
  </conditionalFormatting>
  <conditionalFormatting sqref="L993">
    <cfRule type="expression" dxfId="1391" priority="1529" stopIfTrue="1">
      <formula>AND($B993="Tender Received",$D993&lt;=(TODAY()+3))</formula>
    </cfRule>
    <cfRule type="expression" dxfId="1390" priority="1530" stopIfTrue="1">
      <formula>$B993="Tender Received"</formula>
    </cfRule>
  </conditionalFormatting>
  <conditionalFormatting sqref="I993">
    <cfRule type="expression" dxfId="1389" priority="1527" stopIfTrue="1">
      <formula>AND($B993="Tender Received",$D993&lt;=(TODAY()+3))</formula>
    </cfRule>
    <cfRule type="expression" dxfId="1388" priority="1528" stopIfTrue="1">
      <formula>$B993="Tender Received"</formula>
    </cfRule>
  </conditionalFormatting>
  <conditionalFormatting sqref="B993">
    <cfRule type="expression" dxfId="1387" priority="1525" stopIfTrue="1">
      <formula>AND($B993="Tender Received",$D993&lt;=(TODAY()+3))</formula>
    </cfRule>
    <cfRule type="expression" dxfId="1386" priority="1526" stopIfTrue="1">
      <formula>$B993="Tender Received"</formula>
    </cfRule>
  </conditionalFormatting>
  <conditionalFormatting sqref="B17 B16:R16">
    <cfRule type="expression" dxfId="1385" priority="1523" stopIfTrue="1">
      <formula>AND($B16="Tender Received",$D16&lt;=(TODAY()+3))</formula>
    </cfRule>
    <cfRule type="expression" dxfId="1384" priority="1524" stopIfTrue="1">
      <formula>$B16="Tender Received"</formula>
    </cfRule>
  </conditionalFormatting>
  <conditionalFormatting sqref="L16">
    <cfRule type="expression" dxfId="1383" priority="1521" stopIfTrue="1">
      <formula>AND($B16="Tender Received",$D16&lt;=(TODAY()+3))</formula>
    </cfRule>
    <cfRule type="expression" dxfId="1382" priority="1522" stopIfTrue="1">
      <formula>$B16="Tender Received"</formula>
    </cfRule>
  </conditionalFormatting>
  <conditionalFormatting sqref="C17:H17 J17:K17 M17:P17 R17">
    <cfRule type="expression" dxfId="1381" priority="1519" stopIfTrue="1">
      <formula>AND($B17="Tender Received",$D17&lt;=(TODAY()+3))</formula>
    </cfRule>
    <cfRule type="expression" dxfId="1380" priority="1520" stopIfTrue="1">
      <formula>$B17="Tender Received"</formula>
    </cfRule>
  </conditionalFormatting>
  <conditionalFormatting sqref="L17">
    <cfRule type="expression" dxfId="1379" priority="1517" stopIfTrue="1">
      <formula>AND($B17="Tender Received",$D17&lt;=(TODAY()+3))</formula>
    </cfRule>
    <cfRule type="expression" dxfId="1378" priority="1518" stopIfTrue="1">
      <formula>$B17="Tender Received"</formula>
    </cfRule>
  </conditionalFormatting>
  <conditionalFormatting sqref="I17">
    <cfRule type="expression" dxfId="1377" priority="1515" stopIfTrue="1">
      <formula>AND($B17="Tender Received",$D17&lt;=(TODAY()+3))</formula>
    </cfRule>
    <cfRule type="expression" dxfId="1376" priority="1516" stopIfTrue="1">
      <formula>$B17="Tender Received"</formula>
    </cfRule>
  </conditionalFormatting>
  <conditionalFormatting sqref="C16:H16 J16:K16 M16:R16">
    <cfRule type="expression" dxfId="1375" priority="1513" stopIfTrue="1">
      <formula>AND($B16="Tender Received",$D16&lt;=(TODAY()+3))</formula>
    </cfRule>
    <cfRule type="expression" dxfId="1374" priority="1514" stopIfTrue="1">
      <formula>$B16="Tender Received"</formula>
    </cfRule>
  </conditionalFormatting>
  <conditionalFormatting sqref="L16">
    <cfRule type="expression" dxfId="1373" priority="1511" stopIfTrue="1">
      <formula>AND($B16="Tender Received",$D16&lt;=(TODAY()+3))</formula>
    </cfRule>
    <cfRule type="expression" dxfId="1372" priority="1512" stopIfTrue="1">
      <formula>$B16="Tender Received"</formula>
    </cfRule>
  </conditionalFormatting>
  <conditionalFormatting sqref="I16">
    <cfRule type="expression" dxfId="1371" priority="1509" stopIfTrue="1">
      <formula>AND($B16="Tender Received",$D16&lt;=(TODAY()+3))</formula>
    </cfRule>
    <cfRule type="expression" dxfId="1370" priority="1510" stopIfTrue="1">
      <formula>$B16="Tender Received"</formula>
    </cfRule>
  </conditionalFormatting>
  <conditionalFormatting sqref="J17:M17 C17:G17 R17">
    <cfRule type="expression" dxfId="1369" priority="1507" stopIfTrue="1">
      <formula>AND($B17="Tender Received",$D17&lt;=(TODAY()+3))</formula>
    </cfRule>
    <cfRule type="expression" dxfId="1368" priority="1508" stopIfTrue="1">
      <formula>$B17="Tender Received"</formula>
    </cfRule>
  </conditionalFormatting>
  <conditionalFormatting sqref="I17">
    <cfRule type="expression" dxfId="1367" priority="1505" stopIfTrue="1">
      <formula>AND($B17="Tender Received",$D17&lt;=(TODAY()+3))</formula>
    </cfRule>
    <cfRule type="expression" dxfId="1366" priority="1506" stopIfTrue="1">
      <formula>$B17="Tender Received"</formula>
    </cfRule>
  </conditionalFormatting>
  <conditionalFormatting sqref="N17:P17">
    <cfRule type="expression" dxfId="1365" priority="1503" stopIfTrue="1">
      <formula>AND($B17="Tender Received",$D17&lt;=(TODAY()+3))</formula>
    </cfRule>
    <cfRule type="expression" dxfId="1364" priority="1504" stopIfTrue="1">
      <formula>$B17="Tender Received"</formula>
    </cfRule>
  </conditionalFormatting>
  <conditionalFormatting sqref="H17">
    <cfRule type="expression" dxfId="1363" priority="1501" stopIfTrue="1">
      <formula>AND($B17="Tender Received",$D17&lt;=(TODAY()+3))</formula>
    </cfRule>
    <cfRule type="expression" dxfId="1362" priority="1502" stopIfTrue="1">
      <formula>$B17="Tender Received"</formula>
    </cfRule>
  </conditionalFormatting>
  <conditionalFormatting sqref="Q17">
    <cfRule type="expression" dxfId="1361" priority="1499" stopIfTrue="1">
      <formula>AND($B17="Tender Received",$D17&lt;=(TODAY()+3))</formula>
    </cfRule>
    <cfRule type="expression" dxfId="1360" priority="1500" stopIfTrue="1">
      <formula>$B17="Tender Received"</formula>
    </cfRule>
  </conditionalFormatting>
  <conditionalFormatting sqref="Q17">
    <cfRule type="expression" dxfId="1359" priority="1497" stopIfTrue="1">
      <formula>AND($B17="Tender Received",$D17&lt;=(TODAY()+3))</formula>
    </cfRule>
    <cfRule type="expression" dxfId="1358" priority="1498" stopIfTrue="1">
      <formula>$B17="Tender Received"</formula>
    </cfRule>
  </conditionalFormatting>
  <conditionalFormatting sqref="B19">
    <cfRule type="expression" dxfId="1357" priority="1495" stopIfTrue="1">
      <formula>AND($B19="Tender Received",$D19&lt;=(TODAY()+3))</formula>
    </cfRule>
    <cfRule type="expression" dxfId="1356" priority="1496" stopIfTrue="1">
      <formula>$B19="Tender Received"</formula>
    </cfRule>
  </conditionalFormatting>
  <conditionalFormatting sqref="J19:M19 C19:G19 R19">
    <cfRule type="expression" dxfId="1355" priority="1493" stopIfTrue="1">
      <formula>AND($B19="Tender Received",$D19&lt;=(TODAY()+3))</formula>
    </cfRule>
    <cfRule type="expression" dxfId="1354" priority="1494" stopIfTrue="1">
      <formula>$B19="Tender Received"</formula>
    </cfRule>
  </conditionalFormatting>
  <conditionalFormatting sqref="I19">
    <cfRule type="expression" dxfId="1353" priority="1491" stopIfTrue="1">
      <formula>AND($B19="Tender Received",$D19&lt;=(TODAY()+3))</formula>
    </cfRule>
    <cfRule type="expression" dxfId="1352" priority="1492" stopIfTrue="1">
      <formula>$B19="Tender Received"</formula>
    </cfRule>
  </conditionalFormatting>
  <conditionalFormatting sqref="N19:P19">
    <cfRule type="expression" dxfId="1351" priority="1489" stopIfTrue="1">
      <formula>AND($B19="Tender Received",$D19&lt;=(TODAY()+3))</formula>
    </cfRule>
    <cfRule type="expression" dxfId="1350" priority="1490" stopIfTrue="1">
      <formula>$B19="Tender Received"</formula>
    </cfRule>
  </conditionalFormatting>
  <conditionalFormatting sqref="H19">
    <cfRule type="expression" dxfId="1349" priority="1487" stopIfTrue="1">
      <formula>AND($B19="Tender Received",$D19&lt;=(TODAY()+3))</formula>
    </cfRule>
    <cfRule type="expression" dxfId="1348" priority="1488" stopIfTrue="1">
      <formula>$B19="Tender Received"</formula>
    </cfRule>
  </conditionalFormatting>
  <conditionalFormatting sqref="Q19">
    <cfRule type="expression" dxfId="1347" priority="1485" stopIfTrue="1">
      <formula>AND($B19="Tender Received",$D19&lt;=(TODAY()+3))</formula>
    </cfRule>
    <cfRule type="expression" dxfId="1346" priority="1486" stopIfTrue="1">
      <formula>$B19="Tender Received"</formula>
    </cfRule>
  </conditionalFormatting>
  <conditionalFormatting sqref="B18:K18 M18:P18 R18">
    <cfRule type="expression" dxfId="1345" priority="1483" stopIfTrue="1">
      <formula>AND($B18="Tender Received",$D18&lt;=(TODAY()+3))</formula>
    </cfRule>
    <cfRule type="expression" dxfId="1344" priority="1484" stopIfTrue="1">
      <formula>$B18="Tender Received"</formula>
    </cfRule>
  </conditionalFormatting>
  <conditionalFormatting sqref="C18">
    <cfRule type="expression" dxfId="1343" priority="1481" stopIfTrue="1">
      <formula>AND($B18="Tender Received",$D18&lt;=(TODAY()+3))</formula>
    </cfRule>
    <cfRule type="expression" dxfId="1342" priority="1482" stopIfTrue="1">
      <formula>$B18="Tender Received"</formula>
    </cfRule>
  </conditionalFormatting>
  <conditionalFormatting sqref="L18">
    <cfRule type="expression" dxfId="1341" priority="1479" stopIfTrue="1">
      <formula>AND($B18="Tender Received",$D18&lt;=(TODAY()+3))</formula>
    </cfRule>
    <cfRule type="expression" dxfId="1340" priority="1480" stopIfTrue="1">
      <formula>$B18="Tender Received"</formula>
    </cfRule>
  </conditionalFormatting>
  <conditionalFormatting sqref="L18">
    <cfRule type="expression" dxfId="1339" priority="1477" stopIfTrue="1">
      <formula>AND($B18="Tender Received",$D18&lt;=(TODAY()+3))</formula>
    </cfRule>
    <cfRule type="expression" dxfId="1338" priority="1478" stopIfTrue="1">
      <formula>$B18="Tender Received"</formula>
    </cfRule>
  </conditionalFormatting>
  <conditionalFormatting sqref="Q18">
    <cfRule type="expression" dxfId="1337" priority="1475" stopIfTrue="1">
      <formula>AND($B18="Tender Received",$D18&lt;=(TODAY()+3))</formula>
    </cfRule>
    <cfRule type="expression" dxfId="1336" priority="1476" stopIfTrue="1">
      <formula>$B18="Tender Received"</formula>
    </cfRule>
  </conditionalFormatting>
  <conditionalFormatting sqref="Q78">
    <cfRule type="expression" dxfId="1335" priority="1473" stopIfTrue="1">
      <formula>AND($B78="Tender Received",$D78&lt;=(TODAY()+3))</formula>
    </cfRule>
    <cfRule type="expression" dxfId="1334" priority="1474" stopIfTrue="1">
      <formula>$B78="Tender Received"</formula>
    </cfRule>
  </conditionalFormatting>
  <conditionalFormatting sqref="H145:I145">
    <cfRule type="expression" dxfId="1333" priority="1471" stopIfTrue="1">
      <formula>AND($B145="Tender Received",$D145&lt;=(TODAY()+3))</formula>
    </cfRule>
    <cfRule type="expression" dxfId="1332" priority="1472" stopIfTrue="1">
      <formula>$B145="Tender Received"</formula>
    </cfRule>
  </conditionalFormatting>
  <conditionalFormatting sqref="H220:I220">
    <cfRule type="expression" dxfId="1331" priority="1469" stopIfTrue="1">
      <formula>AND($B220="Tender Received",$D220&lt;=(TODAY()+3))</formula>
    </cfRule>
    <cfRule type="expression" dxfId="1330" priority="1470" stopIfTrue="1">
      <formula>$B220="Tender Received"</formula>
    </cfRule>
  </conditionalFormatting>
  <conditionalFormatting sqref="H63">
    <cfRule type="expression" dxfId="1329" priority="1467" stopIfTrue="1">
      <formula>AND($B63="Tender Received",$D63&lt;=(TODAY()+3))</formula>
    </cfRule>
    <cfRule type="expression" dxfId="1328" priority="1468" stopIfTrue="1">
      <formula>$B63="Tender Received"</formula>
    </cfRule>
  </conditionalFormatting>
  <conditionalFormatting sqref="H123">
    <cfRule type="expression" dxfId="1327" priority="1465" stopIfTrue="1">
      <formula>AND($B123="Tender Received",$D123&lt;=(TODAY()+3))</formula>
    </cfRule>
    <cfRule type="expression" dxfId="1326" priority="1466" stopIfTrue="1">
      <formula>$B123="Tender Received"</formula>
    </cfRule>
  </conditionalFormatting>
  <conditionalFormatting sqref="Q123">
    <cfRule type="expression" dxfId="1325" priority="1463" stopIfTrue="1">
      <formula>AND($B123="Tender Received",$D123&lt;=(TODAY()+3))</formula>
    </cfRule>
    <cfRule type="expression" dxfId="1324" priority="1464" stopIfTrue="1">
      <formula>$B123="Tender Received"</formula>
    </cfRule>
  </conditionalFormatting>
  <conditionalFormatting sqref="H212">
    <cfRule type="expression" dxfId="1323" priority="1461" stopIfTrue="1">
      <formula>AND($B212="Tender Received",$D212&lt;=(TODAY()+3))</formula>
    </cfRule>
    <cfRule type="expression" dxfId="1322" priority="1462" stopIfTrue="1">
      <formula>$B212="Tender Received"</formula>
    </cfRule>
  </conditionalFormatting>
  <conditionalFormatting sqref="N15:P15 R15">
    <cfRule type="expression" dxfId="1321" priority="1459" stopIfTrue="1">
      <formula>AND($B15="Tender Received",$D15&lt;=(TODAY()+3))</formula>
    </cfRule>
    <cfRule type="expression" dxfId="1320" priority="1460" stopIfTrue="1">
      <formula>$B15="Tender Received"</formula>
    </cfRule>
  </conditionalFormatting>
  <conditionalFormatting sqref="N15">
    <cfRule type="expression" dxfId="1319" priority="1457" stopIfTrue="1">
      <formula>AND($B15="Tender Received",$D15&lt;=(TODAY()+3))</formula>
    </cfRule>
    <cfRule type="expression" dxfId="1318" priority="1458" stopIfTrue="1">
      <formula>$B15="Tender Received"</formula>
    </cfRule>
  </conditionalFormatting>
  <conditionalFormatting sqref="Q15">
    <cfRule type="expression" dxfId="1317" priority="1455" stopIfTrue="1">
      <formula>AND($B15="Tender Received",$D15&lt;=(TODAY()+3))</formula>
    </cfRule>
    <cfRule type="expression" dxfId="1316" priority="1456" stopIfTrue="1">
      <formula>$B15="Tender Received"</formula>
    </cfRule>
  </conditionalFormatting>
  <conditionalFormatting sqref="J994:K994 E994:H994 R994">
    <cfRule type="expression" dxfId="1315" priority="1453" stopIfTrue="1">
      <formula>AND($B994="Tender Received",$D994&lt;=(TODAY()+3))</formula>
    </cfRule>
    <cfRule type="expression" dxfId="1314" priority="1454" stopIfTrue="1">
      <formula>$B994="Tender Received"</formula>
    </cfRule>
  </conditionalFormatting>
  <conditionalFormatting sqref="M994">
    <cfRule type="expression" dxfId="1313" priority="1451" stopIfTrue="1">
      <formula>AND($B994="Tender Received",$D994&lt;=(TODAY()+3))</formula>
    </cfRule>
    <cfRule type="expression" dxfId="1312" priority="1452" stopIfTrue="1">
      <formula>$B994="Tender Received"</formula>
    </cfRule>
  </conditionalFormatting>
  <conditionalFormatting sqref="B994">
    <cfRule type="expression" dxfId="1311" priority="1449" stopIfTrue="1">
      <formula>AND($B994="Tender Received",$D994&lt;=(TODAY()+3))</formula>
    </cfRule>
    <cfRule type="expression" dxfId="1310" priority="1450" stopIfTrue="1">
      <formula>$B994="Tender Received"</formula>
    </cfRule>
  </conditionalFormatting>
  <conditionalFormatting sqref="J994:K994 E994:H994 R994 M994">
    <cfRule type="expression" dxfId="1309" priority="1447" stopIfTrue="1">
      <formula>AND($B994="Tender Received",$D994&lt;=(TODAY()+3))</formula>
    </cfRule>
    <cfRule type="expression" dxfId="1308" priority="1448" stopIfTrue="1">
      <formula>$B994="Tender Received"</formula>
    </cfRule>
  </conditionalFormatting>
  <conditionalFormatting sqref="L994">
    <cfRule type="expression" dxfId="1307" priority="1445" stopIfTrue="1">
      <formula>AND($B994="Tender Received",$D994&lt;=(TODAY()+3))</formula>
    </cfRule>
    <cfRule type="expression" dxfId="1306" priority="1446" stopIfTrue="1">
      <formula>$B994="Tender Received"</formula>
    </cfRule>
  </conditionalFormatting>
  <conditionalFormatting sqref="L994">
    <cfRule type="expression" dxfId="1305" priority="1443" stopIfTrue="1">
      <formula>AND($B994="Tender Received",$D994&lt;=(TODAY()+3))</formula>
    </cfRule>
    <cfRule type="expression" dxfId="1304" priority="1444" stopIfTrue="1">
      <formula>$B994="Tender Received"</formula>
    </cfRule>
  </conditionalFormatting>
  <conditionalFormatting sqref="D994">
    <cfRule type="expression" dxfId="1303" priority="1441" stopIfTrue="1">
      <formula>AND($B994="Tender Received",$D994&lt;=(TODAY()+3))</formula>
    </cfRule>
    <cfRule type="expression" dxfId="1302" priority="1442" stopIfTrue="1">
      <formula>$B994="Tender Received"</formula>
    </cfRule>
  </conditionalFormatting>
  <conditionalFormatting sqref="O994:P994">
    <cfRule type="expression" dxfId="1301" priority="1439" stopIfTrue="1">
      <formula>AND($B994="Tender Received",$D994&lt;=(TODAY()+3))</formula>
    </cfRule>
    <cfRule type="expression" dxfId="1300" priority="1440" stopIfTrue="1">
      <formula>$B994="Tender Received"</formula>
    </cfRule>
  </conditionalFormatting>
  <conditionalFormatting sqref="N994">
    <cfRule type="expression" dxfId="1299" priority="1437" stopIfTrue="1">
      <formula>AND($B994="Tender Received",$D994&lt;=(TODAY()+3))</formula>
    </cfRule>
    <cfRule type="expression" dxfId="1298" priority="1438" stopIfTrue="1">
      <formula>$B994="Tender Received"</formula>
    </cfRule>
  </conditionalFormatting>
  <conditionalFormatting sqref="C994">
    <cfRule type="expression" dxfId="1297" priority="1435" stopIfTrue="1">
      <formula>AND($B994="Tender Received",$D994&lt;=(TODAY()+3))</formula>
    </cfRule>
    <cfRule type="expression" dxfId="1296" priority="1436" stopIfTrue="1">
      <formula>$B994="Tender Received"</formula>
    </cfRule>
  </conditionalFormatting>
  <conditionalFormatting sqref="I994">
    <cfRule type="expression" dxfId="1295" priority="1433" stopIfTrue="1">
      <formula>AND($B994="Tender Received",$D994&lt;=(TODAY()+3))</formula>
    </cfRule>
    <cfRule type="expression" dxfId="1294" priority="1434" stopIfTrue="1">
      <formula>$B994="Tender Received"</formula>
    </cfRule>
  </conditionalFormatting>
  <conditionalFormatting sqref="I994">
    <cfRule type="expression" dxfId="1293" priority="1431" stopIfTrue="1">
      <formula>AND($B994="Tender Received",$D994&lt;=(TODAY()+3))</formula>
    </cfRule>
    <cfRule type="expression" dxfId="1292" priority="1432" stopIfTrue="1">
      <formula>$B994="Tender Received"</formula>
    </cfRule>
  </conditionalFormatting>
  <conditionalFormatting sqref="Q994">
    <cfRule type="expression" dxfId="1291" priority="1429" stopIfTrue="1">
      <formula>AND($B994="Tender Received",$D994&lt;=(TODAY()+3))</formula>
    </cfRule>
    <cfRule type="expression" dxfId="1290" priority="1430" stopIfTrue="1">
      <formula>$B994="Tender Received"</formula>
    </cfRule>
  </conditionalFormatting>
  <conditionalFormatting sqref="Q8">
    <cfRule type="expression" dxfId="1289" priority="1419" stopIfTrue="1">
      <formula>AND($B8="Tender Received",$D8&lt;=(TODAY()+3))</formula>
    </cfRule>
    <cfRule type="expression" dxfId="1288" priority="1420" stopIfTrue="1">
      <formula>$B8="Tender Received"</formula>
    </cfRule>
  </conditionalFormatting>
  <conditionalFormatting sqref="D995:K995">
    <cfRule type="expression" dxfId="1287" priority="1417" stopIfTrue="1">
      <formula>AND($B995="Tender Received",$D995&lt;=(TODAY()+3))</formula>
    </cfRule>
    <cfRule type="expression" dxfId="1286" priority="1418" stopIfTrue="1">
      <formula>$B995="Tender Received"</formula>
    </cfRule>
  </conditionalFormatting>
  <conditionalFormatting sqref="C995">
    <cfRule type="expression" dxfId="1285" priority="1415" stopIfTrue="1">
      <formula>AND($B995="Tender Received",$D995&lt;=(TODAY()+3))</formula>
    </cfRule>
    <cfRule type="expression" dxfId="1284" priority="1416" stopIfTrue="1">
      <formula>$B995="Tender Received"</formula>
    </cfRule>
  </conditionalFormatting>
  <conditionalFormatting sqref="M995:O995 R995 B995:K995">
    <cfRule type="expression" dxfId="1283" priority="1413" stopIfTrue="1">
      <formula>AND($B995="Tender Received",$D995&lt;=(TODAY()+3))</formula>
    </cfRule>
    <cfRule type="expression" dxfId="1282" priority="1414" stopIfTrue="1">
      <formula>$B995="Tender Received"</formula>
    </cfRule>
  </conditionalFormatting>
  <conditionalFormatting sqref="M995:N995">
    <cfRule type="expression" dxfId="1281" priority="1411" stopIfTrue="1">
      <formula>AND($B995="Tender Received",$D995&lt;=(TODAY()+3))</formula>
    </cfRule>
    <cfRule type="expression" dxfId="1280" priority="1412" stopIfTrue="1">
      <formula>$B995="Tender Received"</formula>
    </cfRule>
  </conditionalFormatting>
  <conditionalFormatting sqref="L995">
    <cfRule type="expression" dxfId="1279" priority="1409" stopIfTrue="1">
      <formula>AND($B995="Tender Received",$D995&lt;=(TODAY()+3))</formula>
    </cfRule>
    <cfRule type="expression" dxfId="1278" priority="1410" stopIfTrue="1">
      <formula>$B995="Tender Received"</formula>
    </cfRule>
  </conditionalFormatting>
  <conditionalFormatting sqref="C995">
    <cfRule type="expression" dxfId="1277" priority="1407" stopIfTrue="1">
      <formula>AND($B995="Tender Received",$D995&lt;=(TODAY()+3))</formula>
    </cfRule>
    <cfRule type="expression" dxfId="1276" priority="1408" stopIfTrue="1">
      <formula>$B995="Tender Received"</formula>
    </cfRule>
  </conditionalFormatting>
  <conditionalFormatting sqref="L995">
    <cfRule type="expression" dxfId="1275" priority="1405" stopIfTrue="1">
      <formula>AND($B995="Tender Received",$D995&lt;=(TODAY()+3))</formula>
    </cfRule>
    <cfRule type="expression" dxfId="1274" priority="1406" stopIfTrue="1">
      <formula>$B995="Tender Received"</formula>
    </cfRule>
  </conditionalFormatting>
  <conditionalFormatting sqref="C995">
    <cfRule type="expression" dxfId="1273" priority="1403" stopIfTrue="1">
      <formula>AND($B995="Tender Received",$D995&lt;=(TODAY()+3))</formula>
    </cfRule>
    <cfRule type="expression" dxfId="1272" priority="1404" stopIfTrue="1">
      <formula>$B995="Tender Received"</formula>
    </cfRule>
  </conditionalFormatting>
  <conditionalFormatting sqref="H995:I995">
    <cfRule type="expression" dxfId="1271" priority="1401" stopIfTrue="1">
      <formula>AND($B995="Tender Received",$D995&lt;=(TODAY()+3))</formula>
    </cfRule>
    <cfRule type="expression" dxfId="1270" priority="1402" stopIfTrue="1">
      <formula>$B995="Tender Received"</formula>
    </cfRule>
  </conditionalFormatting>
  <conditionalFormatting sqref="Q995">
    <cfRule type="expression" dxfId="1269" priority="1399" stopIfTrue="1">
      <formula>AND($B995="Tender Received",$D995&lt;=(TODAY()+3))</formula>
    </cfRule>
    <cfRule type="expression" dxfId="1268" priority="1400" stopIfTrue="1">
      <formula>$B995="Tender Received"</formula>
    </cfRule>
  </conditionalFormatting>
  <conditionalFormatting sqref="B996:K996 M996">
    <cfRule type="expression" dxfId="1267" priority="1397" stopIfTrue="1">
      <formula>AND($B996="Tender Received",$D996&lt;=(TODAY()+3))</formula>
    </cfRule>
    <cfRule type="expression" dxfId="1266" priority="1398" stopIfTrue="1">
      <formula>$B996="Tender Received"</formula>
    </cfRule>
  </conditionalFormatting>
  <conditionalFormatting sqref="C996">
    <cfRule type="expression" dxfId="1265" priority="1395" stopIfTrue="1">
      <formula>AND($B996="Tender Received",$D996&lt;=(TODAY()+3))</formula>
    </cfRule>
    <cfRule type="expression" dxfId="1264" priority="1396" stopIfTrue="1">
      <formula>$B996="Tender Received"</formula>
    </cfRule>
  </conditionalFormatting>
  <conditionalFormatting sqref="L996">
    <cfRule type="expression" dxfId="1263" priority="1393" stopIfTrue="1">
      <formula>AND($B996="Tender Received",$D996&lt;=(TODAY()+3))</formula>
    </cfRule>
    <cfRule type="expression" dxfId="1262" priority="1394" stopIfTrue="1">
      <formula>$B996="Tender Received"</formula>
    </cfRule>
  </conditionalFormatting>
  <conditionalFormatting sqref="L996">
    <cfRule type="expression" dxfId="1261" priority="1391" stopIfTrue="1">
      <formula>AND($B996="Tender Received",$D996&lt;=(TODAY()+3))</formula>
    </cfRule>
    <cfRule type="expression" dxfId="1260" priority="1392" stopIfTrue="1">
      <formula>$B996="Tender Received"</formula>
    </cfRule>
  </conditionalFormatting>
  <conditionalFormatting sqref="N996:O996 R996">
    <cfRule type="expression" dxfId="1259" priority="1389" stopIfTrue="1">
      <formula>AND($B996="Tender Received",$D996&lt;=(TODAY()+3))</formula>
    </cfRule>
    <cfRule type="expression" dxfId="1258" priority="1390" stopIfTrue="1">
      <formula>$B996="Tender Received"</formula>
    </cfRule>
  </conditionalFormatting>
  <conditionalFormatting sqref="N996">
    <cfRule type="expression" dxfId="1257" priority="1387" stopIfTrue="1">
      <formula>AND($B996="Tender Received",$D996&lt;=(TODAY()+3))</formula>
    </cfRule>
    <cfRule type="expression" dxfId="1256" priority="1388" stopIfTrue="1">
      <formula>$B996="Tender Received"</formula>
    </cfRule>
  </conditionalFormatting>
  <conditionalFormatting sqref="Q996">
    <cfRule type="expression" dxfId="1255" priority="1385" stopIfTrue="1">
      <formula>AND($B996="Tender Received",$D996&lt;=(TODAY()+3))</formula>
    </cfRule>
    <cfRule type="expression" dxfId="1254" priority="1386" stopIfTrue="1">
      <formula>$B996="Tender Received"</formula>
    </cfRule>
  </conditionalFormatting>
  <conditionalFormatting sqref="P995:P996">
    <cfRule type="expression" dxfId="1253" priority="1383" stopIfTrue="1">
      <formula>AND($B995="Tender Received",$D995&lt;=(TODAY()+3))</formula>
    </cfRule>
    <cfRule type="expression" dxfId="1252" priority="1384" stopIfTrue="1">
      <formula>$B995="Tender Received"</formula>
    </cfRule>
  </conditionalFormatting>
  <conditionalFormatting sqref="H21">
    <cfRule type="expression" dxfId="1251" priority="1381" stopIfTrue="1">
      <formula>AND($B21="Tender Received",$D21&lt;=(TODAY()+3))</formula>
    </cfRule>
    <cfRule type="expression" dxfId="1250" priority="1382" stopIfTrue="1">
      <formula>$B21="Tender Received"</formula>
    </cfRule>
  </conditionalFormatting>
  <conditionalFormatting sqref="O21">
    <cfRule type="expression" dxfId="1249" priority="1379" stopIfTrue="1">
      <formula>AND($B21="Tender Received",$D21&lt;=(TODAY()+3))</formula>
    </cfRule>
    <cfRule type="expression" dxfId="1248" priority="1380" stopIfTrue="1">
      <formula>$B21="Tender Received"</formula>
    </cfRule>
  </conditionalFormatting>
  <conditionalFormatting sqref="Q24">
    <cfRule type="expression" dxfId="1247" priority="1375" stopIfTrue="1">
      <formula>AND($B24="Tender Received",$D24&lt;=(TODAY()+3))</formula>
    </cfRule>
    <cfRule type="expression" dxfId="1246" priority="1376" stopIfTrue="1">
      <formula>$B24="Tender Received"</formula>
    </cfRule>
  </conditionalFormatting>
  <conditionalFormatting sqref="F42">
    <cfRule type="expression" dxfId="1245" priority="1373" stopIfTrue="1">
      <formula>AND($B42="Tender Received",$D42&lt;=(TODAY()+3))</formula>
    </cfRule>
    <cfRule type="expression" dxfId="1244" priority="1374" stopIfTrue="1">
      <formula>$B42="Tender Received"</formula>
    </cfRule>
  </conditionalFormatting>
  <conditionalFormatting sqref="H42">
    <cfRule type="expression" dxfId="1243" priority="1371" stopIfTrue="1">
      <formula>AND($B42="Tender Received",$D42&lt;=(TODAY()+3))</formula>
    </cfRule>
    <cfRule type="expression" dxfId="1242" priority="1372" stopIfTrue="1">
      <formula>$B42="Tender Received"</formula>
    </cfRule>
  </conditionalFormatting>
  <conditionalFormatting sqref="H33">
    <cfRule type="expression" dxfId="1241" priority="1369" stopIfTrue="1">
      <formula>AND($B33="Tender Received",$D33&lt;=(TODAY()+3))</formula>
    </cfRule>
    <cfRule type="expression" dxfId="1240" priority="1370" stopIfTrue="1">
      <formula>$B33="Tender Received"</formula>
    </cfRule>
  </conditionalFormatting>
  <conditionalFormatting sqref="Q33">
    <cfRule type="expression" dxfId="1239" priority="1367" stopIfTrue="1">
      <formula>AND($B33="Tender Received",$D33&lt;=(TODAY()+3))</formula>
    </cfRule>
    <cfRule type="expression" dxfId="1238" priority="1368" stopIfTrue="1">
      <formula>$B33="Tender Received"</formula>
    </cfRule>
  </conditionalFormatting>
  <conditionalFormatting sqref="D997:K997">
    <cfRule type="expression" dxfId="1237" priority="1335" stopIfTrue="1">
      <formula>AND($B997="Tender Received",$D997&lt;=(TODAY()+3))</formula>
    </cfRule>
    <cfRule type="expression" dxfId="1236" priority="1336" stopIfTrue="1">
      <formula>$B997="Tender Received"</formula>
    </cfRule>
  </conditionalFormatting>
  <conditionalFormatting sqref="C997">
    <cfRule type="expression" dxfId="1235" priority="1333" stopIfTrue="1">
      <formula>AND($B997="Tender Received",$D997&lt;=(TODAY()+3))</formula>
    </cfRule>
    <cfRule type="expression" dxfId="1234" priority="1334" stopIfTrue="1">
      <formula>$B997="Tender Received"</formula>
    </cfRule>
  </conditionalFormatting>
  <conditionalFormatting sqref="B1000 B999:R999 M997:P997 R997 B997:K997">
    <cfRule type="expression" dxfId="1233" priority="1331" stopIfTrue="1">
      <formula>AND($B997="Tender Received",$D997&lt;=(TODAY()+3))</formula>
    </cfRule>
    <cfRule type="expression" dxfId="1232" priority="1332" stopIfTrue="1">
      <formula>$B997="Tender Received"</formula>
    </cfRule>
  </conditionalFormatting>
  <conditionalFormatting sqref="M997:N997">
    <cfRule type="expression" dxfId="1231" priority="1329" stopIfTrue="1">
      <formula>AND($B997="Tender Received",$D997&lt;=(TODAY()+3))</formula>
    </cfRule>
    <cfRule type="expression" dxfId="1230" priority="1330" stopIfTrue="1">
      <formula>$B997="Tender Received"</formula>
    </cfRule>
  </conditionalFormatting>
  <conditionalFormatting sqref="L999">
    <cfRule type="expression" dxfId="1229" priority="1327" stopIfTrue="1">
      <formula>AND($B999="Tender Received",$D999&lt;=(TODAY()+3))</formula>
    </cfRule>
    <cfRule type="expression" dxfId="1228" priority="1328" stopIfTrue="1">
      <formula>$B999="Tender Received"</formula>
    </cfRule>
  </conditionalFormatting>
  <conditionalFormatting sqref="L997">
    <cfRule type="expression" dxfId="1227" priority="1325" stopIfTrue="1">
      <formula>AND($B997="Tender Received",$D997&lt;=(TODAY()+3))</formula>
    </cfRule>
    <cfRule type="expression" dxfId="1226" priority="1326" stopIfTrue="1">
      <formula>$B997="Tender Received"</formula>
    </cfRule>
  </conditionalFormatting>
  <conditionalFormatting sqref="C997">
    <cfRule type="expression" dxfId="1225" priority="1323" stopIfTrue="1">
      <formula>AND($B997="Tender Received",$D997&lt;=(TODAY()+3))</formula>
    </cfRule>
    <cfRule type="expression" dxfId="1224" priority="1324" stopIfTrue="1">
      <formula>$B997="Tender Received"</formula>
    </cfRule>
  </conditionalFormatting>
  <conditionalFormatting sqref="L997">
    <cfRule type="expression" dxfId="1223" priority="1321" stopIfTrue="1">
      <formula>AND($B997="Tender Received",$D997&lt;=(TODAY()+3))</formula>
    </cfRule>
    <cfRule type="expression" dxfId="1222" priority="1322" stopIfTrue="1">
      <formula>$B997="Tender Received"</formula>
    </cfRule>
  </conditionalFormatting>
  <conditionalFormatting sqref="C997">
    <cfRule type="expression" dxfId="1221" priority="1319" stopIfTrue="1">
      <formula>AND($B997="Tender Received",$D997&lt;=(TODAY()+3))</formula>
    </cfRule>
    <cfRule type="expression" dxfId="1220" priority="1320" stopIfTrue="1">
      <formula>$B997="Tender Received"</formula>
    </cfRule>
  </conditionalFormatting>
  <conditionalFormatting sqref="C1000:H1000 J1000:K1000 M1000:P1000 R1000">
    <cfRule type="expression" dxfId="1219" priority="1317" stopIfTrue="1">
      <formula>AND($B1000="Tender Received",$D1000&lt;=(TODAY()+3))</formula>
    </cfRule>
    <cfRule type="expression" dxfId="1218" priority="1318" stopIfTrue="1">
      <formula>$B1000="Tender Received"</formula>
    </cfRule>
  </conditionalFormatting>
  <conditionalFormatting sqref="L1000">
    <cfRule type="expression" dxfId="1217" priority="1315" stopIfTrue="1">
      <formula>AND($B1000="Tender Received",$D1000&lt;=(TODAY()+3))</formula>
    </cfRule>
    <cfRule type="expression" dxfId="1216" priority="1316" stopIfTrue="1">
      <formula>$B1000="Tender Received"</formula>
    </cfRule>
  </conditionalFormatting>
  <conditionalFormatting sqref="I1000">
    <cfRule type="expression" dxfId="1215" priority="1313" stopIfTrue="1">
      <formula>AND($B1000="Tender Received",$D1000&lt;=(TODAY()+3))</formula>
    </cfRule>
    <cfRule type="expression" dxfId="1214" priority="1314" stopIfTrue="1">
      <formula>$B1000="Tender Received"</formula>
    </cfRule>
  </conditionalFormatting>
  <conditionalFormatting sqref="H997:I997">
    <cfRule type="expression" dxfId="1213" priority="1311" stopIfTrue="1">
      <formula>AND($B997="Tender Received",$D997&lt;=(TODAY()+3))</formula>
    </cfRule>
    <cfRule type="expression" dxfId="1212" priority="1312" stopIfTrue="1">
      <formula>$B997="Tender Received"</formula>
    </cfRule>
  </conditionalFormatting>
  <conditionalFormatting sqref="Q997">
    <cfRule type="expression" dxfId="1211" priority="1309" stopIfTrue="1">
      <formula>AND($B997="Tender Received",$D997&lt;=(TODAY()+3))</formula>
    </cfRule>
    <cfRule type="expression" dxfId="1210" priority="1310" stopIfTrue="1">
      <formula>$B997="Tender Received"</formula>
    </cfRule>
  </conditionalFormatting>
  <conditionalFormatting sqref="C999:H999 J999:K999 M999:R999">
    <cfRule type="expression" dxfId="1209" priority="1307" stopIfTrue="1">
      <formula>AND($B999="Tender Received",$D999&lt;=(TODAY()+3))</formula>
    </cfRule>
    <cfRule type="expression" dxfId="1208" priority="1308" stopIfTrue="1">
      <formula>$B999="Tender Received"</formula>
    </cfRule>
  </conditionalFormatting>
  <conditionalFormatting sqref="L999">
    <cfRule type="expression" dxfId="1207" priority="1305" stopIfTrue="1">
      <formula>AND($B999="Tender Received",$D999&lt;=(TODAY()+3))</formula>
    </cfRule>
    <cfRule type="expression" dxfId="1206" priority="1306" stopIfTrue="1">
      <formula>$B999="Tender Received"</formula>
    </cfRule>
  </conditionalFormatting>
  <conditionalFormatting sqref="I999">
    <cfRule type="expression" dxfId="1205" priority="1303" stopIfTrue="1">
      <formula>AND($B999="Tender Received",$D999&lt;=(TODAY()+3))</formula>
    </cfRule>
    <cfRule type="expression" dxfId="1204" priority="1304" stopIfTrue="1">
      <formula>$B999="Tender Received"</formula>
    </cfRule>
  </conditionalFormatting>
  <conditionalFormatting sqref="J1000:M1000 C1000:G1000 R1000">
    <cfRule type="expression" dxfId="1203" priority="1301" stopIfTrue="1">
      <formula>AND($B1000="Tender Received",$D1000&lt;=(TODAY()+3))</formula>
    </cfRule>
    <cfRule type="expression" dxfId="1202" priority="1302" stopIfTrue="1">
      <formula>$B1000="Tender Received"</formula>
    </cfRule>
  </conditionalFormatting>
  <conditionalFormatting sqref="I1000">
    <cfRule type="expression" dxfId="1201" priority="1299" stopIfTrue="1">
      <formula>AND($B1000="Tender Received",$D1000&lt;=(TODAY()+3))</formula>
    </cfRule>
    <cfRule type="expression" dxfId="1200" priority="1300" stopIfTrue="1">
      <formula>$B1000="Tender Received"</formula>
    </cfRule>
  </conditionalFormatting>
  <conditionalFormatting sqref="N1000:P1000">
    <cfRule type="expression" dxfId="1199" priority="1297" stopIfTrue="1">
      <formula>AND($B1000="Tender Received",$D1000&lt;=(TODAY()+3))</formula>
    </cfRule>
    <cfRule type="expression" dxfId="1198" priority="1298" stopIfTrue="1">
      <formula>$B1000="Tender Received"</formula>
    </cfRule>
  </conditionalFormatting>
  <conditionalFormatting sqref="H1000">
    <cfRule type="expression" dxfId="1197" priority="1295" stopIfTrue="1">
      <formula>AND($B1000="Tender Received",$D1000&lt;=(TODAY()+3))</formula>
    </cfRule>
    <cfRule type="expression" dxfId="1196" priority="1296" stopIfTrue="1">
      <formula>$B1000="Tender Received"</formula>
    </cfRule>
  </conditionalFormatting>
  <conditionalFormatting sqref="Q1000">
    <cfRule type="expression" dxfId="1195" priority="1293" stopIfTrue="1">
      <formula>AND($B1000="Tender Received",$D1000&lt;=(TODAY()+3))</formula>
    </cfRule>
    <cfRule type="expression" dxfId="1194" priority="1294" stopIfTrue="1">
      <formula>$B1000="Tender Received"</formula>
    </cfRule>
  </conditionalFormatting>
  <conditionalFormatting sqref="Q1000">
    <cfRule type="expression" dxfId="1193" priority="1291" stopIfTrue="1">
      <formula>AND($B1000="Tender Received",$D1000&lt;=(TODAY()+3))</formula>
    </cfRule>
    <cfRule type="expression" dxfId="1192" priority="1292" stopIfTrue="1">
      <formula>$B1000="Tender Received"</formula>
    </cfRule>
  </conditionalFormatting>
  <conditionalFormatting sqref="B998:K998 M998">
    <cfRule type="expression" dxfId="1191" priority="1289" stopIfTrue="1">
      <formula>AND($B998="Tender Received",$D998&lt;=(TODAY()+3))</formula>
    </cfRule>
    <cfRule type="expression" dxfId="1190" priority="1290" stopIfTrue="1">
      <formula>$B998="Tender Received"</formula>
    </cfRule>
  </conditionalFormatting>
  <conditionalFormatting sqref="C998">
    <cfRule type="expression" dxfId="1189" priority="1287" stopIfTrue="1">
      <formula>AND($B998="Tender Received",$D998&lt;=(TODAY()+3))</formula>
    </cfRule>
    <cfRule type="expression" dxfId="1188" priority="1288" stopIfTrue="1">
      <formula>$B998="Tender Received"</formula>
    </cfRule>
  </conditionalFormatting>
  <conditionalFormatting sqref="L998">
    <cfRule type="expression" dxfId="1187" priority="1285" stopIfTrue="1">
      <formula>AND($B998="Tender Received",$D998&lt;=(TODAY()+3))</formula>
    </cfRule>
    <cfRule type="expression" dxfId="1186" priority="1286" stopIfTrue="1">
      <formula>$B998="Tender Received"</formula>
    </cfRule>
  </conditionalFormatting>
  <conditionalFormatting sqref="L998">
    <cfRule type="expression" dxfId="1185" priority="1283" stopIfTrue="1">
      <formula>AND($B998="Tender Received",$D998&lt;=(TODAY()+3))</formula>
    </cfRule>
    <cfRule type="expression" dxfId="1184" priority="1284" stopIfTrue="1">
      <formula>$B998="Tender Received"</formula>
    </cfRule>
  </conditionalFormatting>
  <conditionalFormatting sqref="N998:P998 R998">
    <cfRule type="expression" dxfId="1183" priority="1281" stopIfTrue="1">
      <formula>AND($B998="Tender Received",$D998&lt;=(TODAY()+3))</formula>
    </cfRule>
    <cfRule type="expression" dxfId="1182" priority="1282" stopIfTrue="1">
      <formula>$B998="Tender Received"</formula>
    </cfRule>
  </conditionalFormatting>
  <conditionalFormatting sqref="N998">
    <cfRule type="expression" dxfId="1181" priority="1279" stopIfTrue="1">
      <formula>AND($B998="Tender Received",$D998&lt;=(TODAY()+3))</formula>
    </cfRule>
    <cfRule type="expression" dxfId="1180" priority="1280" stopIfTrue="1">
      <formula>$B998="Tender Received"</formula>
    </cfRule>
  </conditionalFormatting>
  <conditionalFormatting sqref="Q998">
    <cfRule type="expression" dxfId="1179" priority="1277" stopIfTrue="1">
      <formula>AND($B998="Tender Received",$D998&lt;=(TODAY()+3))</formula>
    </cfRule>
    <cfRule type="expression" dxfId="1178" priority="1278" stopIfTrue="1">
      <formula>$B998="Tender Received"</formula>
    </cfRule>
  </conditionalFormatting>
  <conditionalFormatting sqref="H54">
    <cfRule type="expression" dxfId="1177" priority="1275" stopIfTrue="1">
      <formula>AND($B54="Tender Received",$C54&lt;=(TODAY()+3))</formula>
    </cfRule>
    <cfRule type="expression" dxfId="1176" priority="1276" stopIfTrue="1">
      <formula>$B54="Tender Received"</formula>
    </cfRule>
  </conditionalFormatting>
  <conditionalFormatting sqref="Q54">
    <cfRule type="expression" dxfId="1175" priority="1273" stopIfTrue="1">
      <formula>AND($B54="Tender Received",$D54&lt;=(TODAY()+3))</formula>
    </cfRule>
    <cfRule type="expression" dxfId="1174" priority="1274" stopIfTrue="1">
      <formula>$B54="Tender Received"</formula>
    </cfRule>
  </conditionalFormatting>
  <conditionalFormatting sqref="H56">
    <cfRule type="expression" dxfId="1173" priority="1271" stopIfTrue="1">
      <formula>AND($B56="Tender Received",$D56&lt;=(TODAY()+3))</formula>
    </cfRule>
    <cfRule type="expression" dxfId="1172" priority="1272" stopIfTrue="1">
      <formula>$B56="Tender Received"</formula>
    </cfRule>
  </conditionalFormatting>
  <conditionalFormatting sqref="Q56">
    <cfRule type="expression" dxfId="1171" priority="1269" stopIfTrue="1">
      <formula>AND($B56="Tender Received",$D56&lt;=(TODAY()+3))</formula>
    </cfRule>
    <cfRule type="expression" dxfId="1170" priority="1270" stopIfTrue="1">
      <formula>$B56="Tender Received"</formula>
    </cfRule>
  </conditionalFormatting>
  <conditionalFormatting sqref="H58">
    <cfRule type="expression" dxfId="1169" priority="1267" stopIfTrue="1">
      <formula>AND($B58="Tender Received",$D58&lt;=(TODAY()+3))</formula>
    </cfRule>
    <cfRule type="expression" dxfId="1168" priority="1268" stopIfTrue="1">
      <formula>$B58="Tender Received"</formula>
    </cfRule>
  </conditionalFormatting>
  <conditionalFormatting sqref="Q58">
    <cfRule type="expression" dxfId="1167" priority="1265" stopIfTrue="1">
      <formula>AND($B58="Tender Received",$D58&lt;=(TODAY()+3))</formula>
    </cfRule>
    <cfRule type="expression" dxfId="1166" priority="1266" stopIfTrue="1">
      <formula>$B58="Tender Received"</formula>
    </cfRule>
  </conditionalFormatting>
  <conditionalFormatting sqref="B1001:B1002">
    <cfRule type="expression" dxfId="1165" priority="1259" stopIfTrue="1">
      <formula>AND($B1001="Tender Received",$D1001&lt;=(TODAY()+3))</formula>
    </cfRule>
    <cfRule type="expression" dxfId="1164" priority="1260" stopIfTrue="1">
      <formula>$B1001="Tender Received"</formula>
    </cfRule>
  </conditionalFormatting>
  <conditionalFormatting sqref="C1001:H1001 J1001:K1001 M1001:P1001 R1001">
    <cfRule type="expression" dxfId="1163" priority="1257" stopIfTrue="1">
      <formula>AND($B1001="Tender Received",$D1001&lt;=(TODAY()+3))</formula>
    </cfRule>
    <cfRule type="expression" dxfId="1162" priority="1258" stopIfTrue="1">
      <formula>$B1001="Tender Received"</formula>
    </cfRule>
  </conditionalFormatting>
  <conditionalFormatting sqref="L1001">
    <cfRule type="expression" dxfId="1161" priority="1255" stopIfTrue="1">
      <formula>AND($B1001="Tender Received",$D1001&lt;=(TODAY()+3))</formula>
    </cfRule>
    <cfRule type="expression" dxfId="1160" priority="1256" stopIfTrue="1">
      <formula>$B1001="Tender Received"</formula>
    </cfRule>
  </conditionalFormatting>
  <conditionalFormatting sqref="I1001">
    <cfRule type="expression" dxfId="1159" priority="1253" stopIfTrue="1">
      <formula>AND($B1001="Tender Received",$D1001&lt;=(TODAY()+3))</formula>
    </cfRule>
    <cfRule type="expression" dxfId="1158" priority="1254" stopIfTrue="1">
      <formula>$B1001="Tender Received"</formula>
    </cfRule>
  </conditionalFormatting>
  <conditionalFormatting sqref="J1002:M1002 C1002:G1002 R1002">
    <cfRule type="expression" dxfId="1157" priority="1251" stopIfTrue="1">
      <formula>AND($B1002="Tender Received",$D1002&lt;=(TODAY()+3))</formula>
    </cfRule>
    <cfRule type="expression" dxfId="1156" priority="1252" stopIfTrue="1">
      <formula>$B1002="Tender Received"</formula>
    </cfRule>
  </conditionalFormatting>
  <conditionalFormatting sqref="I1002">
    <cfRule type="expression" dxfId="1155" priority="1249" stopIfTrue="1">
      <formula>AND($B1002="Tender Received",$D1002&lt;=(TODAY()+3))</formula>
    </cfRule>
    <cfRule type="expression" dxfId="1154" priority="1250" stopIfTrue="1">
      <formula>$B1002="Tender Received"</formula>
    </cfRule>
  </conditionalFormatting>
  <conditionalFormatting sqref="N1002:P1002">
    <cfRule type="expression" dxfId="1153" priority="1247" stopIfTrue="1">
      <formula>AND($B1002="Tender Received",$D1002&lt;=(TODAY()+3))</formula>
    </cfRule>
    <cfRule type="expression" dxfId="1152" priority="1248" stopIfTrue="1">
      <formula>$B1002="Tender Received"</formula>
    </cfRule>
  </conditionalFormatting>
  <conditionalFormatting sqref="J1001:M1001 C1001:G1001 R1001">
    <cfRule type="expression" dxfId="1151" priority="1245" stopIfTrue="1">
      <formula>AND($B1001="Tender Received",$D1001&lt;=(TODAY()+3))</formula>
    </cfRule>
    <cfRule type="expression" dxfId="1150" priority="1246" stopIfTrue="1">
      <formula>$B1001="Tender Received"</formula>
    </cfRule>
  </conditionalFormatting>
  <conditionalFormatting sqref="I1001">
    <cfRule type="expression" dxfId="1149" priority="1243" stopIfTrue="1">
      <formula>AND($B1001="Tender Received",$D1001&lt;=(TODAY()+3))</formula>
    </cfRule>
    <cfRule type="expression" dxfId="1148" priority="1244" stopIfTrue="1">
      <formula>$B1001="Tender Received"</formula>
    </cfRule>
  </conditionalFormatting>
  <conditionalFormatting sqref="N1001:P1001">
    <cfRule type="expression" dxfId="1147" priority="1241" stopIfTrue="1">
      <formula>AND($B1001="Tender Received",$D1001&lt;=(TODAY()+3))</formula>
    </cfRule>
    <cfRule type="expression" dxfId="1146" priority="1242" stopIfTrue="1">
      <formula>$B1001="Tender Received"</formula>
    </cfRule>
  </conditionalFormatting>
  <conditionalFormatting sqref="H1001">
    <cfRule type="expression" dxfId="1145" priority="1239" stopIfTrue="1">
      <formula>AND($B1001="Tender Received",$D1001&lt;=(TODAY()+3))</formula>
    </cfRule>
    <cfRule type="expression" dxfId="1144" priority="1240" stopIfTrue="1">
      <formula>$B1001="Tender Received"</formula>
    </cfRule>
  </conditionalFormatting>
  <conditionalFormatting sqref="Q1001">
    <cfRule type="expression" dxfId="1143" priority="1237" stopIfTrue="1">
      <formula>AND($B1001="Tender Received",$D1001&lt;=(TODAY()+3))</formula>
    </cfRule>
    <cfRule type="expression" dxfId="1142" priority="1238" stopIfTrue="1">
      <formula>$B1001="Tender Received"</formula>
    </cfRule>
  </conditionalFormatting>
  <conditionalFormatting sqref="Q1001">
    <cfRule type="expression" dxfId="1141" priority="1235" stopIfTrue="1">
      <formula>AND($B1001="Tender Received",$D1001&lt;=(TODAY()+3))</formula>
    </cfRule>
    <cfRule type="expression" dxfId="1140" priority="1236" stopIfTrue="1">
      <formula>$B1001="Tender Received"</formula>
    </cfRule>
  </conditionalFormatting>
  <conditionalFormatting sqref="H1002">
    <cfRule type="expression" dxfId="1139" priority="1233" stopIfTrue="1">
      <formula>AND($B1002="Tender Received",$D1002&lt;=(TODAY()+3))</formula>
    </cfRule>
    <cfRule type="expression" dxfId="1138" priority="1234" stopIfTrue="1">
      <formula>$B1002="Tender Received"</formula>
    </cfRule>
  </conditionalFormatting>
  <conditionalFormatting sqref="A1002:A1018">
    <cfRule type="expression" dxfId="1137" priority="1229" stopIfTrue="1">
      <formula>AND($B1002="Tender Received",$D1002&lt;=(TODAY()+3))</formula>
    </cfRule>
    <cfRule type="expression" dxfId="1136" priority="1230" stopIfTrue="1">
      <formula>$B1002="Tender Received"</formula>
    </cfRule>
  </conditionalFormatting>
  <conditionalFormatting sqref="B1003 O1003:R1003 K1003 D1003:H1003">
    <cfRule type="expression" dxfId="1135" priority="1227" stopIfTrue="1">
      <formula>AND($B1003="Tender Received",$D1003&lt;=(TODAY()+3))</formula>
    </cfRule>
    <cfRule type="expression" dxfId="1134" priority="1228" stopIfTrue="1">
      <formula>$B1003="Tender Received"</formula>
    </cfRule>
  </conditionalFormatting>
  <conditionalFormatting sqref="M1003:N1003">
    <cfRule type="expression" dxfId="1133" priority="1225" stopIfTrue="1">
      <formula>AND($B1003="Tender Received",$D1003&lt;=(TODAY()+3))</formula>
    </cfRule>
    <cfRule type="expression" dxfId="1132" priority="1226" stopIfTrue="1">
      <formula>$B1003="Tender Received"</formula>
    </cfRule>
  </conditionalFormatting>
  <conditionalFormatting sqref="L1003">
    <cfRule type="expression" dxfId="1131" priority="1223" stopIfTrue="1">
      <formula>AND($B1003="Tender Received",$D1003&lt;=(TODAY()+3))</formula>
    </cfRule>
    <cfRule type="expression" dxfId="1130" priority="1224" stopIfTrue="1">
      <formula>$B1003="Tender Received"</formula>
    </cfRule>
  </conditionalFormatting>
  <conditionalFormatting sqref="C1003">
    <cfRule type="expression" dxfId="1129" priority="1221" stopIfTrue="1">
      <formula>AND($B1003="Tender Received",$D1003&lt;=(TODAY()+3))</formula>
    </cfRule>
    <cfRule type="expression" dxfId="1128" priority="1222" stopIfTrue="1">
      <formula>$B1003="Tender Received"</formula>
    </cfRule>
  </conditionalFormatting>
  <conditionalFormatting sqref="L1003">
    <cfRule type="expression" dxfId="1127" priority="1219" stopIfTrue="1">
      <formula>AND($B1003="Tender Received",$D1003&lt;=(TODAY()+3))</formula>
    </cfRule>
    <cfRule type="expression" dxfId="1126" priority="1220" stopIfTrue="1">
      <formula>$B1003="Tender Received"</formula>
    </cfRule>
  </conditionalFormatting>
  <conditionalFormatting sqref="J1003">
    <cfRule type="expression" dxfId="1125" priority="1217" stopIfTrue="1">
      <formula>AND($B1003="Tender Received",$D1003&lt;=(TODAY()+3))</formula>
    </cfRule>
    <cfRule type="expression" dxfId="1124" priority="1218" stopIfTrue="1">
      <formula>$B1003="Tender Received"</formula>
    </cfRule>
  </conditionalFormatting>
  <conditionalFormatting sqref="I1003">
    <cfRule type="expression" dxfId="1123" priority="1215" stopIfTrue="1">
      <formula>AND($B1003="Tender Received",$D1003&lt;=(TODAY()+3))</formula>
    </cfRule>
    <cfRule type="expression" dxfId="1122" priority="1216" stopIfTrue="1">
      <formula>$B1003="Tender Received"</formula>
    </cfRule>
  </conditionalFormatting>
  <conditionalFormatting sqref="B1004:B1006 O1004:R1006 K1004:K1006 D1004:H1006">
    <cfRule type="expression" dxfId="1121" priority="1213" stopIfTrue="1">
      <formula>AND($B1004="Tender Received",$D1004&lt;=(TODAY()+3))</formula>
    </cfRule>
    <cfRule type="expression" dxfId="1120" priority="1214" stopIfTrue="1">
      <formula>$B1004="Tender Received"</formula>
    </cfRule>
  </conditionalFormatting>
  <conditionalFormatting sqref="M1004:N1006">
    <cfRule type="expression" dxfId="1119" priority="1211" stopIfTrue="1">
      <formula>AND($B1004="Tender Received",$D1004&lt;=(TODAY()+3))</formula>
    </cfRule>
    <cfRule type="expression" dxfId="1118" priority="1212" stopIfTrue="1">
      <formula>$B1004="Tender Received"</formula>
    </cfRule>
  </conditionalFormatting>
  <conditionalFormatting sqref="L1004:L1006">
    <cfRule type="expression" dxfId="1117" priority="1209" stopIfTrue="1">
      <formula>AND($B1004="Tender Received",$D1004&lt;=(TODAY()+3))</formula>
    </cfRule>
    <cfRule type="expression" dxfId="1116" priority="1210" stopIfTrue="1">
      <formula>$B1004="Tender Received"</formula>
    </cfRule>
  </conditionalFormatting>
  <conditionalFormatting sqref="C1004:C1006">
    <cfRule type="expression" dxfId="1115" priority="1207" stopIfTrue="1">
      <formula>AND($B1004="Tender Received",$D1004&lt;=(TODAY()+3))</formula>
    </cfRule>
    <cfRule type="expression" dxfId="1114" priority="1208" stopIfTrue="1">
      <formula>$B1004="Tender Received"</formula>
    </cfRule>
  </conditionalFormatting>
  <conditionalFormatting sqref="L1004:L1006">
    <cfRule type="expression" dxfId="1113" priority="1205" stopIfTrue="1">
      <formula>AND($B1004="Tender Received",$D1004&lt;=(TODAY()+3))</formula>
    </cfRule>
    <cfRule type="expression" dxfId="1112" priority="1206" stopIfTrue="1">
      <formula>$B1004="Tender Received"</formula>
    </cfRule>
  </conditionalFormatting>
  <conditionalFormatting sqref="J1004:J1006">
    <cfRule type="expression" dxfId="1111" priority="1203" stopIfTrue="1">
      <formula>AND($B1004="Tender Received",$D1004&lt;=(TODAY()+3))</formula>
    </cfRule>
    <cfRule type="expression" dxfId="1110" priority="1204" stopIfTrue="1">
      <formula>$B1004="Tender Received"</formula>
    </cfRule>
  </conditionalFormatting>
  <conditionalFormatting sqref="I1006">
    <cfRule type="expression" dxfId="1109" priority="1201" stopIfTrue="1">
      <formula>AND($B1006="Tender Received",$D1006&lt;=(TODAY()+3))</formula>
    </cfRule>
    <cfRule type="expression" dxfId="1108" priority="1202" stopIfTrue="1">
      <formula>$B1006="Tender Received"</formula>
    </cfRule>
  </conditionalFormatting>
  <conditionalFormatting sqref="O7:P7 R7 O5:P5 R5 O6:R6 B5:C6 D5 D6:H6 J6:K7 C7:G7">
    <cfRule type="expression" dxfId="1107" priority="1199" stopIfTrue="1">
      <formula>AND($B5="Tender Received",$D5&lt;=(TODAY()+3))</formula>
    </cfRule>
    <cfRule type="expression" dxfId="1106" priority="1200" stopIfTrue="1">
      <formula>$B5="Tender Received"</formula>
    </cfRule>
  </conditionalFormatting>
  <conditionalFormatting sqref="M5:N7">
    <cfRule type="expression" dxfId="1105" priority="1197" stopIfTrue="1">
      <formula>AND($B5="Tender Received",$D5&lt;=(TODAY()+3))</formula>
    </cfRule>
    <cfRule type="expression" dxfId="1104" priority="1198" stopIfTrue="1">
      <formula>$B5="Tender Received"</formula>
    </cfRule>
  </conditionalFormatting>
  <conditionalFormatting sqref="L5">
    <cfRule type="expression" dxfId="1103" priority="1195" stopIfTrue="1">
      <formula>AND($B5="Tender Received",$D5&lt;=(TODAY()+3))</formula>
    </cfRule>
    <cfRule type="expression" dxfId="1102" priority="1196" stopIfTrue="1">
      <formula>$B5="Tender Received"</formula>
    </cfRule>
  </conditionalFormatting>
  <conditionalFormatting sqref="C6:C7">
    <cfRule type="expression" dxfId="1101" priority="1193" stopIfTrue="1">
      <formula>AND($B6="Tender Received",$D6&lt;=(TODAY()+3))</formula>
    </cfRule>
    <cfRule type="expression" dxfId="1100" priority="1194" stopIfTrue="1">
      <formula>$B6="Tender Received"</formula>
    </cfRule>
  </conditionalFormatting>
  <conditionalFormatting sqref="L6">
    <cfRule type="expression" dxfId="1099" priority="1191" stopIfTrue="1">
      <formula>AND($B6="Tender Received",$D6&lt;=(TODAY()+3))</formula>
    </cfRule>
    <cfRule type="expression" dxfId="1098" priority="1192" stopIfTrue="1">
      <formula>$B6="Tender Received"</formula>
    </cfRule>
  </conditionalFormatting>
  <conditionalFormatting sqref="L7">
    <cfRule type="expression" dxfId="1097" priority="1189" stopIfTrue="1">
      <formula>AND($B7="Tender Received",$D7&lt;=(TODAY()+3))</formula>
    </cfRule>
    <cfRule type="expression" dxfId="1096" priority="1190" stopIfTrue="1">
      <formula>$B7="Tender Received"</formula>
    </cfRule>
  </conditionalFormatting>
  <conditionalFormatting sqref="L7">
    <cfRule type="expression" dxfId="1095" priority="1183" stopIfTrue="1">
      <formula>AND($B7="Tender Received",$D7&lt;=(TODAY()+3))</formula>
    </cfRule>
    <cfRule type="expression" dxfId="1094" priority="1184" stopIfTrue="1">
      <formula>$B7="Tender Received"</formula>
    </cfRule>
  </conditionalFormatting>
  <conditionalFormatting sqref="L6">
    <cfRule type="expression" dxfId="1093" priority="1181" stopIfTrue="1">
      <formula>AND($B6="Tender Received",$D6&lt;=(TODAY()+3))</formula>
    </cfRule>
    <cfRule type="expression" dxfId="1092" priority="1182" stopIfTrue="1">
      <formula>$B6="Tender Received"</formula>
    </cfRule>
  </conditionalFormatting>
  <conditionalFormatting sqref="L5">
    <cfRule type="expression" dxfId="1091" priority="1179" stopIfTrue="1">
      <formula>AND($B5="Tender Received",$D5&lt;=(TODAY()+3))</formula>
    </cfRule>
    <cfRule type="expression" dxfId="1090" priority="1180" stopIfTrue="1">
      <formula>$B5="Tender Received"</formula>
    </cfRule>
  </conditionalFormatting>
  <conditionalFormatting sqref="Q5">
    <cfRule type="expression" dxfId="1089" priority="1175" stopIfTrue="1">
      <formula>AND($B5="Tender Received",$D5&lt;=(TODAY()+3))</formula>
    </cfRule>
    <cfRule type="expression" dxfId="1088" priority="1176" stopIfTrue="1">
      <formula>$B5="Tender Received"</formula>
    </cfRule>
  </conditionalFormatting>
  <conditionalFormatting sqref="B3">
    <cfRule type="expression" dxfId="1087" priority="1173" stopIfTrue="1">
      <formula>AND($B3="Tender Received",$D3&lt;=(TODAY()+3))</formula>
    </cfRule>
    <cfRule type="expression" dxfId="1086" priority="1174" stopIfTrue="1">
      <formula>$B3="Tender Received"</formula>
    </cfRule>
  </conditionalFormatting>
  <conditionalFormatting sqref="O3:R3 C3:H3 J3:K3">
    <cfRule type="expression" dxfId="1085" priority="1171" stopIfTrue="1">
      <formula>AND($B3="Tender Received",$D3&lt;=(TODAY()+3))</formula>
    </cfRule>
    <cfRule type="expression" dxfId="1084" priority="1172" stopIfTrue="1">
      <formula>$B3="Tender Received"</formula>
    </cfRule>
  </conditionalFormatting>
  <conditionalFormatting sqref="M3:N3">
    <cfRule type="expression" dxfId="1083" priority="1169" stopIfTrue="1">
      <formula>AND($B3="Tender Received",$D3&lt;=(TODAY()+3))</formula>
    </cfRule>
    <cfRule type="expression" dxfId="1082" priority="1170" stopIfTrue="1">
      <formula>$B3="Tender Received"</formula>
    </cfRule>
  </conditionalFormatting>
  <conditionalFormatting sqref="J3">
    <cfRule type="expression" dxfId="1081" priority="1167" stopIfTrue="1">
      <formula>AND($B3="Tender Received",$D3&lt;=(TODAY()+3))</formula>
    </cfRule>
    <cfRule type="expression" dxfId="1080" priority="1168" stopIfTrue="1">
      <formula>$B3="Tender Received"</formula>
    </cfRule>
  </conditionalFormatting>
  <conditionalFormatting sqref="L3">
    <cfRule type="expression" dxfId="1079" priority="1165" stopIfTrue="1">
      <formula>AND($B3="Tender Received",$D3&lt;=(TODAY()+3))</formula>
    </cfRule>
    <cfRule type="expression" dxfId="1078" priority="1166" stopIfTrue="1">
      <formula>$B3="Tender Received"</formula>
    </cfRule>
  </conditionalFormatting>
  <conditionalFormatting sqref="O3:P3">
    <cfRule type="expression" dxfId="1077" priority="1163" stopIfTrue="1">
      <formula>AND($B3="Tender Received",$D3&lt;=(TODAY()+3))</formula>
    </cfRule>
    <cfRule type="expression" dxfId="1076" priority="1164" stopIfTrue="1">
      <formula>$B3="Tender Received"</formula>
    </cfRule>
  </conditionalFormatting>
  <conditionalFormatting sqref="N3">
    <cfRule type="expression" dxfId="1075" priority="1161" stopIfTrue="1">
      <formula>AND($B3="Tender Received",$D3&lt;=(TODAY()+3))</formula>
    </cfRule>
    <cfRule type="expression" dxfId="1074" priority="1162" stopIfTrue="1">
      <formula>$B3="Tender Received"</formula>
    </cfRule>
  </conditionalFormatting>
  <conditionalFormatting sqref="L3">
    <cfRule type="expression" dxfId="1073" priority="1159" stopIfTrue="1">
      <formula>AND($B3="Tender Received",$D3&lt;=(TODAY()+3))</formula>
    </cfRule>
    <cfRule type="expression" dxfId="1072" priority="1160" stopIfTrue="1">
      <formula>$B3="Tender Received"</formula>
    </cfRule>
  </conditionalFormatting>
  <conditionalFormatting sqref="O2:P2 B2:H2 J2:K2 R2">
    <cfRule type="expression" dxfId="1071" priority="1157" stopIfTrue="1">
      <formula>AND($B2="Tender Received",$D2&lt;=(TODAY()+3))</formula>
    </cfRule>
    <cfRule type="expression" dxfId="1070" priority="1158" stopIfTrue="1">
      <formula>$B2="Tender Received"</formula>
    </cfRule>
  </conditionalFormatting>
  <conditionalFormatting sqref="M2:N2">
    <cfRule type="expression" dxfId="1069" priority="1155" stopIfTrue="1">
      <formula>AND($B2="Tender Received",$D2&lt;=(TODAY()+3))</formula>
    </cfRule>
    <cfRule type="expression" dxfId="1068" priority="1156" stopIfTrue="1">
      <formula>$B2="Tender Received"</formula>
    </cfRule>
  </conditionalFormatting>
  <conditionalFormatting sqref="L2">
    <cfRule type="expression" dxfId="1067" priority="1153" stopIfTrue="1">
      <formula>AND($B2="Tender Received",$D2&lt;=(TODAY()+3))</formula>
    </cfRule>
    <cfRule type="expression" dxfId="1066" priority="1154" stopIfTrue="1">
      <formula>$B2="Tender Received"</formula>
    </cfRule>
  </conditionalFormatting>
  <conditionalFormatting sqref="L2">
    <cfRule type="expression" dxfId="1065" priority="1151" stopIfTrue="1">
      <formula>AND($B2="Tender Received",$D2&lt;=(TODAY()+3))</formula>
    </cfRule>
    <cfRule type="expression" dxfId="1064" priority="1152" stopIfTrue="1">
      <formula>$B2="Tender Received"</formula>
    </cfRule>
  </conditionalFormatting>
  <conditionalFormatting sqref="J4:K4 E4:H4 R4">
    <cfRule type="expression" dxfId="1063" priority="1149" stopIfTrue="1">
      <formula>AND($B4="Tender Received",$D4&lt;=(TODAY()+3))</formula>
    </cfRule>
    <cfRule type="expression" dxfId="1062" priority="1150" stopIfTrue="1">
      <formula>$B4="Tender Received"</formula>
    </cfRule>
  </conditionalFormatting>
  <conditionalFormatting sqref="M4">
    <cfRule type="expression" dxfId="1061" priority="1147" stopIfTrue="1">
      <formula>AND($B4="Tender Received",$D4&lt;=(TODAY()+3))</formula>
    </cfRule>
    <cfRule type="expression" dxfId="1060" priority="1148" stopIfTrue="1">
      <formula>$B4="Tender Received"</formula>
    </cfRule>
  </conditionalFormatting>
  <conditionalFormatting sqref="B4">
    <cfRule type="expression" dxfId="1059" priority="1145" stopIfTrue="1">
      <formula>AND($B4="Tender Received",$D4&lt;=(TODAY()+3))</formula>
    </cfRule>
    <cfRule type="expression" dxfId="1058" priority="1146" stopIfTrue="1">
      <formula>$B4="Tender Received"</formula>
    </cfRule>
  </conditionalFormatting>
  <conditionalFormatting sqref="J4:K4 E4:H4 R4 M4">
    <cfRule type="expression" dxfId="1057" priority="1143" stopIfTrue="1">
      <formula>AND($B4="Tender Received",$D4&lt;=(TODAY()+3))</formula>
    </cfRule>
    <cfRule type="expression" dxfId="1056" priority="1144" stopIfTrue="1">
      <formula>$B4="Tender Received"</formula>
    </cfRule>
  </conditionalFormatting>
  <conditionalFormatting sqref="L4">
    <cfRule type="expression" dxfId="1055" priority="1141" stopIfTrue="1">
      <formula>AND($B4="Tender Received",$D4&lt;=(TODAY()+3))</formula>
    </cfRule>
    <cfRule type="expression" dxfId="1054" priority="1142" stopIfTrue="1">
      <formula>$B4="Tender Received"</formula>
    </cfRule>
  </conditionalFormatting>
  <conditionalFormatting sqref="L4">
    <cfRule type="expression" dxfId="1053" priority="1139" stopIfTrue="1">
      <formula>AND($B4="Tender Received",$D4&lt;=(TODAY()+3))</formula>
    </cfRule>
    <cfRule type="expression" dxfId="1052" priority="1140" stopIfTrue="1">
      <formula>$B4="Tender Received"</formula>
    </cfRule>
  </conditionalFormatting>
  <conditionalFormatting sqref="D4">
    <cfRule type="expression" dxfId="1051" priority="1137" stopIfTrue="1">
      <formula>AND($B4="Tender Received",$D4&lt;=(TODAY()+3))</formula>
    </cfRule>
    <cfRule type="expression" dxfId="1050" priority="1138" stopIfTrue="1">
      <formula>$B4="Tender Received"</formula>
    </cfRule>
  </conditionalFormatting>
  <conditionalFormatting sqref="O4:P4">
    <cfRule type="expression" dxfId="1049" priority="1135" stopIfTrue="1">
      <formula>AND($B4="Tender Received",$D4&lt;=(TODAY()+3))</formula>
    </cfRule>
    <cfRule type="expression" dxfId="1048" priority="1136" stopIfTrue="1">
      <formula>$B4="Tender Received"</formula>
    </cfRule>
  </conditionalFormatting>
  <conditionalFormatting sqref="N4">
    <cfRule type="expression" dxfId="1047" priority="1133" stopIfTrue="1">
      <formula>AND($B4="Tender Received",$D4&lt;=(TODAY()+3))</formula>
    </cfRule>
    <cfRule type="expression" dxfId="1046" priority="1134" stopIfTrue="1">
      <formula>$B4="Tender Received"</formula>
    </cfRule>
  </conditionalFormatting>
  <conditionalFormatting sqref="C4">
    <cfRule type="expression" dxfId="1045" priority="1131" stopIfTrue="1">
      <formula>AND($B4="Tender Received",$D4&lt;=(TODAY()+3))</formula>
    </cfRule>
    <cfRule type="expression" dxfId="1044" priority="1132" stopIfTrue="1">
      <formula>$B4="Tender Received"</formula>
    </cfRule>
  </conditionalFormatting>
  <conditionalFormatting sqref="I4">
    <cfRule type="expression" dxfId="1043" priority="1129" stopIfTrue="1">
      <formula>AND($B4="Tender Received",$D4&lt;=(TODAY()+3))</formula>
    </cfRule>
    <cfRule type="expression" dxfId="1042" priority="1130" stopIfTrue="1">
      <formula>$B4="Tender Received"</formula>
    </cfRule>
  </conditionalFormatting>
  <conditionalFormatting sqref="I4">
    <cfRule type="expression" dxfId="1041" priority="1127" stopIfTrue="1">
      <formula>AND($B4="Tender Received",$D4&lt;=(TODAY()+3))</formula>
    </cfRule>
    <cfRule type="expression" dxfId="1040" priority="1128" stopIfTrue="1">
      <formula>$B4="Tender Received"</formula>
    </cfRule>
  </conditionalFormatting>
  <conditionalFormatting sqref="E5:K5">
    <cfRule type="expression" dxfId="1039" priority="1121" stopIfTrue="1">
      <formula>AND($B5="Tender Received",$D5&lt;=(TODAY()+3))</formula>
    </cfRule>
    <cfRule type="expression" dxfId="1038" priority="1122" stopIfTrue="1">
      <formula>$B5="Tender Received"</formula>
    </cfRule>
  </conditionalFormatting>
  <conditionalFormatting sqref="Q2">
    <cfRule type="expression" dxfId="1037" priority="1117" stopIfTrue="1">
      <formula>AND($B2="Tender Received",$D2&lt;=(TODAY()+3))</formula>
    </cfRule>
    <cfRule type="expression" dxfId="1036" priority="1118" stopIfTrue="1">
      <formula>$B2="Tender Received"</formula>
    </cfRule>
  </conditionalFormatting>
  <conditionalFormatting sqref="I3">
    <cfRule type="expression" dxfId="1035" priority="1113" stopIfTrue="1">
      <formula>AND($B3="Tender Received",$D3&lt;=(TODAY()+3))</formula>
    </cfRule>
    <cfRule type="expression" dxfId="1034" priority="1114" stopIfTrue="1">
      <formula>$B3="Tender Received"</formula>
    </cfRule>
  </conditionalFormatting>
  <conditionalFormatting sqref="I7">
    <cfRule type="expression" dxfId="1033" priority="1111" stopIfTrue="1">
      <formula>AND($B7="Tender Received",$D7&lt;=(TODAY()+3))</formula>
    </cfRule>
    <cfRule type="expression" dxfId="1032" priority="1112" stopIfTrue="1">
      <formula>$B7="Tender Received"</formula>
    </cfRule>
  </conditionalFormatting>
  <conditionalFormatting sqref="I9">
    <cfRule type="expression" dxfId="1031" priority="1109" stopIfTrue="1">
      <formula>AND($B9="Tender Received",$D9&lt;=(TODAY()+3))</formula>
    </cfRule>
    <cfRule type="expression" dxfId="1030" priority="1110" stopIfTrue="1">
      <formula>$B9="Tender Received"</formula>
    </cfRule>
  </conditionalFormatting>
  <conditionalFormatting sqref="I9">
    <cfRule type="expression" dxfId="1029" priority="1107" stopIfTrue="1">
      <formula>AND($B9="Tender Received",$D9&lt;=(TODAY()+3))</formula>
    </cfRule>
    <cfRule type="expression" dxfId="1028" priority="1108" stopIfTrue="1">
      <formula>$B9="Tender Received"</formula>
    </cfRule>
  </conditionalFormatting>
  <conditionalFormatting sqref="O1007:R1008 D1007:K1007 D1008:G1008 J1008:K1008">
    <cfRule type="expression" dxfId="1027" priority="1105" stopIfTrue="1">
      <formula>AND($B1007="Tender Received",$D1007&lt;=(TODAY()+3))</formula>
    </cfRule>
    <cfRule type="expression" dxfId="1026" priority="1106" stopIfTrue="1">
      <formula>$B1007="Tender Received"</formula>
    </cfRule>
  </conditionalFormatting>
  <conditionalFormatting sqref="I1007">
    <cfRule type="expression" dxfId="1025" priority="1103" stopIfTrue="1">
      <formula>AND($B1007="Tender Received",$D1007&lt;=(TODAY()+3))</formula>
    </cfRule>
    <cfRule type="expression" dxfId="1024" priority="1104" stopIfTrue="1">
      <formula>$B1007="Tender Received"</formula>
    </cfRule>
  </conditionalFormatting>
  <conditionalFormatting sqref="M1007:N1008">
    <cfRule type="expression" dxfId="1023" priority="1101" stopIfTrue="1">
      <formula>AND($B1007="Tender Received",$D1007&lt;=(TODAY()+3))</formula>
    </cfRule>
    <cfRule type="expression" dxfId="1022" priority="1102" stopIfTrue="1">
      <formula>$B1007="Tender Received"</formula>
    </cfRule>
  </conditionalFormatting>
  <conditionalFormatting sqref="L1008">
    <cfRule type="expression" dxfId="1021" priority="1099" stopIfTrue="1">
      <formula>AND($B1008="Tender Received",$D1008&lt;=(TODAY()+3))</formula>
    </cfRule>
    <cfRule type="expression" dxfId="1020" priority="1100" stopIfTrue="1">
      <formula>$B1008="Tender Received"</formula>
    </cfRule>
  </conditionalFormatting>
  <conditionalFormatting sqref="C1007:C1008">
    <cfRule type="expression" dxfId="1019" priority="1097" stopIfTrue="1">
      <formula>AND($B1007="Tender Received",$D1007&lt;=(TODAY()+3))</formula>
    </cfRule>
    <cfRule type="expression" dxfId="1018" priority="1098" stopIfTrue="1">
      <formula>$B1007="Tender Received"</formula>
    </cfRule>
  </conditionalFormatting>
  <conditionalFormatting sqref="M1008:R1008 O1007:R1007 D1007:K1007 D1008:G1008 J1008:K1008">
    <cfRule type="expression" dxfId="1017" priority="1095" stopIfTrue="1">
      <formula>AND($B1007="Tender Received",$D1007&lt;=(TODAY()+3))</formula>
    </cfRule>
    <cfRule type="expression" dxfId="1016" priority="1096" stopIfTrue="1">
      <formula>$B1007="Tender Received"</formula>
    </cfRule>
  </conditionalFormatting>
  <conditionalFormatting sqref="M1007:N1007">
    <cfRule type="expression" dxfId="1015" priority="1093" stopIfTrue="1">
      <formula>AND($B1007="Tender Received",$D1007&lt;=(TODAY()+3))</formula>
    </cfRule>
    <cfRule type="expression" dxfId="1014" priority="1094" stopIfTrue="1">
      <formula>$B1007="Tender Received"</formula>
    </cfRule>
  </conditionalFormatting>
  <conditionalFormatting sqref="C1007:C1008">
    <cfRule type="expression" dxfId="1013" priority="1091" stopIfTrue="1">
      <formula>AND($B1007="Tender Received",$D1007&lt;=(TODAY()+3))</formula>
    </cfRule>
    <cfRule type="expression" dxfId="1012" priority="1092" stopIfTrue="1">
      <formula>$B1007="Tender Received"</formula>
    </cfRule>
  </conditionalFormatting>
  <conditionalFormatting sqref="L1008">
    <cfRule type="expression" dxfId="1011" priority="1089" stopIfTrue="1">
      <formula>AND($B1008="Tender Received",$D1008&lt;=(TODAY()+3))</formula>
    </cfRule>
    <cfRule type="expression" dxfId="1010" priority="1090" stopIfTrue="1">
      <formula>$B1008="Tender Received"</formula>
    </cfRule>
  </conditionalFormatting>
  <conditionalFormatting sqref="L1007">
    <cfRule type="expression" dxfId="1009" priority="1087" stopIfTrue="1">
      <formula>AND($B1007="Tender Received",$D1007&lt;=(TODAY()+3))</formula>
    </cfRule>
    <cfRule type="expression" dxfId="1008" priority="1088" stopIfTrue="1">
      <formula>$B1007="Tender Received"</formula>
    </cfRule>
  </conditionalFormatting>
  <conditionalFormatting sqref="L1007">
    <cfRule type="expression" dxfId="1007" priority="1085" stopIfTrue="1">
      <formula>AND($B1007="Tender Received",$D1007&lt;=(TODAY()+3))</formula>
    </cfRule>
    <cfRule type="expression" dxfId="1006" priority="1086" stopIfTrue="1">
      <formula>$B1007="Tender Received"</formula>
    </cfRule>
  </conditionalFormatting>
  <conditionalFormatting sqref="C1007">
    <cfRule type="expression" dxfId="1005" priority="1081" stopIfTrue="1">
      <formula>AND($B1007="Tender Received",$D1007&lt;=(TODAY()+3))</formula>
    </cfRule>
    <cfRule type="expression" dxfId="1004" priority="1082" stopIfTrue="1">
      <formula>$B1007="Tender Received"</formula>
    </cfRule>
  </conditionalFormatting>
  <conditionalFormatting sqref="B1007">
    <cfRule type="expression" dxfId="1003" priority="1079" stopIfTrue="1">
      <formula>AND($B1007="Tender Received",$D1007&lt;=(TODAY()+3))</formula>
    </cfRule>
    <cfRule type="expression" dxfId="1002" priority="1080" stopIfTrue="1">
      <formula>$B1007="Tender Received"</formula>
    </cfRule>
  </conditionalFormatting>
  <conditionalFormatting sqref="I2">
    <cfRule type="expression" dxfId="1001" priority="1077" stopIfTrue="1">
      <formula>AND($B2="Tender Received",$D2&lt;=(TODAY()+3))</formula>
    </cfRule>
    <cfRule type="expression" dxfId="1000" priority="1078" stopIfTrue="1">
      <formula>$B2="Tender Received"</formula>
    </cfRule>
  </conditionalFormatting>
  <conditionalFormatting sqref="I6">
    <cfRule type="expression" dxfId="999" priority="1075" stopIfTrue="1">
      <formula>AND($B6="Tender Received",$D6&lt;=(TODAY()+3))</formula>
    </cfRule>
    <cfRule type="expression" dxfId="998" priority="1076" stopIfTrue="1">
      <formula>$B6="Tender Received"</formula>
    </cfRule>
  </conditionalFormatting>
  <conditionalFormatting sqref="Q7">
    <cfRule type="expression" dxfId="997" priority="1073" stopIfTrue="1">
      <formula>AND($B7="Tender Received",$D7&lt;=(TODAY()+3))</formula>
    </cfRule>
    <cfRule type="expression" dxfId="996" priority="1074" stopIfTrue="1">
      <formula>$B7="Tender Received"</formula>
    </cfRule>
  </conditionalFormatting>
  <conditionalFormatting sqref="O1014:R1014 O1013:P1013 R1013 O1012:R1012 F1015:G1015 D1014:K1014 D1017:K1017 K1015:K1016 D1015 D1016:H1016 O1017:R1018 Q1015:R1015 D1018:H1018 J1018:K1018 O1016:P1016 R1016 C1012:H1013 J1012:K1013 B1012:B1018">
    <cfRule type="expression" dxfId="995" priority="1071" stopIfTrue="1">
      <formula>AND($B1012="Tender Received",$D1012&lt;=(TODAY()+3))</formula>
    </cfRule>
    <cfRule type="expression" dxfId="994" priority="1072" stopIfTrue="1">
      <formula>$B1012="Tender Received"</formula>
    </cfRule>
  </conditionalFormatting>
  <conditionalFormatting sqref="I1014">
    <cfRule type="expression" dxfId="993" priority="1069" stopIfTrue="1">
      <formula>AND($B1014="Tender Received",$D1014&lt;=(TODAY()+3))</formula>
    </cfRule>
    <cfRule type="expression" dxfId="992" priority="1070" stopIfTrue="1">
      <formula>$B1014="Tender Received"</formula>
    </cfRule>
  </conditionalFormatting>
  <conditionalFormatting sqref="M1012:N1014 M1016:N1018 M1015">
    <cfRule type="expression" dxfId="991" priority="1065" stopIfTrue="1">
      <formula>AND($B1012="Tender Received",$D1012&lt;=(TODAY()+3))</formula>
    </cfRule>
    <cfRule type="expression" dxfId="990" priority="1066" stopIfTrue="1">
      <formula>$B1012="Tender Received"</formula>
    </cfRule>
  </conditionalFormatting>
  <conditionalFormatting sqref="L1016">
    <cfRule type="expression" dxfId="989" priority="1063" stopIfTrue="1">
      <formula>AND($B1016="Tender Received",$D1016&lt;=(TODAY()+3))</formula>
    </cfRule>
    <cfRule type="expression" dxfId="988" priority="1064" stopIfTrue="1">
      <formula>$B1016="Tender Received"</formula>
    </cfRule>
  </conditionalFormatting>
  <conditionalFormatting sqref="C1012:C1018">
    <cfRule type="expression" dxfId="987" priority="1059" stopIfTrue="1">
      <formula>AND($B1012="Tender Received",$D1012&lt;=(TODAY()+3))</formula>
    </cfRule>
    <cfRule type="expression" dxfId="986" priority="1060" stopIfTrue="1">
      <formula>$B1012="Tender Received"</formula>
    </cfRule>
  </conditionalFormatting>
  <conditionalFormatting sqref="O1018:R1018 D1018:H1018 J1018:K1018">
    <cfRule type="expression" dxfId="985" priority="1055" stopIfTrue="1">
      <formula>AND($B1018="Tender Received",$D1018&lt;=(TODAY()+3))</formula>
    </cfRule>
    <cfRule type="expression" dxfId="984" priority="1056" stopIfTrue="1">
      <formula>$B1018="Tender Received"</formula>
    </cfRule>
  </conditionalFormatting>
  <conditionalFormatting sqref="L1012">
    <cfRule type="expression" dxfId="983" priority="1053" stopIfTrue="1">
      <formula>AND($B1012="Tender Received",$D1012&lt;=(TODAY()+3))</formula>
    </cfRule>
    <cfRule type="expression" dxfId="982" priority="1054" stopIfTrue="1">
      <formula>$B1012="Tender Received"</formula>
    </cfRule>
  </conditionalFormatting>
  <conditionalFormatting sqref="L1015">
    <cfRule type="expression" dxfId="981" priority="1051" stopIfTrue="1">
      <formula>AND($B1015="Tender Received",$D1015&lt;=(TODAY()+3))</formula>
    </cfRule>
    <cfRule type="expression" dxfId="980" priority="1052" stopIfTrue="1">
      <formula>$B1015="Tender Received"</formula>
    </cfRule>
  </conditionalFormatting>
  <conditionalFormatting sqref="L1014">
    <cfRule type="expression" dxfId="979" priority="1049" stopIfTrue="1">
      <formula>AND($B1014="Tender Received",$D1014&lt;=(TODAY()+3))</formula>
    </cfRule>
    <cfRule type="expression" dxfId="978" priority="1050" stopIfTrue="1">
      <formula>$B1014="Tender Received"</formula>
    </cfRule>
  </conditionalFormatting>
  <conditionalFormatting sqref="L1013">
    <cfRule type="expression" dxfId="977" priority="1047" stopIfTrue="1">
      <formula>AND($B1013="Tender Received",$D1013&lt;=(TODAY()+3))</formula>
    </cfRule>
    <cfRule type="expression" dxfId="976" priority="1048" stopIfTrue="1">
      <formula>$B1013="Tender Received"</formula>
    </cfRule>
  </conditionalFormatting>
  <conditionalFormatting sqref="L1017">
    <cfRule type="expression" dxfId="975" priority="1045" stopIfTrue="1">
      <formula>AND($B1017="Tender Received",$D1017&lt;=(TODAY()+3))</formula>
    </cfRule>
    <cfRule type="expression" dxfId="974" priority="1046" stopIfTrue="1">
      <formula>$B1017="Tender Received"</formula>
    </cfRule>
  </conditionalFormatting>
  <conditionalFormatting sqref="L1014">
    <cfRule type="expression" dxfId="973" priority="1041" stopIfTrue="1">
      <formula>AND($B1014="Tender Received",$D1014&lt;=(TODAY()+3))</formula>
    </cfRule>
    <cfRule type="expression" dxfId="972" priority="1042" stopIfTrue="1">
      <formula>$B1014="Tender Received"</formula>
    </cfRule>
  </conditionalFormatting>
  <conditionalFormatting sqref="L1017">
    <cfRule type="expression" dxfId="971" priority="1039" stopIfTrue="1">
      <formula>AND($B1017="Tender Received",$D1017&lt;=(TODAY()+3))</formula>
    </cfRule>
    <cfRule type="expression" dxfId="970" priority="1040" stopIfTrue="1">
      <formula>$B1017="Tender Received"</formula>
    </cfRule>
  </conditionalFormatting>
  <conditionalFormatting sqref="M1018:N1018">
    <cfRule type="expression" dxfId="969" priority="1035" stopIfTrue="1">
      <formula>AND($B1018="Tender Received",$D1018&lt;=(TODAY()+3))</formula>
    </cfRule>
    <cfRule type="expression" dxfId="968" priority="1036" stopIfTrue="1">
      <formula>$B1018="Tender Received"</formula>
    </cfRule>
  </conditionalFormatting>
  <conditionalFormatting sqref="C1018">
    <cfRule type="expression" dxfId="967" priority="1033" stopIfTrue="1">
      <formula>AND($B1018="Tender Received",$D1018&lt;=(TODAY()+3))</formula>
    </cfRule>
    <cfRule type="expression" dxfId="966" priority="1034" stopIfTrue="1">
      <formula>$B1018="Tender Received"</formula>
    </cfRule>
  </conditionalFormatting>
  <conditionalFormatting sqref="L1013">
    <cfRule type="expression" dxfId="965" priority="1031" stopIfTrue="1">
      <formula>AND($B1013="Tender Received",$D1013&lt;=(TODAY()+3))</formula>
    </cfRule>
    <cfRule type="expression" dxfId="964" priority="1032" stopIfTrue="1">
      <formula>$B1013="Tender Received"</formula>
    </cfRule>
  </conditionalFormatting>
  <conditionalFormatting sqref="L1012">
    <cfRule type="expression" dxfId="963" priority="1029" stopIfTrue="1">
      <formula>AND($B1012="Tender Received",$D1012&lt;=(TODAY()+3))</formula>
    </cfRule>
    <cfRule type="expression" dxfId="962" priority="1030" stopIfTrue="1">
      <formula>$B1012="Tender Received"</formula>
    </cfRule>
  </conditionalFormatting>
  <conditionalFormatting sqref="L1016">
    <cfRule type="expression" dxfId="961" priority="1027" stopIfTrue="1">
      <formula>AND($B1016="Tender Received",$D1016&lt;=(TODAY()+3))</formula>
    </cfRule>
    <cfRule type="expression" dxfId="960" priority="1028" stopIfTrue="1">
      <formula>$B1016="Tender Received"</formula>
    </cfRule>
  </conditionalFormatting>
  <conditionalFormatting sqref="L1015">
    <cfRule type="expression" dxfId="959" priority="1023" stopIfTrue="1">
      <formula>AND($B1015="Tender Received",$D1015&lt;=(TODAY()+3))</formula>
    </cfRule>
    <cfRule type="expression" dxfId="958" priority="1024" stopIfTrue="1">
      <formula>$B1015="Tender Received"</formula>
    </cfRule>
  </conditionalFormatting>
  <conditionalFormatting sqref="C1017">
    <cfRule type="expression" dxfId="957" priority="1019" stopIfTrue="1">
      <formula>AND($B1017="Tender Received",$D1017&lt;=(TODAY()+3))</formula>
    </cfRule>
    <cfRule type="expression" dxfId="956" priority="1020" stopIfTrue="1">
      <formula>$B1017="Tender Received"</formula>
    </cfRule>
  </conditionalFormatting>
  <conditionalFormatting sqref="L1018">
    <cfRule type="expression" dxfId="955" priority="1017" stopIfTrue="1">
      <formula>AND($B1018="Tender Received",$D1018&lt;=(TODAY()+3))</formula>
    </cfRule>
    <cfRule type="expression" dxfId="954" priority="1018" stopIfTrue="1">
      <formula>$B1018="Tender Received"</formula>
    </cfRule>
  </conditionalFormatting>
  <conditionalFormatting sqref="L1018">
    <cfRule type="expression" dxfId="953" priority="1015" stopIfTrue="1">
      <formula>AND($B1018="Tender Received",$D1018&lt;=(TODAY()+3))</formula>
    </cfRule>
    <cfRule type="expression" dxfId="952" priority="1016" stopIfTrue="1">
      <formula>$B1018="Tender Received"</formula>
    </cfRule>
  </conditionalFormatting>
  <conditionalFormatting sqref="Q1013">
    <cfRule type="expression" dxfId="951" priority="1013" stopIfTrue="1">
      <formula>AND($B1013="Tender Received",$D1013&lt;=(TODAY()+3))</formula>
    </cfRule>
    <cfRule type="expression" dxfId="950" priority="1014" stopIfTrue="1">
      <formula>$B1013="Tender Received"</formula>
    </cfRule>
  </conditionalFormatting>
  <conditionalFormatting sqref="E1015">
    <cfRule type="expression" dxfId="949" priority="1011" stopIfTrue="1">
      <formula>AND($B1015="Tender Received",$D1015&lt;=(TODAY()+3))</formula>
    </cfRule>
    <cfRule type="expression" dxfId="948" priority="1012" stopIfTrue="1">
      <formula>$B1015="Tender Received"</formula>
    </cfRule>
  </conditionalFormatting>
  <conditionalFormatting sqref="J1016">
    <cfRule type="expression" dxfId="947" priority="1009" stopIfTrue="1">
      <formula>AND($B1016="Tender Received",$D1016&lt;=(TODAY()+3))</formula>
    </cfRule>
    <cfRule type="expression" dxfId="946" priority="1010" stopIfTrue="1">
      <formula>$B1016="Tender Received"</formula>
    </cfRule>
  </conditionalFormatting>
  <conditionalFormatting sqref="I1017">
    <cfRule type="expression" dxfId="945" priority="1007" stopIfTrue="1">
      <formula>AND($B1017="Tender Received",$D1017&lt;=(TODAY()+3))</formula>
    </cfRule>
    <cfRule type="expression" dxfId="944" priority="1008" stopIfTrue="1">
      <formula>$B1017="Tender Received"</formula>
    </cfRule>
  </conditionalFormatting>
  <conditionalFormatting sqref="C1018">
    <cfRule type="expression" dxfId="943" priority="1005" stopIfTrue="1">
      <formula>AND($B1018="Tender Received",$D1018&lt;=(TODAY()+3))</formula>
    </cfRule>
    <cfRule type="expression" dxfId="942" priority="1006" stopIfTrue="1">
      <formula>$B1018="Tender Received"</formula>
    </cfRule>
  </conditionalFormatting>
  <conditionalFormatting sqref="J1017">
    <cfRule type="expression" dxfId="941" priority="1003" stopIfTrue="1">
      <formula>AND($B1017="Tender Received",$D1017&lt;=(TODAY()+3))</formula>
    </cfRule>
    <cfRule type="expression" dxfId="940" priority="1004" stopIfTrue="1">
      <formula>$B1017="Tender Received"</formula>
    </cfRule>
  </conditionalFormatting>
  <conditionalFormatting sqref="I1016">
    <cfRule type="expression" dxfId="939" priority="1001" stopIfTrue="1">
      <formula>AND($B1016="Tender Received",$D1016&lt;=(TODAY()+3))</formula>
    </cfRule>
    <cfRule type="expression" dxfId="938" priority="1002" stopIfTrue="1">
      <formula>$B1016="Tender Received"</formula>
    </cfRule>
  </conditionalFormatting>
  <conditionalFormatting sqref="B1009">
    <cfRule type="expression" dxfId="937" priority="999" stopIfTrue="1">
      <formula>AND($B1009="Tender Received",$D1009&lt;=(TODAY()+3))</formula>
    </cfRule>
    <cfRule type="expression" dxfId="936" priority="1000" stopIfTrue="1">
      <formula>$B1009="Tender Received"</formula>
    </cfRule>
  </conditionalFormatting>
  <conditionalFormatting sqref="O1009:R1009 C1009:H1009 J1009:K1009">
    <cfRule type="expression" dxfId="935" priority="997" stopIfTrue="1">
      <formula>AND($B1009="Tender Received",$D1009&lt;=(TODAY()+3))</formula>
    </cfRule>
    <cfRule type="expression" dxfId="934" priority="998" stopIfTrue="1">
      <formula>$B1009="Tender Received"</formula>
    </cfRule>
  </conditionalFormatting>
  <conditionalFormatting sqref="M1009:N1009">
    <cfRule type="expression" dxfId="933" priority="995" stopIfTrue="1">
      <formula>AND($B1009="Tender Received",$D1009&lt;=(TODAY()+3))</formula>
    </cfRule>
    <cfRule type="expression" dxfId="932" priority="996" stopIfTrue="1">
      <formula>$B1009="Tender Received"</formula>
    </cfRule>
  </conditionalFormatting>
  <conditionalFormatting sqref="J1009">
    <cfRule type="expression" dxfId="931" priority="993" stopIfTrue="1">
      <formula>AND($B1009="Tender Received",$D1009&lt;=(TODAY()+3))</formula>
    </cfRule>
    <cfRule type="expression" dxfId="930" priority="994" stopIfTrue="1">
      <formula>$B1009="Tender Received"</formula>
    </cfRule>
  </conditionalFormatting>
  <conditionalFormatting sqref="L1009">
    <cfRule type="expression" dxfId="929" priority="991" stopIfTrue="1">
      <formula>AND($B1009="Tender Received",$D1009&lt;=(TODAY()+3))</formula>
    </cfRule>
    <cfRule type="expression" dxfId="928" priority="992" stopIfTrue="1">
      <formula>$B1009="Tender Received"</formula>
    </cfRule>
  </conditionalFormatting>
  <conditionalFormatting sqref="O1009:P1009">
    <cfRule type="expression" dxfId="927" priority="989" stopIfTrue="1">
      <formula>AND($B1009="Tender Received",$D1009&lt;=(TODAY()+3))</formula>
    </cfRule>
    <cfRule type="expression" dxfId="926" priority="990" stopIfTrue="1">
      <formula>$B1009="Tender Received"</formula>
    </cfRule>
  </conditionalFormatting>
  <conditionalFormatting sqref="N1009">
    <cfRule type="expression" dxfId="925" priority="987" stopIfTrue="1">
      <formula>AND($B1009="Tender Received",$D1009&lt;=(TODAY()+3))</formula>
    </cfRule>
    <cfRule type="expression" dxfId="924" priority="988" stopIfTrue="1">
      <formula>$B1009="Tender Received"</formula>
    </cfRule>
  </conditionalFormatting>
  <conditionalFormatting sqref="L1009">
    <cfRule type="expression" dxfId="923" priority="985" stopIfTrue="1">
      <formula>AND($B1009="Tender Received",$D1009&lt;=(TODAY()+3))</formula>
    </cfRule>
    <cfRule type="expression" dxfId="922" priority="986" stopIfTrue="1">
      <formula>$B1009="Tender Received"</formula>
    </cfRule>
  </conditionalFormatting>
  <conditionalFormatting sqref="J1010:K1010 E1010:H1010 R1010">
    <cfRule type="expression" dxfId="921" priority="983" stopIfTrue="1">
      <formula>AND($B1010="Tender Received",$D1010&lt;=(TODAY()+3))</formula>
    </cfRule>
    <cfRule type="expression" dxfId="920" priority="984" stopIfTrue="1">
      <formula>$B1010="Tender Received"</formula>
    </cfRule>
  </conditionalFormatting>
  <conditionalFormatting sqref="M1010">
    <cfRule type="expression" dxfId="919" priority="981" stopIfTrue="1">
      <formula>AND($B1010="Tender Received",$D1010&lt;=(TODAY()+3))</formula>
    </cfRule>
    <cfRule type="expression" dxfId="918" priority="982" stopIfTrue="1">
      <formula>$B1010="Tender Received"</formula>
    </cfRule>
  </conditionalFormatting>
  <conditionalFormatting sqref="B1010">
    <cfRule type="expression" dxfId="917" priority="979" stopIfTrue="1">
      <formula>AND($B1010="Tender Received",$D1010&lt;=(TODAY()+3))</formula>
    </cfRule>
    <cfRule type="expression" dxfId="916" priority="980" stopIfTrue="1">
      <formula>$B1010="Tender Received"</formula>
    </cfRule>
  </conditionalFormatting>
  <conditionalFormatting sqref="J1010:K1010 E1010:H1010 R1010 M1010">
    <cfRule type="expression" dxfId="915" priority="977" stopIfTrue="1">
      <formula>AND($B1010="Tender Received",$D1010&lt;=(TODAY()+3))</formula>
    </cfRule>
    <cfRule type="expression" dxfId="914" priority="978" stopIfTrue="1">
      <formula>$B1010="Tender Received"</formula>
    </cfRule>
  </conditionalFormatting>
  <conditionalFormatting sqref="L1010">
    <cfRule type="expression" dxfId="913" priority="975" stopIfTrue="1">
      <formula>AND($B1010="Tender Received",$D1010&lt;=(TODAY()+3))</formula>
    </cfRule>
    <cfRule type="expression" dxfId="912" priority="976" stopIfTrue="1">
      <formula>$B1010="Tender Received"</formula>
    </cfRule>
  </conditionalFormatting>
  <conditionalFormatting sqref="L1010">
    <cfRule type="expression" dxfId="911" priority="973" stopIfTrue="1">
      <formula>AND($B1010="Tender Received",$D1010&lt;=(TODAY()+3))</formula>
    </cfRule>
    <cfRule type="expression" dxfId="910" priority="974" stopIfTrue="1">
      <formula>$B1010="Tender Received"</formula>
    </cfRule>
  </conditionalFormatting>
  <conditionalFormatting sqref="D1010">
    <cfRule type="expression" dxfId="909" priority="971" stopIfTrue="1">
      <formula>AND($B1010="Tender Received",$D1010&lt;=(TODAY()+3))</formula>
    </cfRule>
    <cfRule type="expression" dxfId="908" priority="972" stopIfTrue="1">
      <formula>$B1010="Tender Received"</formula>
    </cfRule>
  </conditionalFormatting>
  <conditionalFormatting sqref="O1010:P1010">
    <cfRule type="expression" dxfId="907" priority="969" stopIfTrue="1">
      <formula>AND($B1010="Tender Received",$D1010&lt;=(TODAY()+3))</formula>
    </cfRule>
    <cfRule type="expression" dxfId="906" priority="970" stopIfTrue="1">
      <formula>$B1010="Tender Received"</formula>
    </cfRule>
  </conditionalFormatting>
  <conditionalFormatting sqref="N1010">
    <cfRule type="expression" dxfId="905" priority="967" stopIfTrue="1">
      <formula>AND($B1010="Tender Received",$D1010&lt;=(TODAY()+3))</formula>
    </cfRule>
    <cfRule type="expression" dxfId="904" priority="968" stopIfTrue="1">
      <formula>$B1010="Tender Received"</formula>
    </cfRule>
  </conditionalFormatting>
  <conditionalFormatting sqref="C1010">
    <cfRule type="expression" dxfId="903" priority="965" stopIfTrue="1">
      <formula>AND($B1010="Tender Received",$D1010&lt;=(TODAY()+3))</formula>
    </cfRule>
    <cfRule type="expression" dxfId="902" priority="966" stopIfTrue="1">
      <formula>$B1010="Tender Received"</formula>
    </cfRule>
  </conditionalFormatting>
  <conditionalFormatting sqref="I1010">
    <cfRule type="expression" dxfId="901" priority="963" stopIfTrue="1">
      <formula>AND($B1010="Tender Received",$D1010&lt;=(TODAY()+3))</formula>
    </cfRule>
    <cfRule type="expression" dxfId="900" priority="964" stopIfTrue="1">
      <formula>$B1010="Tender Received"</formula>
    </cfRule>
  </conditionalFormatting>
  <conditionalFormatting sqref="I1010">
    <cfRule type="expression" dxfId="899" priority="961" stopIfTrue="1">
      <formula>AND($B1010="Tender Received",$D1010&lt;=(TODAY()+3))</formula>
    </cfRule>
    <cfRule type="expression" dxfId="898" priority="962" stopIfTrue="1">
      <formula>$B1010="Tender Received"</formula>
    </cfRule>
  </conditionalFormatting>
  <conditionalFormatting sqref="Q1010">
    <cfRule type="expression" dxfId="897" priority="959" stopIfTrue="1">
      <formula>AND($B1010="Tender Received",$D1010&lt;=(TODAY()+3))</formula>
    </cfRule>
    <cfRule type="expression" dxfId="896" priority="960" stopIfTrue="1">
      <formula>$B1010="Tender Received"</formula>
    </cfRule>
  </conditionalFormatting>
  <conditionalFormatting sqref="I1009">
    <cfRule type="expression" dxfId="895" priority="957" stopIfTrue="1">
      <formula>AND($B1009="Tender Received",$D1009&lt;=(TODAY()+3))</formula>
    </cfRule>
    <cfRule type="expression" dxfId="894" priority="958" stopIfTrue="1">
      <formula>$B1009="Tender Received"</formula>
    </cfRule>
  </conditionalFormatting>
  <conditionalFormatting sqref="O1015:P1015">
    <cfRule type="expression" dxfId="893" priority="949" stopIfTrue="1">
      <formula>AND($B1015="Tender Received",$D1015&lt;=(TODAY()+3))</formula>
    </cfRule>
    <cfRule type="expression" dxfId="892" priority="950" stopIfTrue="1">
      <formula>$B1015="Tender Received"</formula>
    </cfRule>
  </conditionalFormatting>
  <conditionalFormatting sqref="N1015">
    <cfRule type="expression" dxfId="891" priority="947" stopIfTrue="1">
      <formula>AND($B1015="Tender Received",$D1015&lt;=(TODAY()+3))</formula>
    </cfRule>
    <cfRule type="expression" dxfId="890" priority="948" stopIfTrue="1">
      <formula>$B1015="Tender Received"</formula>
    </cfRule>
  </conditionalFormatting>
  <conditionalFormatting sqref="Q1002">
    <cfRule type="expression" dxfId="889" priority="945" stopIfTrue="1">
      <formula>AND($B1002="Tender Received",$D1002&lt;=(TODAY()+3))</formula>
    </cfRule>
    <cfRule type="expression" dxfId="888" priority="946" stopIfTrue="1">
      <formula>$B1002="Tender Received"</formula>
    </cfRule>
  </conditionalFormatting>
  <conditionalFormatting sqref="I1005">
    <cfRule type="expression" dxfId="887" priority="943" stopIfTrue="1">
      <formula>AND($B1005="Tender Received",$D1005&lt;=(TODAY()+3))</formula>
    </cfRule>
    <cfRule type="expression" dxfId="886" priority="944" stopIfTrue="1">
      <formula>$B1005="Tender Received"</formula>
    </cfRule>
  </conditionalFormatting>
  <conditionalFormatting sqref="I1005">
    <cfRule type="expression" dxfId="885" priority="941" stopIfTrue="1">
      <formula>AND($B1005="Tender Received",$D1005&lt;=(TODAY()+3))</formula>
    </cfRule>
    <cfRule type="expression" dxfId="884" priority="942" stopIfTrue="1">
      <formula>$B1005="Tender Received"</formula>
    </cfRule>
  </conditionalFormatting>
  <conditionalFormatting sqref="I1005">
    <cfRule type="expression" dxfId="883" priority="939" stopIfTrue="1">
      <formula>AND($B1005="Tender Received",$D1005&lt;=(TODAY()+3))</formula>
    </cfRule>
    <cfRule type="expression" dxfId="882" priority="940" stopIfTrue="1">
      <formula>$B1005="Tender Received"</formula>
    </cfRule>
  </conditionalFormatting>
  <conditionalFormatting sqref="I1008">
    <cfRule type="expression" dxfId="881" priority="937" stopIfTrue="1">
      <formula>AND($B1008="Tender Received",$D1008&lt;=(TODAY()+3))</formula>
    </cfRule>
    <cfRule type="expression" dxfId="880" priority="938" stopIfTrue="1">
      <formula>$B1008="Tender Received"</formula>
    </cfRule>
  </conditionalFormatting>
  <conditionalFormatting sqref="C1019:K1019 M1019">
    <cfRule type="expression" dxfId="879" priority="935" stopIfTrue="1">
      <formula>AND($B1019="Tender Received",$D1019&lt;=(TODAY()+3))</formula>
    </cfRule>
    <cfRule type="expression" dxfId="878" priority="936" stopIfTrue="1">
      <formula>$B1019="Tender Received"</formula>
    </cfRule>
  </conditionalFormatting>
  <conditionalFormatting sqref="C1019">
    <cfRule type="expression" dxfId="877" priority="933" stopIfTrue="1">
      <formula>AND($B1019="Tender Received",$D1019&lt;=(TODAY()+3))</formula>
    </cfRule>
    <cfRule type="expression" dxfId="876" priority="934" stopIfTrue="1">
      <formula>$B1019="Tender Received"</formula>
    </cfRule>
  </conditionalFormatting>
  <conditionalFormatting sqref="L1019">
    <cfRule type="expression" dxfId="875" priority="931" stopIfTrue="1">
      <formula>AND($B1019="Tender Received",$D1019&lt;=(TODAY()+3))</formula>
    </cfRule>
    <cfRule type="expression" dxfId="874" priority="932" stopIfTrue="1">
      <formula>$B1019="Tender Received"</formula>
    </cfRule>
  </conditionalFormatting>
  <conditionalFormatting sqref="L1019">
    <cfRule type="expression" dxfId="873" priority="929" stopIfTrue="1">
      <formula>AND($B1019="Tender Received",$D1019&lt;=(TODAY()+3))</formula>
    </cfRule>
    <cfRule type="expression" dxfId="872" priority="930" stopIfTrue="1">
      <formula>$B1019="Tender Received"</formula>
    </cfRule>
  </conditionalFormatting>
  <conditionalFormatting sqref="N1019:P1019 R1019">
    <cfRule type="expression" dxfId="871" priority="927" stopIfTrue="1">
      <formula>AND($B1019="Tender Received",$D1019&lt;=(TODAY()+3))</formula>
    </cfRule>
    <cfRule type="expression" dxfId="870" priority="928" stopIfTrue="1">
      <formula>$B1019="Tender Received"</formula>
    </cfRule>
  </conditionalFormatting>
  <conditionalFormatting sqref="N1019">
    <cfRule type="expression" dxfId="869" priority="925" stopIfTrue="1">
      <formula>AND($B1019="Tender Received",$D1019&lt;=(TODAY()+3))</formula>
    </cfRule>
    <cfRule type="expression" dxfId="868" priority="926" stopIfTrue="1">
      <formula>$B1019="Tender Received"</formula>
    </cfRule>
  </conditionalFormatting>
  <conditionalFormatting sqref="Q1019">
    <cfRule type="expression" dxfId="867" priority="923" stopIfTrue="1">
      <formula>AND($B1019="Tender Received",$D1019&lt;=(TODAY()+3))</formula>
    </cfRule>
    <cfRule type="expression" dxfId="866" priority="924" stopIfTrue="1">
      <formula>$B1019="Tender Received"</formula>
    </cfRule>
  </conditionalFormatting>
  <conditionalFormatting sqref="B1019:B1025">
    <cfRule type="expression" dxfId="865" priority="921" stopIfTrue="1">
      <formula>AND($B1019="Tender Received",$D1019&lt;=(TODAY()+3))</formula>
    </cfRule>
    <cfRule type="expression" dxfId="864" priority="922" stopIfTrue="1">
      <formula>$B1019="Tender Received"</formula>
    </cfRule>
  </conditionalFormatting>
  <conditionalFormatting sqref="A1019:A1021">
    <cfRule type="expression" dxfId="863" priority="919" stopIfTrue="1">
      <formula>AND($B1019="Tender Received",$D1019&lt;=(TODAY()+3))</formula>
    </cfRule>
    <cfRule type="expression" dxfId="862" priority="920" stopIfTrue="1">
      <formula>$B1019="Tender Received"</formula>
    </cfRule>
  </conditionalFormatting>
  <conditionalFormatting sqref="B1021">
    <cfRule type="expression" dxfId="861" priority="917" stopIfTrue="1">
      <formula>AND($B1021="Tender Received",$D1021&lt;=(TODAY()+3))</formula>
    </cfRule>
    <cfRule type="expression" dxfId="860" priority="918" stopIfTrue="1">
      <formula>$B1021="Tender Received"</formula>
    </cfRule>
  </conditionalFormatting>
  <conditionalFormatting sqref="B1020:G1020 I1020:P1020 R1020">
    <cfRule type="expression" dxfId="859" priority="915" stopIfTrue="1">
      <formula>AND($B1020="Tender Received",$D1020&lt;=(TODAY()+3))</formula>
    </cfRule>
    <cfRule type="expression" dxfId="858" priority="916" stopIfTrue="1">
      <formula>$B1020="Tender Received"</formula>
    </cfRule>
  </conditionalFormatting>
  <conditionalFormatting sqref="L1020">
    <cfRule type="expression" dxfId="857" priority="913" stopIfTrue="1">
      <formula>AND($B1020="Tender Received",$D1020&lt;=(TODAY()+3))</formula>
    </cfRule>
    <cfRule type="expression" dxfId="856" priority="914" stopIfTrue="1">
      <formula>$B1020="Tender Received"</formula>
    </cfRule>
  </conditionalFormatting>
  <conditionalFormatting sqref="C1021:G1021 J1021:K1021 M1021:P1021 R1021">
    <cfRule type="expression" dxfId="855" priority="911" stopIfTrue="1">
      <formula>AND($B1021="Tender Received",$D1021&lt;=(TODAY()+3))</formula>
    </cfRule>
    <cfRule type="expression" dxfId="854" priority="912" stopIfTrue="1">
      <formula>$B1021="Tender Received"</formula>
    </cfRule>
  </conditionalFormatting>
  <conditionalFormatting sqref="L1021">
    <cfRule type="expression" dxfId="853" priority="909" stopIfTrue="1">
      <formula>AND($B1021="Tender Received",$D1021&lt;=(TODAY()+3))</formula>
    </cfRule>
    <cfRule type="expression" dxfId="852" priority="910" stopIfTrue="1">
      <formula>$B1021="Tender Received"</formula>
    </cfRule>
  </conditionalFormatting>
  <conditionalFormatting sqref="I1021">
    <cfRule type="expression" dxfId="851" priority="907" stopIfTrue="1">
      <formula>AND($B1021="Tender Received",$D1021&lt;=(TODAY()+3))</formula>
    </cfRule>
    <cfRule type="expression" dxfId="850" priority="908" stopIfTrue="1">
      <formula>$B1021="Tender Received"</formula>
    </cfRule>
  </conditionalFormatting>
  <conditionalFormatting sqref="C1020:G1020 J1020:K1020 M1020:P1020 R1020">
    <cfRule type="expression" dxfId="849" priority="905" stopIfTrue="1">
      <formula>AND($B1020="Tender Received",$D1020&lt;=(TODAY()+3))</formula>
    </cfRule>
    <cfRule type="expression" dxfId="848" priority="906" stopIfTrue="1">
      <formula>$B1020="Tender Received"</formula>
    </cfRule>
  </conditionalFormatting>
  <conditionalFormatting sqref="L1020">
    <cfRule type="expression" dxfId="847" priority="903" stopIfTrue="1">
      <formula>AND($B1020="Tender Received",$D1020&lt;=(TODAY()+3))</formula>
    </cfRule>
    <cfRule type="expression" dxfId="846" priority="904" stopIfTrue="1">
      <formula>$B1020="Tender Received"</formula>
    </cfRule>
  </conditionalFormatting>
  <conditionalFormatting sqref="I1020">
    <cfRule type="expression" dxfId="845" priority="901" stopIfTrue="1">
      <formula>AND($B1020="Tender Received",$D1020&lt;=(TODAY()+3))</formula>
    </cfRule>
    <cfRule type="expression" dxfId="844" priority="902" stopIfTrue="1">
      <formula>$B1020="Tender Received"</formula>
    </cfRule>
  </conditionalFormatting>
  <conditionalFormatting sqref="J1021:M1021 C1021:G1021 R1021">
    <cfRule type="expression" dxfId="843" priority="899" stopIfTrue="1">
      <formula>AND($B1021="Tender Received",$D1021&lt;=(TODAY()+3))</formula>
    </cfRule>
    <cfRule type="expression" dxfId="842" priority="900" stopIfTrue="1">
      <formula>$B1021="Tender Received"</formula>
    </cfRule>
  </conditionalFormatting>
  <conditionalFormatting sqref="I1021">
    <cfRule type="expression" dxfId="841" priority="897" stopIfTrue="1">
      <formula>AND($B1021="Tender Received",$D1021&lt;=(TODAY()+3))</formula>
    </cfRule>
    <cfRule type="expression" dxfId="840" priority="898" stopIfTrue="1">
      <formula>$B1021="Tender Received"</formula>
    </cfRule>
  </conditionalFormatting>
  <conditionalFormatting sqref="N1021:P1021">
    <cfRule type="expression" dxfId="839" priority="895" stopIfTrue="1">
      <formula>AND($B1021="Tender Received",$D1021&lt;=(TODAY()+3))</formula>
    </cfRule>
    <cfRule type="expression" dxfId="838" priority="896" stopIfTrue="1">
      <formula>$B1021="Tender Received"</formula>
    </cfRule>
  </conditionalFormatting>
  <conditionalFormatting sqref="Q1021">
    <cfRule type="expression" dxfId="837" priority="891" stopIfTrue="1">
      <formula>AND($B1021="Tender Received",$D1021&lt;=(TODAY()+3))</formula>
    </cfRule>
    <cfRule type="expression" dxfId="836" priority="892" stopIfTrue="1">
      <formula>$B1021="Tender Received"</formula>
    </cfRule>
  </conditionalFormatting>
  <conditionalFormatting sqref="Q1021">
    <cfRule type="expression" dxfId="835" priority="889" stopIfTrue="1">
      <formula>AND($B1021="Tender Received",$D1021&lt;=(TODAY()+3))</formula>
    </cfRule>
    <cfRule type="expression" dxfId="834" priority="890" stopIfTrue="1">
      <formula>$B1021="Tender Received"</formula>
    </cfRule>
  </conditionalFormatting>
  <conditionalFormatting sqref="R1022">
    <cfRule type="expression" dxfId="833" priority="887" stopIfTrue="1">
      <formula>AND($B1022="Tender Received",$D1022&lt;=(TODAY()+3))</formula>
    </cfRule>
    <cfRule type="expression" dxfId="832" priority="888" stopIfTrue="1">
      <formula>$B1022="Tender Received"</formula>
    </cfRule>
  </conditionalFormatting>
  <conditionalFormatting sqref="J1022:P1022 C1022:H1022">
    <cfRule type="expression" dxfId="831" priority="885" stopIfTrue="1">
      <formula>AND($B1022="Tender Received",$D1022&lt;=(TODAY()+3))</formula>
    </cfRule>
    <cfRule type="expression" dxfId="830" priority="886" stopIfTrue="1">
      <formula>$B1022="Tender Received"</formula>
    </cfRule>
  </conditionalFormatting>
  <conditionalFormatting sqref="I1022">
    <cfRule type="expression" dxfId="829" priority="883" stopIfTrue="1">
      <formula>AND($B1022="Tender Received",$D1022&lt;=(TODAY()+3))</formula>
    </cfRule>
    <cfRule type="expression" dxfId="828" priority="884" stopIfTrue="1">
      <formula>$B1022="Tender Received"</formula>
    </cfRule>
  </conditionalFormatting>
  <conditionalFormatting sqref="Q1022">
    <cfRule type="expression" dxfId="827" priority="881" stopIfTrue="1">
      <formula>AND($B1022="Tender Received",$D1022&lt;=(TODAY()+3))</formula>
    </cfRule>
    <cfRule type="expression" dxfId="826" priority="882" stopIfTrue="1">
      <formula>$B1022="Tender Received"</formula>
    </cfRule>
  </conditionalFormatting>
  <conditionalFormatting sqref="A1022">
    <cfRule type="expression" dxfId="825" priority="879" stopIfTrue="1">
      <formula>AND($B1022="Tender Received",$D1022&lt;=(TODAY()+3))</formula>
    </cfRule>
    <cfRule type="expression" dxfId="824" priority="880" stopIfTrue="1">
      <formula>$B1022="Tender Received"</formula>
    </cfRule>
  </conditionalFormatting>
  <conditionalFormatting sqref="B1022">
    <cfRule type="expression" dxfId="823" priority="877" stopIfTrue="1">
      <formula>AND($B1022="Tender Received",$D1022&lt;=(TODAY()+3))</formula>
    </cfRule>
    <cfRule type="expression" dxfId="822" priority="878" stopIfTrue="1">
      <formula>$B1022="Tender Received"</formula>
    </cfRule>
  </conditionalFormatting>
  <conditionalFormatting sqref="B1022">
    <cfRule type="expression" dxfId="821" priority="875" stopIfTrue="1">
      <formula>AND($B1022="Tender Received",$D1022&lt;=(TODAY()+3))</formula>
    </cfRule>
    <cfRule type="expression" dxfId="820" priority="876" stopIfTrue="1">
      <formula>$B1022="Tender Received"</formula>
    </cfRule>
  </conditionalFormatting>
  <conditionalFormatting sqref="R1023 C1023:G1023 I1023:P1023">
    <cfRule type="expression" dxfId="819" priority="873" stopIfTrue="1">
      <formula>AND($B1023="Tender Received",$D1023&lt;=(TODAY()+3))</formula>
    </cfRule>
    <cfRule type="expression" dxfId="818" priority="874" stopIfTrue="1">
      <formula>$B1023="Tender Received"</formula>
    </cfRule>
  </conditionalFormatting>
  <conditionalFormatting sqref="Q1023">
    <cfRule type="expression" dxfId="817" priority="871" stopIfTrue="1">
      <formula>AND($B1023="Tender Received",$D1023&lt;=(TODAY()+3))</formula>
    </cfRule>
    <cfRule type="expression" dxfId="816" priority="872" stopIfTrue="1">
      <formula>$B1023="Tender Received"</formula>
    </cfRule>
  </conditionalFormatting>
  <conditionalFormatting sqref="H1023">
    <cfRule type="expression" dxfId="815" priority="869" stopIfTrue="1">
      <formula>AND($B1023="Tender Received",$D1023&lt;=(TODAY()+3))</formula>
    </cfRule>
    <cfRule type="expression" dxfId="814" priority="870" stopIfTrue="1">
      <formula>$B1023="Tender Received"</formula>
    </cfRule>
  </conditionalFormatting>
  <conditionalFormatting sqref="A1023">
    <cfRule type="expression" dxfId="813" priority="867" stopIfTrue="1">
      <formula>AND($B1023="Tender Received",$D1023&lt;=(TODAY()+3))</formula>
    </cfRule>
    <cfRule type="expression" dxfId="812" priority="868" stopIfTrue="1">
      <formula>$B1023="Tender Received"</formula>
    </cfRule>
  </conditionalFormatting>
  <conditionalFormatting sqref="B1023">
    <cfRule type="expression" dxfId="811" priority="865" stopIfTrue="1">
      <formula>AND($B1023="Tender Received",$D1023&lt;=(TODAY()+3))</formula>
    </cfRule>
    <cfRule type="expression" dxfId="810" priority="866" stopIfTrue="1">
      <formula>$B1023="Tender Received"</formula>
    </cfRule>
  </conditionalFormatting>
  <conditionalFormatting sqref="B1023">
    <cfRule type="expression" dxfId="809" priority="863" stopIfTrue="1">
      <formula>AND($B1023="Tender Received",$D1023&lt;=(TODAY()+3))</formula>
    </cfRule>
    <cfRule type="expression" dxfId="808" priority="864" stopIfTrue="1">
      <formula>$B1023="Tender Received"</formula>
    </cfRule>
  </conditionalFormatting>
  <conditionalFormatting sqref="C1024 J1024:R1024 E1024:H1024">
    <cfRule type="expression" dxfId="807" priority="861" stopIfTrue="1">
      <formula>AND($B1024="Tender Received",$D1024&lt;=(TODAY()+3))</formula>
    </cfRule>
    <cfRule type="expression" dxfId="806" priority="862" stopIfTrue="1">
      <formula>$B1024="Tender Received"</formula>
    </cfRule>
  </conditionalFormatting>
  <conditionalFormatting sqref="I1024">
    <cfRule type="expression" dxfId="805" priority="859" stopIfTrue="1">
      <formula>AND($B1024="Tender Received",$D1024&lt;=(TODAY()+3))</formula>
    </cfRule>
    <cfRule type="expression" dxfId="804" priority="860" stopIfTrue="1">
      <formula>$B1024="Tender Received"</formula>
    </cfRule>
  </conditionalFormatting>
  <conditionalFormatting sqref="Q1024">
    <cfRule type="expression" dxfId="803" priority="857" stopIfTrue="1">
      <formula>AND($B1025="Tender Received",$D1025&lt;=(TODAY()+3))</formula>
    </cfRule>
    <cfRule type="expression" dxfId="802" priority="858" stopIfTrue="1">
      <formula>$B1025="Tender Received"</formula>
    </cfRule>
  </conditionalFormatting>
  <conditionalFormatting sqref="D1024">
    <cfRule type="expression" dxfId="801" priority="855" stopIfTrue="1">
      <formula>AND($B1024="Tender Received",$D1024&lt;=(TODAY()+3))</formula>
    </cfRule>
    <cfRule type="expression" dxfId="800" priority="856" stopIfTrue="1">
      <formula>$B1024="Tender Received"</formula>
    </cfRule>
  </conditionalFormatting>
  <conditionalFormatting sqref="A1024">
    <cfRule type="expression" dxfId="799" priority="853" stopIfTrue="1">
      <formula>AND($B1024="Tender Received",$D1024&lt;=(TODAY()+3))</formula>
    </cfRule>
    <cfRule type="expression" dxfId="798" priority="854" stopIfTrue="1">
      <formula>$B1024="Tender Received"</formula>
    </cfRule>
  </conditionalFormatting>
  <conditionalFormatting sqref="B1024">
    <cfRule type="expression" dxfId="797" priority="851" stopIfTrue="1">
      <formula>AND($B1024="Tender Received",$D1024&lt;=(TODAY()+3))</formula>
    </cfRule>
    <cfRule type="expression" dxfId="796" priority="852" stopIfTrue="1">
      <formula>$B1024="Tender Received"</formula>
    </cfRule>
  </conditionalFormatting>
  <conditionalFormatting sqref="B1024">
    <cfRule type="expression" dxfId="795" priority="849" stopIfTrue="1">
      <formula>AND($B1024="Tender Received",$D1024&lt;=(TODAY()+3))</formula>
    </cfRule>
    <cfRule type="expression" dxfId="794" priority="850" stopIfTrue="1">
      <formula>$B1024="Tender Received"</formula>
    </cfRule>
  </conditionalFormatting>
  <conditionalFormatting sqref="C1025:G1025 I1025:R1025">
    <cfRule type="expression" dxfId="793" priority="847" stopIfTrue="1">
      <formula>AND($B1025="Tender Received",$D1025&lt;=(TODAY()+3))</formula>
    </cfRule>
    <cfRule type="expression" dxfId="792" priority="848" stopIfTrue="1">
      <formula>$B1025="Tender Received"</formula>
    </cfRule>
  </conditionalFormatting>
  <conditionalFormatting sqref="H1025">
    <cfRule type="expression" dxfId="791" priority="845" stopIfTrue="1">
      <formula>AND($B1025="Tender Received",$D1025&lt;=(TODAY()+3))</formula>
    </cfRule>
    <cfRule type="expression" dxfId="790" priority="846" stopIfTrue="1">
      <formula>$B1025="Tender Received"</formula>
    </cfRule>
  </conditionalFormatting>
  <conditionalFormatting sqref="A1025">
    <cfRule type="expression" dxfId="789" priority="843" stopIfTrue="1">
      <formula>AND($B1025="Tender Received",$D1025&lt;=(TODAY()+3))</formula>
    </cfRule>
    <cfRule type="expression" dxfId="788" priority="844" stopIfTrue="1">
      <formula>$B1025="Tender Received"</formula>
    </cfRule>
  </conditionalFormatting>
  <conditionalFormatting sqref="B1025">
    <cfRule type="expression" dxfId="787" priority="841" stopIfTrue="1">
      <formula>AND($B1025="Tender Received",$D1025&lt;=(TODAY()+3))</formula>
    </cfRule>
    <cfRule type="expression" dxfId="786" priority="842" stopIfTrue="1">
      <formula>$B1025="Tender Received"</formula>
    </cfRule>
  </conditionalFormatting>
  <conditionalFormatting sqref="B1025">
    <cfRule type="expression" dxfId="785" priority="839" stopIfTrue="1">
      <formula>AND($B1025="Tender Received",$D1025&lt;=(TODAY()+3))</formula>
    </cfRule>
    <cfRule type="expression" dxfId="784" priority="840" stopIfTrue="1">
      <formula>$B1025="Tender Received"</formula>
    </cfRule>
  </conditionalFormatting>
  <conditionalFormatting sqref="D31">
    <cfRule type="expression" dxfId="783" priority="837" stopIfTrue="1">
      <formula>AND($B31="Tender Received",$D31&lt;=(TODAY()+3))</formula>
    </cfRule>
    <cfRule type="expression" dxfId="782" priority="838" stopIfTrue="1">
      <formula>$B31="Tender Received"</formula>
    </cfRule>
  </conditionalFormatting>
  <conditionalFormatting sqref="H95">
    <cfRule type="expression" dxfId="781" priority="835" stopIfTrue="1">
      <formula>AND($B95="Tender Received",$D95&lt;=(TODAY()+3))</formula>
    </cfRule>
    <cfRule type="expression" dxfId="780" priority="836" stopIfTrue="1">
      <formula>$B95="Tender Received"</formula>
    </cfRule>
  </conditionalFormatting>
  <conditionalFormatting sqref="H154">
    <cfRule type="expression" dxfId="779" priority="833" stopIfTrue="1">
      <formula>AND($B154="Tender Received",$D154&lt;=(TODAY()+3))</formula>
    </cfRule>
    <cfRule type="expression" dxfId="778" priority="834" stopIfTrue="1">
      <formula>$B154="Tender Received"</formula>
    </cfRule>
  </conditionalFormatting>
  <conditionalFormatting sqref="B1026:B1031">
    <cfRule type="expression" dxfId="777" priority="831" stopIfTrue="1">
      <formula>AND($B1026="Tender Received",$D1026&lt;=(TODAY()+3))</formula>
    </cfRule>
    <cfRule type="expression" dxfId="776" priority="832" stopIfTrue="1">
      <formula>$B1026="Tender Received"</formula>
    </cfRule>
  </conditionalFormatting>
  <conditionalFormatting sqref="J1026:M1026 C1026:G1026 R1026">
    <cfRule type="expression" dxfId="775" priority="829" stopIfTrue="1">
      <formula>AND($B1026="Tender Received",$D1026&lt;=(TODAY()+3))</formula>
    </cfRule>
    <cfRule type="expression" dxfId="774" priority="830" stopIfTrue="1">
      <formula>$B1026="Tender Received"</formula>
    </cfRule>
  </conditionalFormatting>
  <conditionalFormatting sqref="I1026">
    <cfRule type="expression" dxfId="773" priority="827" stopIfTrue="1">
      <formula>AND($B1026="Tender Received",$D1026&lt;=(TODAY()+3))</formula>
    </cfRule>
    <cfRule type="expression" dxfId="772" priority="828" stopIfTrue="1">
      <formula>$B1026="Tender Received"</formula>
    </cfRule>
  </conditionalFormatting>
  <conditionalFormatting sqref="N1026:P1026">
    <cfRule type="expression" dxfId="771" priority="825" stopIfTrue="1">
      <formula>AND($B1026="Tender Received",$D1026&lt;=(TODAY()+3))</formula>
    </cfRule>
    <cfRule type="expression" dxfId="770" priority="826" stopIfTrue="1">
      <formula>$B1026="Tender Received"</formula>
    </cfRule>
  </conditionalFormatting>
  <conditionalFormatting sqref="H1026">
    <cfRule type="expression" dxfId="769" priority="823" stopIfTrue="1">
      <formula>AND($B1026="Tender Received",$D1026&lt;=(TODAY()+3))</formula>
    </cfRule>
    <cfRule type="expression" dxfId="768" priority="824" stopIfTrue="1">
      <formula>$B1026="Tender Received"</formula>
    </cfRule>
  </conditionalFormatting>
  <conditionalFormatting sqref="Q1026">
    <cfRule type="expression" dxfId="767" priority="821" stopIfTrue="1">
      <formula>AND($B1026="Tender Received",$D1026&lt;=(TODAY()+3))</formula>
    </cfRule>
    <cfRule type="expression" dxfId="766" priority="822" stopIfTrue="1">
      <formula>$B1026="Tender Received"</formula>
    </cfRule>
  </conditionalFormatting>
  <conditionalFormatting sqref="A1026">
    <cfRule type="expression" dxfId="765" priority="819" stopIfTrue="1">
      <formula>AND($B1026="Tender Received",$D1026&lt;=(TODAY()+3))</formula>
    </cfRule>
    <cfRule type="expression" dxfId="764" priority="820" stopIfTrue="1">
      <formula>$B1026="Tender Received"</formula>
    </cfRule>
  </conditionalFormatting>
  <conditionalFormatting sqref="L1027:M1027 R1027">
    <cfRule type="expression" dxfId="763" priority="815" stopIfTrue="1">
      <formula>AND($B1027="Tender Received",$D1027&lt;=(TODAY()+3))</formula>
    </cfRule>
    <cfRule type="expression" dxfId="762" priority="816" stopIfTrue="1">
      <formula>$B1027="Tender Received"</formula>
    </cfRule>
  </conditionalFormatting>
  <conditionalFormatting sqref="D1027:J1027">
    <cfRule type="expression" dxfId="761" priority="813" stopIfTrue="1">
      <formula>AND($B1027="Tender Received",$D1027&lt;=(TODAY()+3))</formula>
    </cfRule>
    <cfRule type="expression" dxfId="760" priority="814" stopIfTrue="1">
      <formula>$B1027="Tender Received"</formula>
    </cfRule>
  </conditionalFormatting>
  <conditionalFormatting sqref="N1027:P1027">
    <cfRule type="expression" dxfId="759" priority="811" stopIfTrue="1">
      <formula>AND($B1027="Tender Received",$D1027&lt;=(TODAY()+3))</formula>
    </cfRule>
    <cfRule type="expression" dxfId="758" priority="812" stopIfTrue="1">
      <formula>$B1027="Tender Received"</formula>
    </cfRule>
  </conditionalFormatting>
  <conditionalFormatting sqref="C1027">
    <cfRule type="expression" dxfId="757" priority="809" stopIfTrue="1">
      <formula>AND($B1027="Tender Received",$D1027&lt;=(TODAY()+3))</formula>
    </cfRule>
    <cfRule type="expression" dxfId="756" priority="810" stopIfTrue="1">
      <formula>$B1027="Tender Received"</formula>
    </cfRule>
  </conditionalFormatting>
  <conditionalFormatting sqref="K1027">
    <cfRule type="expression" dxfId="755" priority="807" stopIfTrue="1">
      <formula>AND($B1027="Tender Received",$D1027&lt;=(TODAY()+3))</formula>
    </cfRule>
    <cfRule type="expression" dxfId="754" priority="808" stopIfTrue="1">
      <formula>$B1027="Tender Received"</formula>
    </cfRule>
  </conditionalFormatting>
  <conditionalFormatting sqref="Q1027">
    <cfRule type="expression" dxfId="753" priority="805" stopIfTrue="1">
      <formula>AND($B1027="Tender Received",$D1027&lt;=(TODAY()+3))</formula>
    </cfRule>
    <cfRule type="expression" dxfId="752" priority="806" stopIfTrue="1">
      <formula>$B1027="Tender Received"</formula>
    </cfRule>
  </conditionalFormatting>
  <conditionalFormatting sqref="B1027">
    <cfRule type="expression" dxfId="751" priority="803" stopIfTrue="1">
      <formula>AND($B1027="Tender Received",$D1027&lt;=(TODAY()+3))</formula>
    </cfRule>
    <cfRule type="expression" dxfId="750" priority="804" stopIfTrue="1">
      <formula>$B1027="Tender Received"</formula>
    </cfRule>
  </conditionalFormatting>
  <conditionalFormatting sqref="A1027">
    <cfRule type="expression" dxfId="749" priority="801" stopIfTrue="1">
      <formula>AND($B1027="Tender Received",$D1027&lt;=(TODAY()+3))</formula>
    </cfRule>
    <cfRule type="expression" dxfId="748" priority="802" stopIfTrue="1">
      <formula>$B1027="Tender Received"</formula>
    </cfRule>
  </conditionalFormatting>
  <conditionalFormatting sqref="C1028:R1028">
    <cfRule type="expression" dxfId="747" priority="799" stopIfTrue="1">
      <formula>AND($B1028="Tender Received",$D1028&lt;=(TODAY()+3))</formula>
    </cfRule>
    <cfRule type="expression" dxfId="746" priority="800" stopIfTrue="1">
      <formula>$B1028="Tender Received"</formula>
    </cfRule>
  </conditionalFormatting>
  <conditionalFormatting sqref="A1028:A1030">
    <cfRule type="expression" dxfId="745" priority="797" stopIfTrue="1">
      <formula>AND($B1028="Tender Received",$D1028&lt;=(TODAY()+3))</formula>
    </cfRule>
    <cfRule type="expression" dxfId="744" priority="798" stopIfTrue="1">
      <formula>$B1028="Tender Received"</formula>
    </cfRule>
  </conditionalFormatting>
  <conditionalFormatting sqref="B1028:B1030">
    <cfRule type="expression" dxfId="743" priority="795" stopIfTrue="1">
      <formula>AND($B1028="Tender Received",$D1028&lt;=(TODAY()+3))</formula>
    </cfRule>
    <cfRule type="expression" dxfId="742" priority="796" stopIfTrue="1">
      <formula>$B1028="Tender Received"</formula>
    </cfRule>
  </conditionalFormatting>
  <conditionalFormatting sqref="J1029:R1029 B1029:C1029 B1030:R1030 E1029:G1029">
    <cfRule type="expression" dxfId="741" priority="793" stopIfTrue="1">
      <formula>AND($B1029="Tender Received",$D1029&lt;=(TODAY()+3))</formula>
    </cfRule>
    <cfRule type="expression" dxfId="740" priority="794" stopIfTrue="1">
      <formula>$B1029="Tender Received"</formula>
    </cfRule>
  </conditionalFormatting>
  <conditionalFormatting sqref="Q1030">
    <cfRule type="expression" dxfId="739" priority="791" stopIfTrue="1">
      <formula>AND($B1032="Tender Received",$D1032&lt;=(TODAY()+3))</formula>
    </cfRule>
    <cfRule type="expression" dxfId="738" priority="792" stopIfTrue="1">
      <formula>$B1032="Tender Received"</formula>
    </cfRule>
  </conditionalFormatting>
  <conditionalFormatting sqref="H1029:I1029">
    <cfRule type="expression" dxfId="737" priority="789" stopIfTrue="1">
      <formula>AND($B1029="Tender Received",$D1029&lt;=(TODAY()+3))</formula>
    </cfRule>
    <cfRule type="expression" dxfId="736" priority="790" stopIfTrue="1">
      <formula>$B1029="Tender Received"</formula>
    </cfRule>
  </conditionalFormatting>
  <conditionalFormatting sqref="D1029">
    <cfRule type="expression" dxfId="735" priority="787" stopIfTrue="1">
      <formula>AND($B1029="Tender Received",$D1029&lt;=(TODAY()+3))</formula>
    </cfRule>
    <cfRule type="expression" dxfId="734" priority="788" stopIfTrue="1">
      <formula>$B1029="Tender Received"</formula>
    </cfRule>
  </conditionalFormatting>
  <conditionalFormatting sqref="C1031:R1031">
    <cfRule type="expression" dxfId="733" priority="785" stopIfTrue="1">
      <formula>AND($B1031="Tender Received",$D1031&lt;=(TODAY()+3))</formula>
    </cfRule>
    <cfRule type="expression" dxfId="732" priority="786" stopIfTrue="1">
      <formula>$B1031="Tender Received"</formula>
    </cfRule>
  </conditionalFormatting>
  <conditionalFormatting sqref="A1031">
    <cfRule type="expression" dxfId="731" priority="783" stopIfTrue="1">
      <formula>AND($B1031="Tender Received",$D1031&lt;=(TODAY()+3))</formula>
    </cfRule>
    <cfRule type="expression" dxfId="730" priority="784" stopIfTrue="1">
      <formula>$B1031="Tender Received"</formula>
    </cfRule>
  </conditionalFormatting>
  <conditionalFormatting sqref="B1031">
    <cfRule type="expression" dxfId="729" priority="781" stopIfTrue="1">
      <formula>AND($B1031="Tender Received",$D1031&lt;=(TODAY()+3))</formula>
    </cfRule>
    <cfRule type="expression" dxfId="728" priority="782" stopIfTrue="1">
      <formula>$B1031="Tender Received"</formula>
    </cfRule>
  </conditionalFormatting>
  <conditionalFormatting sqref="B1031">
    <cfRule type="expression" dxfId="727" priority="779" stopIfTrue="1">
      <formula>AND($B1031="Tender Received",$D1031&lt;=(TODAY()+3))</formula>
    </cfRule>
    <cfRule type="expression" dxfId="726" priority="780" stopIfTrue="1">
      <formula>$B1031="Tender Received"</formula>
    </cfRule>
  </conditionalFormatting>
  <conditionalFormatting sqref="C1032:R1032">
    <cfRule type="expression" dxfId="725" priority="777" stopIfTrue="1">
      <formula>AND($B1032="Tender Received",$D1032&lt;=(TODAY()+3))</formula>
    </cfRule>
    <cfRule type="expression" dxfId="724" priority="778" stopIfTrue="1">
      <formula>$B1032="Tender Received"</formula>
    </cfRule>
  </conditionalFormatting>
  <conditionalFormatting sqref="A1032:A1046">
    <cfRule type="expression" dxfId="723" priority="775" stopIfTrue="1">
      <formula>AND($B1032="Tender Received",$D1032&lt;=(TODAY()+3))</formula>
    </cfRule>
    <cfRule type="expression" dxfId="722" priority="776" stopIfTrue="1">
      <formula>$B1032="Tender Received"</formula>
    </cfRule>
  </conditionalFormatting>
  <conditionalFormatting sqref="B1032">
    <cfRule type="expression" dxfId="721" priority="773" stopIfTrue="1">
      <formula>AND($B1032="Tender Received",$D1032&lt;=(TODAY()+3))</formula>
    </cfRule>
    <cfRule type="expression" dxfId="720" priority="774" stopIfTrue="1">
      <formula>$B1032="Tender Received"</formula>
    </cfRule>
  </conditionalFormatting>
  <conditionalFormatting sqref="B1032">
    <cfRule type="expression" dxfId="719" priority="771" stopIfTrue="1">
      <formula>AND($B1032="Tender Received",$D1032&lt;=(TODAY()+3))</formula>
    </cfRule>
    <cfRule type="expression" dxfId="718" priority="772" stopIfTrue="1">
      <formula>$B1032="Tender Received"</formula>
    </cfRule>
  </conditionalFormatting>
  <conditionalFormatting sqref="B1032">
    <cfRule type="expression" dxfId="717" priority="769" stopIfTrue="1">
      <formula>AND($B1032="Tender Received",$D1032&lt;=(TODAY()+3))</formula>
    </cfRule>
    <cfRule type="expression" dxfId="716" priority="770" stopIfTrue="1">
      <formula>$B1032="Tender Received"</formula>
    </cfRule>
  </conditionalFormatting>
  <conditionalFormatting sqref="H88">
    <cfRule type="expression" dxfId="715" priority="767" stopIfTrue="1">
      <formula>AND($B88="Tender Received",$D88&lt;=(TODAY()+3))</formula>
    </cfRule>
    <cfRule type="expression" dxfId="714" priority="768" stopIfTrue="1">
      <formula>$B88="Tender Received"</formula>
    </cfRule>
  </conditionalFormatting>
  <conditionalFormatting sqref="H89">
    <cfRule type="expression" dxfId="713" priority="765" stopIfTrue="1">
      <formula>AND($B89="Tender Received",$C89&lt;=(TODAY()+3))</formula>
    </cfRule>
    <cfRule type="expression" dxfId="712" priority="766" stopIfTrue="1">
      <formula>$B89="Tender Received"</formula>
    </cfRule>
  </conditionalFormatting>
  <conditionalFormatting sqref="Q88">
    <cfRule type="expression" dxfId="711" priority="763" stopIfTrue="1">
      <formula>AND($B88="Tender Received",$D88&lt;=(TODAY()+3))</formula>
    </cfRule>
    <cfRule type="expression" dxfId="710" priority="764" stopIfTrue="1">
      <formula>$B88="Tender Received"</formula>
    </cfRule>
  </conditionalFormatting>
  <conditionalFormatting sqref="I89">
    <cfRule type="expression" dxfId="709" priority="761" stopIfTrue="1">
      <formula>AND($B89="Tender Received",$D89&lt;=(TODAY()+3))</formula>
    </cfRule>
    <cfRule type="expression" dxfId="708" priority="762" stopIfTrue="1">
      <formula>$B89="Tender Received"</formula>
    </cfRule>
  </conditionalFormatting>
  <conditionalFormatting sqref="H126:I126">
    <cfRule type="expression" dxfId="707" priority="759" stopIfTrue="1">
      <formula>AND($B126="Tender Received",$D126&lt;=(TODAY()+3))</formula>
    </cfRule>
    <cfRule type="expression" dxfId="706" priority="760" stopIfTrue="1">
      <formula>$B126="Tender Received"</formula>
    </cfRule>
  </conditionalFormatting>
  <conditionalFormatting sqref="Q126">
    <cfRule type="expression" dxfId="705" priority="757" stopIfTrue="1">
      <formula>AND($B126="Tender Received",$D126&lt;=(TODAY()+3))</formula>
    </cfRule>
    <cfRule type="expression" dxfId="704" priority="758" stopIfTrue="1">
      <formula>$B126="Tender Received"</formula>
    </cfRule>
  </conditionalFormatting>
  <conditionalFormatting sqref="H128:I128">
    <cfRule type="expression" dxfId="703" priority="755" stopIfTrue="1">
      <formula>AND($B128="Tender Received",$D128&lt;=(TODAY()+3))</formula>
    </cfRule>
    <cfRule type="expression" dxfId="702" priority="756" stopIfTrue="1">
      <formula>$B128="Tender Received"</formula>
    </cfRule>
  </conditionalFormatting>
  <conditionalFormatting sqref="Q128">
    <cfRule type="expression" dxfId="701" priority="753" stopIfTrue="1">
      <formula>AND($B128="Tender Received",$D128&lt;=(TODAY()+3))</formula>
    </cfRule>
    <cfRule type="expression" dxfId="700" priority="754" stopIfTrue="1">
      <formula>$B128="Tender Received"</formula>
    </cfRule>
  </conditionalFormatting>
  <conditionalFormatting sqref="I1012">
    <cfRule type="expression" dxfId="699" priority="751" stopIfTrue="1">
      <formula>AND($B1012="Tender Received",$D1012&lt;=(TODAY()+3))</formula>
    </cfRule>
    <cfRule type="expression" dxfId="698" priority="752" stopIfTrue="1">
      <formula>$B1012="Tender Received"</formula>
    </cfRule>
  </conditionalFormatting>
  <conditionalFormatting sqref="J1015">
    <cfRule type="expression" dxfId="697" priority="749" stopIfTrue="1">
      <formula>AND($B1015="Tender Received",$D1015&lt;=(TODAY()+3))</formula>
    </cfRule>
    <cfRule type="expression" dxfId="696" priority="750" stopIfTrue="1">
      <formula>$B1015="Tender Received"</formula>
    </cfRule>
  </conditionalFormatting>
  <conditionalFormatting sqref="I1015">
    <cfRule type="expression" dxfId="695" priority="747" stopIfTrue="1">
      <formula>AND($B1015="Tender Received",$D1015&lt;=(TODAY()+3))</formula>
    </cfRule>
    <cfRule type="expression" dxfId="694" priority="748" stopIfTrue="1">
      <formula>$B1015="Tender Received"</formula>
    </cfRule>
  </conditionalFormatting>
  <conditionalFormatting sqref="B1011">
    <cfRule type="expression" dxfId="693" priority="745" stopIfTrue="1">
      <formula>AND($B1011="Tender Received",$D1011&lt;=(TODAY()+3))</formula>
    </cfRule>
    <cfRule type="expression" dxfId="692" priority="746" stopIfTrue="1">
      <formula>$B1011="Tender Received"</formula>
    </cfRule>
  </conditionalFormatting>
  <conditionalFormatting sqref="L1011:M1011 R1011">
    <cfRule type="expression" dxfId="691" priority="743" stopIfTrue="1">
      <formula>AND($B1011="Tender Received",$D1011&lt;=(TODAY()+3))</formula>
    </cfRule>
    <cfRule type="expression" dxfId="690" priority="744" stopIfTrue="1">
      <formula>$B1011="Tender Received"</formula>
    </cfRule>
  </conditionalFormatting>
  <conditionalFormatting sqref="D1011:J1011">
    <cfRule type="expression" dxfId="689" priority="741" stopIfTrue="1">
      <formula>AND($B1011="Tender Received",$D1011&lt;=(TODAY()+3))</formula>
    </cfRule>
    <cfRule type="expression" dxfId="688" priority="742" stopIfTrue="1">
      <formula>$B1011="Tender Received"</formula>
    </cfRule>
  </conditionalFormatting>
  <conditionalFormatting sqref="N1011:P1011">
    <cfRule type="expression" dxfId="687" priority="739" stopIfTrue="1">
      <formula>AND($B1011="Tender Received",$D1011&lt;=(TODAY()+3))</formula>
    </cfRule>
    <cfRule type="expression" dxfId="686" priority="740" stopIfTrue="1">
      <formula>$B1011="Tender Received"</formula>
    </cfRule>
  </conditionalFormatting>
  <conditionalFormatting sqref="C1011">
    <cfRule type="expression" dxfId="685" priority="737" stopIfTrue="1">
      <formula>AND($B1011="Tender Received",$D1011&lt;=(TODAY()+3))</formula>
    </cfRule>
    <cfRule type="expression" dxfId="684" priority="738" stopIfTrue="1">
      <formula>$B1011="Tender Received"</formula>
    </cfRule>
  </conditionalFormatting>
  <conditionalFormatting sqref="K1011">
    <cfRule type="expression" dxfId="683" priority="735" stopIfTrue="1">
      <formula>AND($B1011="Tender Received",$D1011&lt;=(TODAY()+3))</formula>
    </cfRule>
    <cfRule type="expression" dxfId="682" priority="736" stopIfTrue="1">
      <formula>$B1011="Tender Received"</formula>
    </cfRule>
  </conditionalFormatting>
  <conditionalFormatting sqref="Q1011">
    <cfRule type="expression" dxfId="681" priority="733" stopIfTrue="1">
      <formula>AND($B1011="Tender Received",$D1011&lt;=(TODAY()+3))</formula>
    </cfRule>
    <cfRule type="expression" dxfId="680" priority="734" stopIfTrue="1">
      <formula>$B1011="Tender Received"</formula>
    </cfRule>
  </conditionalFormatting>
  <conditionalFormatting sqref="I1018">
    <cfRule type="expression" dxfId="679" priority="731" stopIfTrue="1">
      <formula>AND($B1018="Tender Received",$D1018&lt;=(TODAY()+3))</formula>
    </cfRule>
    <cfRule type="expression" dxfId="678" priority="732" stopIfTrue="1">
      <formula>$B1018="Tender Received"</formula>
    </cfRule>
  </conditionalFormatting>
  <conditionalFormatting sqref="Q1016">
    <cfRule type="expression" dxfId="677" priority="729" stopIfTrue="1">
      <formula>AND($B1016="Tender Received",$D1016&lt;=(TODAY()+3))</formula>
    </cfRule>
    <cfRule type="expression" dxfId="676" priority="730" stopIfTrue="1">
      <formula>$B1016="Tender Received"</formula>
    </cfRule>
  </conditionalFormatting>
  <conditionalFormatting sqref="I1004">
    <cfRule type="expression" dxfId="675" priority="727" stopIfTrue="1">
      <formula>AND($B1004="Tender Received",$D1004&lt;=(TODAY()+3))</formula>
    </cfRule>
    <cfRule type="expression" dxfId="674" priority="728" stopIfTrue="1">
      <formula>$B1004="Tender Received"</formula>
    </cfRule>
  </conditionalFormatting>
  <conditionalFormatting sqref="C1034:C1036 D1037:K1037 D1040:K1041 K1037:K1039 O1034:R1040 D1034:H1035 D1036:F1036 H1036 J1034:K1036 D1038:H1039 J1039:K1039 B1034:B1042 O1041:P1042 D1043:H1043 D1042:G1042 R1041:R1042 J1042:K1043">
    <cfRule type="expression" dxfId="673" priority="725" stopIfTrue="1">
      <formula>AND($B1034="Tender Received",$D1034&lt;=(TODAY()+3))</formula>
    </cfRule>
    <cfRule type="expression" dxfId="672" priority="726" stopIfTrue="1">
      <formula>$B1034="Tender Received"</formula>
    </cfRule>
  </conditionalFormatting>
  <conditionalFormatting sqref="I1040">
    <cfRule type="expression" dxfId="671" priority="721" stopIfTrue="1">
      <formula>AND($B1040="Tender Received",$D1040&lt;=(TODAY()+3))</formula>
    </cfRule>
    <cfRule type="expression" dxfId="670" priority="722" stopIfTrue="1">
      <formula>$B1040="Tender Received"</formula>
    </cfRule>
  </conditionalFormatting>
  <conditionalFormatting sqref="M1034:N1042">
    <cfRule type="expression" dxfId="669" priority="719" stopIfTrue="1">
      <formula>AND($B1034="Tender Received",$D1034&lt;=(TODAY()+3))</formula>
    </cfRule>
    <cfRule type="expression" dxfId="668" priority="720" stopIfTrue="1">
      <formula>$B1034="Tender Received"</formula>
    </cfRule>
  </conditionalFormatting>
  <conditionalFormatting sqref="L1038">
    <cfRule type="expression" dxfId="667" priority="717" stopIfTrue="1">
      <formula>AND($B1038="Tender Received",$D1038&lt;=(TODAY()+3))</formula>
    </cfRule>
    <cfRule type="expression" dxfId="666" priority="718" stopIfTrue="1">
      <formula>$B1038="Tender Received"</formula>
    </cfRule>
  </conditionalFormatting>
  <conditionalFormatting sqref="L1041">
    <cfRule type="expression" dxfId="665" priority="713" stopIfTrue="1">
      <formula>AND($B1041="Tender Received",$D1041&lt;=(TODAY()+3))</formula>
    </cfRule>
    <cfRule type="expression" dxfId="664" priority="714" stopIfTrue="1">
      <formula>$B1041="Tender Received"</formula>
    </cfRule>
  </conditionalFormatting>
  <conditionalFormatting sqref="C1034:C1043">
    <cfRule type="expression" dxfId="663" priority="711" stopIfTrue="1">
      <formula>AND($B1034="Tender Received",$D1034&lt;=(TODAY()+3))</formula>
    </cfRule>
    <cfRule type="expression" dxfId="662" priority="712" stopIfTrue="1">
      <formula>$B1034="Tender Received"</formula>
    </cfRule>
  </conditionalFormatting>
  <conditionalFormatting sqref="I1037">
    <cfRule type="expression" dxfId="661" priority="709" stopIfTrue="1">
      <formula>AND($B1037="Tender Received",$D1037&lt;=(TODAY()+3))</formula>
    </cfRule>
    <cfRule type="expression" dxfId="660" priority="710" stopIfTrue="1">
      <formula>$B1037="Tender Received"</formula>
    </cfRule>
  </conditionalFormatting>
  <conditionalFormatting sqref="O1040:R1040 C1045:R1045 D1040:G1042 H1040:K1041 M1041:P1043 H1043 J1042:K1043 B1042:G1043 J1044:P1044 C1044:G1044 R1041:R1044">
    <cfRule type="expression" dxfId="659" priority="707" stopIfTrue="1">
      <formula>AND($B1040="Tender Received",$D1040&lt;=(TODAY()+3))</formula>
    </cfRule>
    <cfRule type="expression" dxfId="658" priority="708" stopIfTrue="1">
      <formula>$B1040="Tender Received"</formula>
    </cfRule>
  </conditionalFormatting>
  <conditionalFormatting sqref="M1042:N1042">
    <cfRule type="expression" dxfId="657" priority="705" stopIfTrue="1">
      <formula>AND($B1042="Tender Received",$D1042&lt;=(TODAY()+3))</formula>
    </cfRule>
    <cfRule type="expression" dxfId="656" priority="706" stopIfTrue="1">
      <formula>$B1042="Tender Received"</formula>
    </cfRule>
  </conditionalFormatting>
  <conditionalFormatting sqref="L1044">
    <cfRule type="expression" dxfId="655" priority="703" stopIfTrue="1">
      <formula>AND($B1044="Tender Received",$D1044&lt;=(TODAY()+3))</formula>
    </cfRule>
    <cfRule type="expression" dxfId="654" priority="704" stopIfTrue="1">
      <formula>$B1044="Tender Received"</formula>
    </cfRule>
  </conditionalFormatting>
  <conditionalFormatting sqref="L1042">
    <cfRule type="expression" dxfId="653" priority="701" stopIfTrue="1">
      <formula>AND($B1042="Tender Received",$D1042&lt;=(TODAY()+3))</formula>
    </cfRule>
    <cfRule type="expression" dxfId="652" priority="702" stopIfTrue="1">
      <formula>$B1042="Tender Received"</formula>
    </cfRule>
  </conditionalFormatting>
  <conditionalFormatting sqref="C1042">
    <cfRule type="expression" dxfId="651" priority="699" stopIfTrue="1">
      <formula>AND($B1042="Tender Received",$D1042&lt;=(TODAY()+3))</formula>
    </cfRule>
    <cfRule type="expression" dxfId="650" priority="700" stopIfTrue="1">
      <formula>$B1042="Tender Received"</formula>
    </cfRule>
  </conditionalFormatting>
  <conditionalFormatting sqref="L1034">
    <cfRule type="expression" dxfId="649" priority="697" stopIfTrue="1">
      <formula>AND($B1034="Tender Received",$D1034&lt;=(TODAY()+3))</formula>
    </cfRule>
    <cfRule type="expression" dxfId="648" priority="698" stopIfTrue="1">
      <formula>$B1034="Tender Received"</formula>
    </cfRule>
  </conditionalFormatting>
  <conditionalFormatting sqref="L1037">
    <cfRule type="expression" dxfId="647" priority="695" stopIfTrue="1">
      <formula>AND($B1037="Tender Received",$D1037&lt;=(TODAY()+3))</formula>
    </cfRule>
    <cfRule type="expression" dxfId="646" priority="696" stopIfTrue="1">
      <formula>$B1037="Tender Received"</formula>
    </cfRule>
  </conditionalFormatting>
  <conditionalFormatting sqref="L1036">
    <cfRule type="expression" dxfId="645" priority="693" stopIfTrue="1">
      <formula>AND($B1036="Tender Received",$D1036&lt;=(TODAY()+3))</formula>
    </cfRule>
    <cfRule type="expression" dxfId="644" priority="694" stopIfTrue="1">
      <formula>$B1036="Tender Received"</formula>
    </cfRule>
  </conditionalFormatting>
  <conditionalFormatting sqref="L1035">
    <cfRule type="expression" dxfId="643" priority="691" stopIfTrue="1">
      <formula>AND($B1035="Tender Received",$D1035&lt;=(TODAY()+3))</formula>
    </cfRule>
    <cfRule type="expression" dxfId="642" priority="692" stopIfTrue="1">
      <formula>$B1035="Tender Received"</formula>
    </cfRule>
  </conditionalFormatting>
  <conditionalFormatting sqref="L1039">
    <cfRule type="expression" dxfId="641" priority="689" stopIfTrue="1">
      <formula>AND($B1039="Tender Received",$D1039&lt;=(TODAY()+3))</formula>
    </cfRule>
    <cfRule type="expression" dxfId="640" priority="690" stopIfTrue="1">
      <formula>$B1039="Tender Received"</formula>
    </cfRule>
  </conditionalFormatting>
  <conditionalFormatting sqref="L1036">
    <cfRule type="expression" dxfId="639" priority="685" stopIfTrue="1">
      <formula>AND($B1036="Tender Received",$D1036&lt;=(TODAY()+3))</formula>
    </cfRule>
    <cfRule type="expression" dxfId="638" priority="686" stopIfTrue="1">
      <formula>$B1036="Tender Received"</formula>
    </cfRule>
  </conditionalFormatting>
  <conditionalFormatting sqref="L1039">
    <cfRule type="expression" dxfId="637" priority="683" stopIfTrue="1">
      <formula>AND($B1039="Tender Received",$D1039&lt;=(TODAY()+3))</formula>
    </cfRule>
    <cfRule type="expression" dxfId="636" priority="684" stopIfTrue="1">
      <formula>$B1039="Tender Received"</formula>
    </cfRule>
  </conditionalFormatting>
  <conditionalFormatting sqref="M1040:N1040">
    <cfRule type="expression" dxfId="635" priority="679" stopIfTrue="1">
      <formula>AND($B1040="Tender Received",$D1040&lt;=(TODAY()+3))</formula>
    </cfRule>
    <cfRule type="expression" dxfId="634" priority="680" stopIfTrue="1">
      <formula>$B1040="Tender Received"</formula>
    </cfRule>
  </conditionalFormatting>
  <conditionalFormatting sqref="L1042">
    <cfRule type="expression" dxfId="633" priority="677" stopIfTrue="1">
      <formula>AND($B1042="Tender Received",$D1042&lt;=(TODAY()+3))</formula>
    </cfRule>
    <cfRule type="expression" dxfId="632" priority="678" stopIfTrue="1">
      <formula>$B1042="Tender Received"</formula>
    </cfRule>
  </conditionalFormatting>
  <conditionalFormatting sqref="C1040:C1043">
    <cfRule type="expression" dxfId="631" priority="675" stopIfTrue="1">
      <formula>AND($B1040="Tender Received",$D1040&lt;=(TODAY()+3))</formula>
    </cfRule>
    <cfRule type="expression" dxfId="630" priority="676" stopIfTrue="1">
      <formula>$B1040="Tender Received"</formula>
    </cfRule>
  </conditionalFormatting>
  <conditionalFormatting sqref="L1035">
    <cfRule type="expression" dxfId="629" priority="673" stopIfTrue="1">
      <formula>AND($B1035="Tender Received",$D1035&lt;=(TODAY()+3))</formula>
    </cfRule>
    <cfRule type="expression" dxfId="628" priority="674" stopIfTrue="1">
      <formula>$B1035="Tender Received"</formula>
    </cfRule>
  </conditionalFormatting>
  <conditionalFormatting sqref="L1034">
    <cfRule type="expression" dxfId="627" priority="671" stopIfTrue="1">
      <formula>AND($B1034="Tender Received",$D1034&lt;=(TODAY()+3))</formula>
    </cfRule>
    <cfRule type="expression" dxfId="626" priority="672" stopIfTrue="1">
      <formula>$B1034="Tender Received"</formula>
    </cfRule>
  </conditionalFormatting>
  <conditionalFormatting sqref="L1038">
    <cfRule type="expression" dxfId="625" priority="669" stopIfTrue="1">
      <formula>AND($B1038="Tender Received",$D1038&lt;=(TODAY()+3))</formula>
    </cfRule>
    <cfRule type="expression" dxfId="624" priority="670" stopIfTrue="1">
      <formula>$B1038="Tender Received"</formula>
    </cfRule>
  </conditionalFormatting>
  <conditionalFormatting sqref="L1037">
    <cfRule type="expression" dxfId="623" priority="665" stopIfTrue="1">
      <formula>AND($B1037="Tender Received",$D1037&lt;=(TODAY()+3))</formula>
    </cfRule>
    <cfRule type="expression" dxfId="622" priority="666" stopIfTrue="1">
      <formula>$B1037="Tender Received"</formula>
    </cfRule>
  </conditionalFormatting>
  <conditionalFormatting sqref="L1041">
    <cfRule type="expression" dxfId="621" priority="663" stopIfTrue="1">
      <formula>AND($B1041="Tender Received",$D1041&lt;=(TODAY()+3))</formula>
    </cfRule>
    <cfRule type="expression" dxfId="620" priority="664" stopIfTrue="1">
      <formula>$B1041="Tender Received"</formula>
    </cfRule>
  </conditionalFormatting>
  <conditionalFormatting sqref="C1045:H1045 J1045:K1045 M1045:P1045 R1045">
    <cfRule type="expression" dxfId="619" priority="661" stopIfTrue="1">
      <formula>AND($B1045="Tender Received",$D1045&lt;=(TODAY()+3))</formula>
    </cfRule>
    <cfRule type="expression" dxfId="618" priority="662" stopIfTrue="1">
      <formula>$B1045="Tender Received"</formula>
    </cfRule>
  </conditionalFormatting>
  <conditionalFormatting sqref="L1045">
    <cfRule type="expression" dxfId="617" priority="659" stopIfTrue="1">
      <formula>AND($B1045="Tender Received",$D1045&lt;=(TODAY()+3))</formula>
    </cfRule>
    <cfRule type="expression" dxfId="616" priority="660" stopIfTrue="1">
      <formula>$B1045="Tender Received"</formula>
    </cfRule>
  </conditionalFormatting>
  <conditionalFormatting sqref="I1045">
    <cfRule type="expression" dxfId="615" priority="657" stopIfTrue="1">
      <formula>AND($B1045="Tender Received",$D1045&lt;=(TODAY()+3))</formula>
    </cfRule>
    <cfRule type="expression" dxfId="614" priority="658" stopIfTrue="1">
      <formula>$B1045="Tender Received"</formula>
    </cfRule>
  </conditionalFormatting>
  <conditionalFormatting sqref="J1046:M1046 C1046:G1046 R1046">
    <cfRule type="expression" dxfId="613" priority="655" stopIfTrue="1">
      <formula>AND($B1046="Tender Received",$D1046&lt;=(TODAY()+3))</formula>
    </cfRule>
    <cfRule type="expression" dxfId="612" priority="656" stopIfTrue="1">
      <formula>$B1046="Tender Received"</formula>
    </cfRule>
  </conditionalFormatting>
  <conditionalFormatting sqref="I1046">
    <cfRule type="expression" dxfId="611" priority="653" stopIfTrue="1">
      <formula>AND($B1046="Tender Received",$D1046&lt;=(TODAY()+3))</formula>
    </cfRule>
    <cfRule type="expression" dxfId="610" priority="654" stopIfTrue="1">
      <formula>$B1046="Tender Received"</formula>
    </cfRule>
  </conditionalFormatting>
  <conditionalFormatting sqref="N1046:P1046">
    <cfRule type="expression" dxfId="609" priority="651" stopIfTrue="1">
      <formula>AND($B1046="Tender Received",$D1046&lt;=(TODAY()+3))</formula>
    </cfRule>
    <cfRule type="expression" dxfId="608" priority="652" stopIfTrue="1">
      <formula>$B1046="Tender Received"</formula>
    </cfRule>
  </conditionalFormatting>
  <conditionalFormatting sqref="J1037">
    <cfRule type="expression" dxfId="607" priority="649" stopIfTrue="1">
      <formula>AND($B1037="Tender Received",$D1037&lt;=(TODAY()+3))</formula>
    </cfRule>
    <cfRule type="expression" dxfId="606" priority="650" stopIfTrue="1">
      <formula>$B1037="Tender Received"</formula>
    </cfRule>
  </conditionalFormatting>
  <conditionalFormatting sqref="C1039">
    <cfRule type="expression" dxfId="605" priority="647" stopIfTrue="1">
      <formula>AND($B1039="Tender Received",$D1039&lt;=(TODAY()+3))</formula>
    </cfRule>
    <cfRule type="expression" dxfId="604" priority="648" stopIfTrue="1">
      <formula>$B1039="Tender Received"</formula>
    </cfRule>
  </conditionalFormatting>
  <conditionalFormatting sqref="L1040">
    <cfRule type="expression" dxfId="603" priority="641" stopIfTrue="1">
      <formula>AND($B1040="Tender Received",$D1040&lt;=(TODAY()+3))</formula>
    </cfRule>
    <cfRule type="expression" dxfId="602" priority="642" stopIfTrue="1">
      <formula>$B1040="Tender Received"</formula>
    </cfRule>
  </conditionalFormatting>
  <conditionalFormatting sqref="L1040">
    <cfRule type="expression" dxfId="601" priority="639" stopIfTrue="1">
      <formula>AND($B1040="Tender Received",$D1040&lt;=(TODAY()+3))</formula>
    </cfRule>
    <cfRule type="expression" dxfId="600" priority="640" stopIfTrue="1">
      <formula>$B1040="Tender Received"</formula>
    </cfRule>
  </conditionalFormatting>
  <conditionalFormatting sqref="Q1035">
    <cfRule type="expression" dxfId="599" priority="637" stopIfTrue="1">
      <formula>AND($B1035="Tender Received",$D1035&lt;=(TODAY()+3))</formula>
    </cfRule>
    <cfRule type="expression" dxfId="598" priority="638" stopIfTrue="1">
      <formula>$B1035="Tender Received"</formula>
    </cfRule>
  </conditionalFormatting>
  <conditionalFormatting sqref="C1044:G1044 J1044:K1044 M1044:P1044 R1044">
    <cfRule type="expression" dxfId="597" priority="635" stopIfTrue="1">
      <formula>AND($B1044="Tender Received",$D1044&lt;=(TODAY()+3))</formula>
    </cfRule>
    <cfRule type="expression" dxfId="596" priority="636" stopIfTrue="1">
      <formula>$B1044="Tender Received"</formula>
    </cfRule>
  </conditionalFormatting>
  <conditionalFormatting sqref="L1044">
    <cfRule type="expression" dxfId="595" priority="633" stopIfTrue="1">
      <formula>AND($B1044="Tender Received",$D1044&lt;=(TODAY()+3))</formula>
    </cfRule>
    <cfRule type="expression" dxfId="594" priority="634" stopIfTrue="1">
      <formula>$B1044="Tender Received"</formula>
    </cfRule>
  </conditionalFormatting>
  <conditionalFormatting sqref="J1045:M1045 C1045:G1045 R1045">
    <cfRule type="expression" dxfId="593" priority="629" stopIfTrue="1">
      <formula>AND($B1045="Tender Received",$D1045&lt;=(TODAY()+3))</formula>
    </cfRule>
    <cfRule type="expression" dxfId="592" priority="630" stopIfTrue="1">
      <formula>$B1045="Tender Received"</formula>
    </cfRule>
  </conditionalFormatting>
  <conditionalFormatting sqref="I1045">
    <cfRule type="expression" dxfId="591" priority="627" stopIfTrue="1">
      <formula>AND($B1045="Tender Received",$D1045&lt;=(TODAY()+3))</formula>
    </cfRule>
    <cfRule type="expression" dxfId="590" priority="628" stopIfTrue="1">
      <formula>$B1045="Tender Received"</formula>
    </cfRule>
  </conditionalFormatting>
  <conditionalFormatting sqref="N1045:P1045">
    <cfRule type="expression" dxfId="589" priority="625" stopIfTrue="1">
      <formula>AND($B1045="Tender Received",$D1045&lt;=(TODAY()+3))</formula>
    </cfRule>
    <cfRule type="expression" dxfId="588" priority="626" stopIfTrue="1">
      <formula>$B1045="Tender Received"</formula>
    </cfRule>
  </conditionalFormatting>
  <conditionalFormatting sqref="H1045">
    <cfRule type="expression" dxfId="587" priority="623" stopIfTrue="1">
      <formula>AND($B1045="Tender Received",$D1045&lt;=(TODAY()+3))</formula>
    </cfRule>
    <cfRule type="expression" dxfId="586" priority="624" stopIfTrue="1">
      <formula>$B1045="Tender Received"</formula>
    </cfRule>
  </conditionalFormatting>
  <conditionalFormatting sqref="E1037">
    <cfRule type="expression" dxfId="585" priority="621" stopIfTrue="1">
      <formula>AND($B1037="Tender Received",$D1037&lt;=(TODAY()+3))</formula>
    </cfRule>
    <cfRule type="expression" dxfId="584" priority="622" stopIfTrue="1">
      <formula>$B1037="Tender Received"</formula>
    </cfRule>
  </conditionalFormatting>
  <conditionalFormatting sqref="Q1045">
    <cfRule type="expression" dxfId="583" priority="619" stopIfTrue="1">
      <formula>AND($B1045="Tender Received",$D1045&lt;=(TODAY()+3))</formula>
    </cfRule>
    <cfRule type="expression" dxfId="582" priority="620" stopIfTrue="1">
      <formula>$B1045="Tender Received"</formula>
    </cfRule>
  </conditionalFormatting>
  <conditionalFormatting sqref="Q1045">
    <cfRule type="expression" dxfId="581" priority="617" stopIfTrue="1">
      <formula>AND($B1045="Tender Received",$D1045&lt;=(TODAY()+3))</formula>
    </cfRule>
    <cfRule type="expression" dxfId="580" priority="618" stopIfTrue="1">
      <formula>$B1045="Tender Received"</formula>
    </cfRule>
  </conditionalFormatting>
  <conditionalFormatting sqref="J1038">
    <cfRule type="expression" dxfId="579" priority="615" stopIfTrue="1">
      <formula>AND($B1038="Tender Received",$D1038&lt;=(TODAY()+3))</formula>
    </cfRule>
    <cfRule type="expression" dxfId="578" priority="616" stopIfTrue="1">
      <formula>$B1038="Tender Received"</formula>
    </cfRule>
  </conditionalFormatting>
  <conditionalFormatting sqref="I1041">
    <cfRule type="expression" dxfId="577" priority="613" stopIfTrue="1">
      <formula>AND($B1041="Tender Received",$D1041&lt;=(TODAY()+3))</formula>
    </cfRule>
    <cfRule type="expression" dxfId="576" priority="614" stopIfTrue="1">
      <formula>$B1041="Tender Received"</formula>
    </cfRule>
  </conditionalFormatting>
  <conditionalFormatting sqref="C1040">
    <cfRule type="expression" dxfId="575" priority="609" stopIfTrue="1">
      <formula>AND($B1040="Tender Received",$D1040&lt;=(TODAY()+3))</formula>
    </cfRule>
    <cfRule type="expression" dxfId="574" priority="610" stopIfTrue="1">
      <formula>$B1040="Tender Received"</formula>
    </cfRule>
  </conditionalFormatting>
  <conditionalFormatting sqref="J1039">
    <cfRule type="expression" dxfId="573" priority="607" stopIfTrue="1">
      <formula>AND($B1039="Tender Received",$D1039&lt;=(TODAY()+3))</formula>
    </cfRule>
    <cfRule type="expression" dxfId="572" priority="608" stopIfTrue="1">
      <formula>$B1039="Tender Received"</formula>
    </cfRule>
  </conditionalFormatting>
  <conditionalFormatting sqref="H1046">
    <cfRule type="expression" dxfId="571" priority="605" stopIfTrue="1">
      <formula>AND($B1046="Tender Received",$D1046&lt;=(TODAY()+3))</formula>
    </cfRule>
    <cfRule type="expression" dxfId="570" priority="606" stopIfTrue="1">
      <formula>$B1046="Tender Received"</formula>
    </cfRule>
  </conditionalFormatting>
  <conditionalFormatting sqref="Q1046">
    <cfRule type="expression" dxfId="569" priority="601" stopIfTrue="1">
      <formula>AND($B1046="Tender Received",$D1046&lt;=(TODAY()+3))</formula>
    </cfRule>
    <cfRule type="expression" dxfId="568" priority="602" stopIfTrue="1">
      <formula>$B1046="Tender Received"</formula>
    </cfRule>
  </conditionalFormatting>
  <conditionalFormatting sqref="B1043:H1043 M1043 J1043:K1043">
    <cfRule type="expression" dxfId="567" priority="597" stopIfTrue="1">
      <formula>AND($B1043="Tender Received",$D1043&lt;=(TODAY()+3))</formula>
    </cfRule>
    <cfRule type="expression" dxfId="566" priority="598" stopIfTrue="1">
      <formula>$B1043="Tender Received"</formula>
    </cfRule>
  </conditionalFormatting>
  <conditionalFormatting sqref="C1043">
    <cfRule type="expression" dxfId="565" priority="595" stopIfTrue="1">
      <formula>AND($B1043="Tender Received",$D1043&lt;=(TODAY()+3))</formula>
    </cfRule>
    <cfRule type="expression" dxfId="564" priority="596" stopIfTrue="1">
      <formula>$B1043="Tender Received"</formula>
    </cfRule>
  </conditionalFormatting>
  <conditionalFormatting sqref="L1043">
    <cfRule type="expression" dxfId="563" priority="593" stopIfTrue="1">
      <formula>AND($B1043="Tender Received",$D1043&lt;=(TODAY()+3))</formula>
    </cfRule>
    <cfRule type="expression" dxfId="562" priority="594" stopIfTrue="1">
      <formula>$B1043="Tender Received"</formula>
    </cfRule>
  </conditionalFormatting>
  <conditionalFormatting sqref="L1043">
    <cfRule type="expression" dxfId="561" priority="591" stopIfTrue="1">
      <formula>AND($B1043="Tender Received",$D1043&lt;=(TODAY()+3))</formula>
    </cfRule>
    <cfRule type="expression" dxfId="560" priority="592" stopIfTrue="1">
      <formula>$B1043="Tender Received"</formula>
    </cfRule>
  </conditionalFormatting>
  <conditionalFormatting sqref="N1043:P1043 R1043">
    <cfRule type="expression" dxfId="559" priority="589" stopIfTrue="1">
      <formula>AND($B1043="Tender Received",$D1043&lt;=(TODAY()+3))</formula>
    </cfRule>
    <cfRule type="expression" dxfId="558" priority="590" stopIfTrue="1">
      <formula>$B1043="Tender Received"</formula>
    </cfRule>
  </conditionalFormatting>
  <conditionalFormatting sqref="N1043">
    <cfRule type="expression" dxfId="557" priority="587" stopIfTrue="1">
      <formula>AND($B1043="Tender Received",$D1043&lt;=(TODAY()+3))</formula>
    </cfRule>
    <cfRule type="expression" dxfId="556" priority="588" stopIfTrue="1">
      <formula>$B1043="Tender Received"</formula>
    </cfRule>
  </conditionalFormatting>
  <conditionalFormatting sqref="Q1043">
    <cfRule type="expression" dxfId="555" priority="585" stopIfTrue="1">
      <formula>AND($B1043="Tender Received",$D1043&lt;=(TODAY()+3))</formula>
    </cfRule>
    <cfRule type="expression" dxfId="554" priority="586" stopIfTrue="1">
      <formula>$B1043="Tender Received"</formula>
    </cfRule>
  </conditionalFormatting>
  <conditionalFormatting sqref="O1037:P1037">
    <cfRule type="expression" dxfId="553" priority="579" stopIfTrue="1">
      <formula>AND($B1037="Tender Received",$D1037&lt;=(TODAY()+3))</formula>
    </cfRule>
    <cfRule type="expression" dxfId="552" priority="580" stopIfTrue="1">
      <formula>$B1037="Tender Received"</formula>
    </cfRule>
  </conditionalFormatting>
  <conditionalFormatting sqref="N1037">
    <cfRule type="expression" dxfId="551" priority="577" stopIfTrue="1">
      <formula>AND($B1037="Tender Received",$D1037&lt;=(TODAY()+3))</formula>
    </cfRule>
    <cfRule type="expression" dxfId="550" priority="578" stopIfTrue="1">
      <formula>$B1037="Tender Received"</formula>
    </cfRule>
  </conditionalFormatting>
  <conditionalFormatting sqref="H1021">
    <cfRule type="expression" dxfId="549" priority="575" stopIfTrue="1">
      <formula>AND($B1021="Tender Received",$D1021&lt;=(TODAY()+3))</formula>
    </cfRule>
    <cfRule type="expression" dxfId="548" priority="576" stopIfTrue="1">
      <formula>$B1021="Tender Received"</formula>
    </cfRule>
  </conditionalFormatting>
  <conditionalFormatting sqref="I1037">
    <cfRule type="expression" dxfId="547" priority="573" stopIfTrue="1">
      <formula>AND($B1037="Tender Received",$D1037&lt;=(TODAY()+3))</formula>
    </cfRule>
    <cfRule type="expression" dxfId="546" priority="574" stopIfTrue="1">
      <formula>$B1037="Tender Received"</formula>
    </cfRule>
  </conditionalFormatting>
  <conditionalFormatting sqref="I1041">
    <cfRule type="expression" dxfId="545" priority="571" stopIfTrue="1">
      <formula>AND($B1041="Tender Received",$D1041&lt;=(TODAY()+3))</formula>
    </cfRule>
    <cfRule type="expression" dxfId="544" priority="572" stopIfTrue="1">
      <formula>$B1041="Tender Received"</formula>
    </cfRule>
  </conditionalFormatting>
  <conditionalFormatting sqref="L1039">
    <cfRule type="expression" dxfId="543" priority="569" stopIfTrue="1">
      <formula>AND($B1039="Tender Received",$D1039&lt;=(TODAY()+3))</formula>
    </cfRule>
    <cfRule type="expression" dxfId="542" priority="570" stopIfTrue="1">
      <formula>$B1039="Tender Received"</formula>
    </cfRule>
  </conditionalFormatting>
  <conditionalFormatting sqref="L1034">
    <cfRule type="expression" dxfId="541" priority="567" stopIfTrue="1">
      <formula>AND($B1034="Tender Received",$D1034&lt;=(TODAY()+3))</formula>
    </cfRule>
    <cfRule type="expression" dxfId="540" priority="568" stopIfTrue="1">
      <formula>$B1034="Tender Received"</formula>
    </cfRule>
  </conditionalFormatting>
  <conditionalFormatting sqref="L1042">
    <cfRule type="expression" dxfId="539" priority="565" stopIfTrue="1">
      <formula>AND($B1042="Tender Received",$D1042&lt;=(TODAY()+3))</formula>
    </cfRule>
    <cfRule type="expression" dxfId="538" priority="566" stopIfTrue="1">
      <formula>$B1042="Tender Received"</formula>
    </cfRule>
  </conditionalFormatting>
  <conditionalFormatting sqref="M1043:N1043">
    <cfRule type="expression" dxfId="537" priority="561" stopIfTrue="1">
      <formula>AND($B1043="Tender Received",$D1043&lt;=(TODAY()+3))</formula>
    </cfRule>
    <cfRule type="expression" dxfId="536" priority="562" stopIfTrue="1">
      <formula>$B1043="Tender Received"</formula>
    </cfRule>
  </conditionalFormatting>
  <conditionalFormatting sqref="L1045">
    <cfRule type="expression" dxfId="535" priority="559" stopIfTrue="1">
      <formula>AND($B1045="Tender Received",$D1045&lt;=(TODAY()+3))</formula>
    </cfRule>
    <cfRule type="expression" dxfId="534" priority="560" stopIfTrue="1">
      <formula>$B1045="Tender Received"</formula>
    </cfRule>
  </conditionalFormatting>
  <conditionalFormatting sqref="L1043">
    <cfRule type="expression" dxfId="533" priority="557" stopIfTrue="1">
      <formula>AND($B1043="Tender Received",$D1043&lt;=(TODAY()+3))</formula>
    </cfRule>
    <cfRule type="expression" dxfId="532" priority="558" stopIfTrue="1">
      <formula>$B1043="Tender Received"</formula>
    </cfRule>
  </conditionalFormatting>
  <conditionalFormatting sqref="C1043">
    <cfRule type="expression" dxfId="531" priority="555" stopIfTrue="1">
      <formula>AND($B1043="Tender Received",$D1043&lt;=(TODAY()+3))</formula>
    </cfRule>
    <cfRule type="expression" dxfId="530" priority="556" stopIfTrue="1">
      <formula>$B1043="Tender Received"</formula>
    </cfRule>
  </conditionalFormatting>
  <conditionalFormatting sqref="L1035">
    <cfRule type="expression" dxfId="529" priority="553" stopIfTrue="1">
      <formula>AND($B1035="Tender Received",$D1035&lt;=(TODAY()+3))</formula>
    </cfRule>
    <cfRule type="expression" dxfId="528" priority="554" stopIfTrue="1">
      <formula>$B1035="Tender Received"</formula>
    </cfRule>
  </conditionalFormatting>
  <conditionalFormatting sqref="L1038">
    <cfRule type="expression" dxfId="527" priority="551" stopIfTrue="1">
      <formula>AND($B1038="Tender Received",$D1038&lt;=(TODAY()+3))</formula>
    </cfRule>
    <cfRule type="expression" dxfId="526" priority="552" stopIfTrue="1">
      <formula>$B1038="Tender Received"</formula>
    </cfRule>
  </conditionalFormatting>
  <conditionalFormatting sqref="L1037">
    <cfRule type="expression" dxfId="525" priority="549" stopIfTrue="1">
      <formula>AND($B1037="Tender Received",$D1037&lt;=(TODAY()+3))</formula>
    </cfRule>
    <cfRule type="expression" dxfId="524" priority="550" stopIfTrue="1">
      <formula>$B1037="Tender Received"</formula>
    </cfRule>
  </conditionalFormatting>
  <conditionalFormatting sqref="L1036">
    <cfRule type="expression" dxfId="523" priority="547" stopIfTrue="1">
      <formula>AND($B1036="Tender Received",$D1036&lt;=(TODAY()+3))</formula>
    </cfRule>
    <cfRule type="expression" dxfId="522" priority="548" stopIfTrue="1">
      <formula>$B1036="Tender Received"</formula>
    </cfRule>
  </conditionalFormatting>
  <conditionalFormatting sqref="L1040">
    <cfRule type="expression" dxfId="521" priority="545" stopIfTrue="1">
      <formula>AND($B1040="Tender Received",$D1040&lt;=(TODAY()+3))</formula>
    </cfRule>
    <cfRule type="expression" dxfId="520" priority="546" stopIfTrue="1">
      <formula>$B1040="Tender Received"</formula>
    </cfRule>
  </conditionalFormatting>
  <conditionalFormatting sqref="L1037">
    <cfRule type="expression" dxfId="519" priority="541" stopIfTrue="1">
      <formula>AND($B1037="Tender Received",$D1037&lt;=(TODAY()+3))</formula>
    </cfRule>
    <cfRule type="expression" dxfId="518" priority="542" stopIfTrue="1">
      <formula>$B1037="Tender Received"</formula>
    </cfRule>
  </conditionalFormatting>
  <conditionalFormatting sqref="L1040">
    <cfRule type="expression" dxfId="517" priority="539" stopIfTrue="1">
      <formula>AND($B1040="Tender Received",$D1040&lt;=(TODAY()+3))</formula>
    </cfRule>
    <cfRule type="expression" dxfId="516" priority="540" stopIfTrue="1">
      <formula>$B1040="Tender Received"</formula>
    </cfRule>
  </conditionalFormatting>
  <conditionalFormatting sqref="M1041:N1041">
    <cfRule type="expression" dxfId="515" priority="535" stopIfTrue="1">
      <formula>AND($B1041="Tender Received",$D1041&lt;=(TODAY()+3))</formula>
    </cfRule>
    <cfRule type="expression" dxfId="514" priority="536" stopIfTrue="1">
      <formula>$B1041="Tender Received"</formula>
    </cfRule>
  </conditionalFormatting>
  <conditionalFormatting sqref="L1043">
    <cfRule type="expression" dxfId="513" priority="533" stopIfTrue="1">
      <formula>AND($B1043="Tender Received",$D1043&lt;=(TODAY()+3))</formula>
    </cfRule>
    <cfRule type="expression" dxfId="512" priority="534" stopIfTrue="1">
      <formula>$B1043="Tender Received"</formula>
    </cfRule>
  </conditionalFormatting>
  <conditionalFormatting sqref="L1036">
    <cfRule type="expression" dxfId="511" priority="531" stopIfTrue="1">
      <formula>AND($B1036="Tender Received",$D1036&lt;=(TODAY()+3))</formula>
    </cfRule>
    <cfRule type="expression" dxfId="510" priority="532" stopIfTrue="1">
      <formula>$B1036="Tender Received"</formula>
    </cfRule>
  </conditionalFormatting>
  <conditionalFormatting sqref="L1035">
    <cfRule type="expression" dxfId="509" priority="529" stopIfTrue="1">
      <formula>AND($B1035="Tender Received",$D1035&lt;=(TODAY()+3))</formula>
    </cfRule>
    <cfRule type="expression" dxfId="508" priority="530" stopIfTrue="1">
      <formula>$B1035="Tender Received"</formula>
    </cfRule>
  </conditionalFormatting>
  <conditionalFormatting sqref="L1039">
    <cfRule type="expression" dxfId="507" priority="527" stopIfTrue="1">
      <formula>AND($B1039="Tender Received",$D1039&lt;=(TODAY()+3))</formula>
    </cfRule>
    <cfRule type="expression" dxfId="506" priority="528" stopIfTrue="1">
      <formula>$B1039="Tender Received"</formula>
    </cfRule>
  </conditionalFormatting>
  <conditionalFormatting sqref="L1034">
    <cfRule type="expression" dxfId="505" priority="525" stopIfTrue="1">
      <formula>AND($B1034="Tender Received",$D1034&lt;=(TODAY()+3))</formula>
    </cfRule>
    <cfRule type="expression" dxfId="504" priority="526" stopIfTrue="1">
      <formula>$B1034="Tender Received"</formula>
    </cfRule>
  </conditionalFormatting>
  <conditionalFormatting sqref="L1038">
    <cfRule type="expression" dxfId="503" priority="523" stopIfTrue="1">
      <formula>AND($B1038="Tender Received",$D1038&lt;=(TODAY()+3))</formula>
    </cfRule>
    <cfRule type="expression" dxfId="502" priority="524" stopIfTrue="1">
      <formula>$B1038="Tender Received"</formula>
    </cfRule>
  </conditionalFormatting>
  <conditionalFormatting sqref="L1042">
    <cfRule type="expression" dxfId="501" priority="521" stopIfTrue="1">
      <formula>AND($B1042="Tender Received",$D1042&lt;=(TODAY()+3))</formula>
    </cfRule>
    <cfRule type="expression" dxfId="500" priority="522" stopIfTrue="1">
      <formula>$B1042="Tender Received"</formula>
    </cfRule>
  </conditionalFormatting>
  <conditionalFormatting sqref="C1046:H1046 J1046:K1046 M1046:P1046 R1046">
    <cfRule type="expression" dxfId="499" priority="519" stopIfTrue="1">
      <formula>AND($B1046="Tender Received",$D1046&lt;=(TODAY()+3))</formula>
    </cfRule>
    <cfRule type="expression" dxfId="498" priority="520" stopIfTrue="1">
      <formula>$B1046="Tender Received"</formula>
    </cfRule>
  </conditionalFormatting>
  <conditionalFormatting sqref="L1046">
    <cfRule type="expression" dxfId="497" priority="517" stopIfTrue="1">
      <formula>AND($B1046="Tender Received",$D1046&lt;=(TODAY()+3))</formula>
    </cfRule>
    <cfRule type="expression" dxfId="496" priority="518" stopIfTrue="1">
      <formula>$B1046="Tender Received"</formula>
    </cfRule>
  </conditionalFormatting>
  <conditionalFormatting sqref="I1046">
    <cfRule type="expression" dxfId="495" priority="515" stopIfTrue="1">
      <formula>AND($B1046="Tender Received",$D1046&lt;=(TODAY()+3))</formula>
    </cfRule>
    <cfRule type="expression" dxfId="494" priority="516" stopIfTrue="1">
      <formula>$B1046="Tender Received"</formula>
    </cfRule>
  </conditionalFormatting>
  <conditionalFormatting sqref="J1038">
    <cfRule type="expression" dxfId="493" priority="507" stopIfTrue="1">
      <formula>AND($B1038="Tender Received",$D1038&lt;=(TODAY()+3))</formula>
    </cfRule>
    <cfRule type="expression" dxfId="492" priority="508" stopIfTrue="1">
      <formula>$B1038="Tender Received"</formula>
    </cfRule>
  </conditionalFormatting>
  <conditionalFormatting sqref="C1040">
    <cfRule type="expression" dxfId="491" priority="505" stopIfTrue="1">
      <formula>AND($B1040="Tender Received",$D1040&lt;=(TODAY()+3))</formula>
    </cfRule>
    <cfRule type="expression" dxfId="490" priority="506" stopIfTrue="1">
      <formula>$B1040="Tender Received"</formula>
    </cfRule>
  </conditionalFormatting>
  <conditionalFormatting sqref="H1043">
    <cfRule type="expression" dxfId="489" priority="503" stopIfTrue="1">
      <formula>AND($B1043="Tender Received",$D1043&lt;=(TODAY()+3))</formula>
    </cfRule>
    <cfRule type="expression" dxfId="488" priority="504" stopIfTrue="1">
      <formula>$B1043="Tender Received"</formula>
    </cfRule>
  </conditionalFormatting>
  <conditionalFormatting sqref="Q1043">
    <cfRule type="expression" dxfId="487" priority="501" stopIfTrue="1">
      <formula>AND($B1043="Tender Received",$D1043&lt;=(TODAY()+3))</formula>
    </cfRule>
    <cfRule type="expression" dxfId="486" priority="502" stopIfTrue="1">
      <formula>$B1043="Tender Received"</formula>
    </cfRule>
  </conditionalFormatting>
  <conditionalFormatting sqref="L1041">
    <cfRule type="expression" dxfId="485" priority="499" stopIfTrue="1">
      <formula>AND($B1041="Tender Received",$D1041&lt;=(TODAY()+3))</formula>
    </cfRule>
    <cfRule type="expression" dxfId="484" priority="500" stopIfTrue="1">
      <formula>$B1041="Tender Received"</formula>
    </cfRule>
  </conditionalFormatting>
  <conditionalFormatting sqref="L1041">
    <cfRule type="expression" dxfId="483" priority="497" stopIfTrue="1">
      <formula>AND($B1041="Tender Received",$D1041&lt;=(TODAY()+3))</formula>
    </cfRule>
    <cfRule type="expression" dxfId="482" priority="498" stopIfTrue="1">
      <formula>$B1041="Tender Received"</formula>
    </cfRule>
  </conditionalFormatting>
  <conditionalFormatting sqref="Q1036">
    <cfRule type="expression" dxfId="481" priority="495" stopIfTrue="1">
      <formula>AND($B1036="Tender Received",$D1036&lt;=(TODAY()+3))</formula>
    </cfRule>
    <cfRule type="expression" dxfId="480" priority="496" stopIfTrue="1">
      <formula>$B1036="Tender Received"</formula>
    </cfRule>
  </conditionalFormatting>
  <conditionalFormatting sqref="C1045:H1045 J1045:K1045 M1045:R1045">
    <cfRule type="expression" dxfId="479" priority="493" stopIfTrue="1">
      <formula>AND($B1045="Tender Received",$D1045&lt;=(TODAY()+3))</formula>
    </cfRule>
    <cfRule type="expression" dxfId="478" priority="494" stopIfTrue="1">
      <formula>$B1045="Tender Received"</formula>
    </cfRule>
  </conditionalFormatting>
  <conditionalFormatting sqref="L1045">
    <cfRule type="expression" dxfId="477" priority="491" stopIfTrue="1">
      <formula>AND($B1045="Tender Received",$D1045&lt;=(TODAY()+3))</formula>
    </cfRule>
    <cfRule type="expression" dxfId="476" priority="492" stopIfTrue="1">
      <formula>$B1045="Tender Received"</formula>
    </cfRule>
  </conditionalFormatting>
  <conditionalFormatting sqref="I1045">
    <cfRule type="expression" dxfId="475" priority="489" stopIfTrue="1">
      <formula>AND($B1045="Tender Received",$D1045&lt;=(TODAY()+3))</formula>
    </cfRule>
    <cfRule type="expression" dxfId="474" priority="490" stopIfTrue="1">
      <formula>$B1045="Tender Received"</formula>
    </cfRule>
  </conditionalFormatting>
  <conditionalFormatting sqref="J1046:M1046 C1046:G1046 R1046">
    <cfRule type="expression" dxfId="473" priority="487" stopIfTrue="1">
      <formula>AND($B1046="Tender Received",$D1046&lt;=(TODAY()+3))</formula>
    </cfRule>
    <cfRule type="expression" dxfId="472" priority="488" stopIfTrue="1">
      <formula>$B1046="Tender Received"</formula>
    </cfRule>
  </conditionalFormatting>
  <conditionalFormatting sqref="I1046">
    <cfRule type="expression" dxfId="471" priority="485" stopIfTrue="1">
      <formula>AND($B1046="Tender Received",$D1046&lt;=(TODAY()+3))</formula>
    </cfRule>
    <cfRule type="expression" dxfId="470" priority="486" stopIfTrue="1">
      <formula>$B1046="Tender Received"</formula>
    </cfRule>
  </conditionalFormatting>
  <conditionalFormatting sqref="N1046:P1046">
    <cfRule type="expression" dxfId="469" priority="483" stopIfTrue="1">
      <formula>AND($B1046="Tender Received",$D1046&lt;=(TODAY()+3))</formula>
    </cfRule>
    <cfRule type="expression" dxfId="468" priority="484" stopIfTrue="1">
      <formula>$B1046="Tender Received"</formula>
    </cfRule>
  </conditionalFormatting>
  <conditionalFormatting sqref="H1046">
    <cfRule type="expression" dxfId="467" priority="481" stopIfTrue="1">
      <formula>AND($B1046="Tender Received",$D1046&lt;=(TODAY()+3))</formula>
    </cfRule>
    <cfRule type="expression" dxfId="466" priority="482" stopIfTrue="1">
      <formula>$B1046="Tender Received"</formula>
    </cfRule>
  </conditionalFormatting>
  <conditionalFormatting sqref="E1038">
    <cfRule type="expression" dxfId="465" priority="479" stopIfTrue="1">
      <formula>AND($B1038="Tender Received",$D1038&lt;=(TODAY()+3))</formula>
    </cfRule>
    <cfRule type="expression" dxfId="464" priority="480" stopIfTrue="1">
      <formula>$B1038="Tender Received"</formula>
    </cfRule>
  </conditionalFormatting>
  <conditionalFormatting sqref="Q1046">
    <cfRule type="expression" dxfId="463" priority="477" stopIfTrue="1">
      <formula>AND($B1046="Tender Received",$D1046&lt;=(TODAY()+3))</formula>
    </cfRule>
    <cfRule type="expression" dxfId="462" priority="478" stopIfTrue="1">
      <formula>$B1046="Tender Received"</formula>
    </cfRule>
  </conditionalFormatting>
  <conditionalFormatting sqref="Q1046">
    <cfRule type="expression" dxfId="461" priority="475" stopIfTrue="1">
      <formula>AND($B1046="Tender Received",$D1046&lt;=(TODAY()+3))</formula>
    </cfRule>
    <cfRule type="expression" dxfId="460" priority="476" stopIfTrue="1">
      <formula>$B1046="Tender Received"</formula>
    </cfRule>
  </conditionalFormatting>
  <conditionalFormatting sqref="J1039">
    <cfRule type="expression" dxfId="459" priority="473" stopIfTrue="1">
      <formula>AND($B1039="Tender Received",$D1039&lt;=(TODAY()+3))</formula>
    </cfRule>
    <cfRule type="expression" dxfId="458" priority="474" stopIfTrue="1">
      <formula>$B1039="Tender Received"</formula>
    </cfRule>
  </conditionalFormatting>
  <conditionalFormatting sqref="I1040">
    <cfRule type="expression" dxfId="457" priority="469" stopIfTrue="1">
      <formula>AND($B1040="Tender Received",$D1040&lt;=(TODAY()+3))</formula>
    </cfRule>
    <cfRule type="expression" dxfId="456" priority="470" stopIfTrue="1">
      <formula>$B1040="Tender Received"</formula>
    </cfRule>
  </conditionalFormatting>
  <conditionalFormatting sqref="C1041">
    <cfRule type="expression" dxfId="455" priority="467" stopIfTrue="1">
      <formula>AND($B1041="Tender Received",$D1041&lt;=(TODAY()+3))</formula>
    </cfRule>
    <cfRule type="expression" dxfId="454" priority="468" stopIfTrue="1">
      <formula>$B1041="Tender Received"</formula>
    </cfRule>
  </conditionalFormatting>
  <conditionalFormatting sqref="J1040">
    <cfRule type="expression" dxfId="453" priority="465" stopIfTrue="1">
      <formula>AND($B1040="Tender Received",$D1040&lt;=(TODAY()+3))</formula>
    </cfRule>
    <cfRule type="expression" dxfId="452" priority="466" stopIfTrue="1">
      <formula>$B1040="Tender Received"</formula>
    </cfRule>
  </conditionalFormatting>
  <conditionalFormatting sqref="E1034:H1034 J1034:K1034">
    <cfRule type="expression" dxfId="451" priority="457" stopIfTrue="1">
      <formula>AND($B1034="Tender Received",$D1034&lt;=(TODAY()+3))</formula>
    </cfRule>
    <cfRule type="expression" dxfId="450" priority="458" stopIfTrue="1">
      <formula>$B1034="Tender Received"</formula>
    </cfRule>
  </conditionalFormatting>
  <conditionalFormatting sqref="C1044:G1044 M1044 J1044:K1044">
    <cfRule type="expression" dxfId="449" priority="455" stopIfTrue="1">
      <formula>AND($B1044="Tender Received",$D1044&lt;=(TODAY()+3))</formula>
    </cfRule>
    <cfRule type="expression" dxfId="448" priority="456" stopIfTrue="1">
      <formula>$B1044="Tender Received"</formula>
    </cfRule>
  </conditionalFormatting>
  <conditionalFormatting sqref="C1044">
    <cfRule type="expression" dxfId="447" priority="453" stopIfTrue="1">
      <formula>AND($B1044="Tender Received",$D1044&lt;=(TODAY()+3))</formula>
    </cfRule>
    <cfRule type="expression" dxfId="446" priority="454" stopIfTrue="1">
      <formula>$B1044="Tender Received"</formula>
    </cfRule>
  </conditionalFormatting>
  <conditionalFormatting sqref="L1044">
    <cfRule type="expression" dxfId="445" priority="451" stopIfTrue="1">
      <formula>AND($B1044="Tender Received",$D1044&lt;=(TODAY()+3))</formula>
    </cfRule>
    <cfRule type="expression" dxfId="444" priority="452" stopIfTrue="1">
      <formula>$B1044="Tender Received"</formula>
    </cfRule>
  </conditionalFormatting>
  <conditionalFormatting sqref="L1044">
    <cfRule type="expression" dxfId="443" priority="449" stopIfTrue="1">
      <formula>AND($B1044="Tender Received",$D1044&lt;=(TODAY()+3))</formula>
    </cfRule>
    <cfRule type="expression" dxfId="442" priority="450" stopIfTrue="1">
      <formula>$B1044="Tender Received"</formula>
    </cfRule>
  </conditionalFormatting>
  <conditionalFormatting sqref="N1044:P1044 R1044">
    <cfRule type="expression" dxfId="441" priority="447" stopIfTrue="1">
      <formula>AND($B1044="Tender Received",$D1044&lt;=(TODAY()+3))</formula>
    </cfRule>
    <cfRule type="expression" dxfId="440" priority="448" stopIfTrue="1">
      <formula>$B1044="Tender Received"</formula>
    </cfRule>
  </conditionalFormatting>
  <conditionalFormatting sqref="N1044">
    <cfRule type="expression" dxfId="439" priority="445" stopIfTrue="1">
      <formula>AND($B1044="Tender Received",$D1044&lt;=(TODAY()+3))</formula>
    </cfRule>
    <cfRule type="expression" dxfId="438" priority="446" stopIfTrue="1">
      <formula>$B1044="Tender Received"</formula>
    </cfRule>
  </conditionalFormatting>
  <conditionalFormatting sqref="P1034">
    <cfRule type="expression" dxfId="437" priority="441" stopIfTrue="1">
      <formula>AND($B1034="Tender Received",$D1034&lt;=(TODAY()+3))</formula>
    </cfRule>
    <cfRule type="expression" dxfId="436" priority="442" stopIfTrue="1">
      <formula>$B1034="Tender Received"</formula>
    </cfRule>
  </conditionalFormatting>
  <conditionalFormatting sqref="Q1034">
    <cfRule type="expression" dxfId="435" priority="439" stopIfTrue="1">
      <formula>AND($B1034="Tender Received",$D1034&lt;=(TODAY()+3))</formula>
    </cfRule>
    <cfRule type="expression" dxfId="434" priority="440" stopIfTrue="1">
      <formula>$B1034="Tender Received"</formula>
    </cfRule>
  </conditionalFormatting>
  <conditionalFormatting sqref="O1038:P1038">
    <cfRule type="expression" dxfId="433" priority="437" stopIfTrue="1">
      <formula>AND($B1038="Tender Received",$D1038&lt;=(TODAY()+3))</formula>
    </cfRule>
    <cfRule type="expression" dxfId="432" priority="438" stopIfTrue="1">
      <formula>$B1038="Tender Received"</formula>
    </cfRule>
  </conditionalFormatting>
  <conditionalFormatting sqref="N1038">
    <cfRule type="expression" dxfId="431" priority="435" stopIfTrue="1">
      <formula>AND($B1038="Tender Received",$D1038&lt;=(TODAY()+3))</formula>
    </cfRule>
    <cfRule type="expression" dxfId="430" priority="436" stopIfTrue="1">
      <formula>$B1038="Tender Received"</formula>
    </cfRule>
  </conditionalFormatting>
  <conditionalFormatting sqref="R1033 B1033:P1033 B1033:B1035">
    <cfRule type="expression" dxfId="429" priority="433" stopIfTrue="1">
      <formula>AND($B1033="Tender Received",$D1033&lt;=(TODAY()+3))</formula>
    </cfRule>
    <cfRule type="expression" dxfId="428" priority="434" stopIfTrue="1">
      <formula>$B1033="Tender Received"</formula>
    </cfRule>
  </conditionalFormatting>
  <conditionalFormatting sqref="Q1033">
    <cfRule type="expression" dxfId="427" priority="431" stopIfTrue="1">
      <formula>AND($B1033="Tender Received",$D1033&lt;=(TODAY()+3))</formula>
    </cfRule>
    <cfRule type="expression" dxfId="426" priority="432" stopIfTrue="1">
      <formula>$B1033="Tender Received"</formula>
    </cfRule>
  </conditionalFormatting>
  <conditionalFormatting sqref="Q1033">
    <cfRule type="expression" dxfId="425" priority="429" stopIfTrue="1">
      <formula>AND($B1034="Tender Received",$D1034&lt;=(TODAY()+3))</formula>
    </cfRule>
    <cfRule type="expression" dxfId="424" priority="430" stopIfTrue="1">
      <formula>$B1034="Tender Received"</formula>
    </cfRule>
  </conditionalFormatting>
  <conditionalFormatting sqref="H24">
    <cfRule type="expression" dxfId="423" priority="427" stopIfTrue="1">
      <formula>AND($B24="Tender Received",$D24&lt;=(TODAY()+3))</formula>
    </cfRule>
    <cfRule type="expression" dxfId="422" priority="428" stopIfTrue="1">
      <formula>$B24="Tender Received"</formula>
    </cfRule>
  </conditionalFormatting>
  <conditionalFormatting sqref="H11">
    <cfRule type="expression" dxfId="421" priority="425" stopIfTrue="1">
      <formula>AND($B11="Tender Received",$D11&lt;=(TODAY()+3))</formula>
    </cfRule>
    <cfRule type="expression" dxfId="420" priority="426" stopIfTrue="1">
      <formula>$B11="Tender Received"</formula>
    </cfRule>
  </conditionalFormatting>
  <conditionalFormatting sqref="A1047:A1052">
    <cfRule type="expression" dxfId="419" priority="423" stopIfTrue="1">
      <formula>AND($B1047="Tender Received",$D1047&lt;=(TODAY()+3))</formula>
    </cfRule>
    <cfRule type="expression" dxfId="418" priority="424" stopIfTrue="1">
      <formula>$B1047="Tender Received"</formula>
    </cfRule>
  </conditionalFormatting>
  <conditionalFormatting sqref="I1013">
    <cfRule type="expression" dxfId="417" priority="421" stopIfTrue="1">
      <formula>AND($B1013="Tender Received",$D1013&lt;=(TODAY()+3))</formula>
    </cfRule>
    <cfRule type="expression" dxfId="416" priority="422" stopIfTrue="1">
      <formula>$B1013="Tender Received"</formula>
    </cfRule>
  </conditionalFormatting>
  <conditionalFormatting sqref="I1034:I1035">
    <cfRule type="expression" dxfId="415" priority="419" stopIfTrue="1">
      <formula>AND($B1034="Tender Received",$D1034&lt;=(TODAY()+3))</formula>
    </cfRule>
    <cfRule type="expression" dxfId="414" priority="420" stopIfTrue="1">
      <formula>$B1034="Tender Received"</formula>
    </cfRule>
  </conditionalFormatting>
  <conditionalFormatting sqref="H1020">
    <cfRule type="expression" dxfId="413" priority="417" stopIfTrue="1">
      <formula>AND($B1020="Tender Received",$D1020&lt;=(TODAY()+3))</formula>
    </cfRule>
    <cfRule type="expression" dxfId="412" priority="418" stopIfTrue="1">
      <formula>$B1020="Tender Received"</formula>
    </cfRule>
  </conditionalFormatting>
  <conditionalFormatting sqref="Q1020">
    <cfRule type="expression" dxfId="411" priority="415" stopIfTrue="1">
      <formula>AND($B1020="Tender Received",$D1020&lt;=(TODAY()+3))</formula>
    </cfRule>
    <cfRule type="expression" dxfId="410" priority="416" stopIfTrue="1">
      <formula>$B1020="Tender Received"</formula>
    </cfRule>
  </conditionalFormatting>
  <conditionalFormatting sqref="G1036">
    <cfRule type="expression" dxfId="409" priority="411" stopIfTrue="1">
      <formula>AND($B1036="Tender Received",$D1036&lt;=(TODAY()+3))</formula>
    </cfRule>
    <cfRule type="expression" dxfId="408" priority="412" stopIfTrue="1">
      <formula>$B1036="Tender Received"</formula>
    </cfRule>
  </conditionalFormatting>
  <conditionalFormatting sqref="I1036">
    <cfRule type="expression" dxfId="407" priority="409" stopIfTrue="1">
      <formula>AND($B1036="Tender Received",$D1036&lt;=(TODAY()+3))</formula>
    </cfRule>
    <cfRule type="expression" dxfId="406" priority="410" stopIfTrue="1">
      <formula>$B1036="Tender Received"</formula>
    </cfRule>
  </conditionalFormatting>
  <conditionalFormatting sqref="B1036">
    <cfRule type="expression" dxfId="405" priority="407" stopIfTrue="1">
      <formula>AND($B1036="Tender Received",$D1036&lt;=(TODAY()+3))</formula>
    </cfRule>
    <cfRule type="expression" dxfId="404" priority="408" stopIfTrue="1">
      <formula>$B1036="Tender Received"</formula>
    </cfRule>
  </conditionalFormatting>
  <conditionalFormatting sqref="I1038">
    <cfRule type="expression" dxfId="403" priority="405" stopIfTrue="1">
      <formula>AND($B1038="Tender Received",$D1038&lt;=(TODAY()+3))</formula>
    </cfRule>
    <cfRule type="expression" dxfId="402" priority="406" stopIfTrue="1">
      <formula>$B1038="Tender Received"</formula>
    </cfRule>
  </conditionalFormatting>
  <conditionalFormatting sqref="I1039">
    <cfRule type="expression" dxfId="401" priority="403" stopIfTrue="1">
      <formula>AND($B1039="Tender Received",$D1039&lt;=(TODAY()+3))</formula>
    </cfRule>
    <cfRule type="expression" dxfId="400" priority="404" stopIfTrue="1">
      <formula>$B1039="Tender Received"</formula>
    </cfRule>
  </conditionalFormatting>
  <conditionalFormatting sqref="B1038:B1039">
    <cfRule type="expression" dxfId="399" priority="401" stopIfTrue="1">
      <formula>AND($B1038="Tender Received",$D1038&lt;=(TODAY()+3))</formula>
    </cfRule>
    <cfRule type="expression" dxfId="398" priority="402" stopIfTrue="1">
      <formula>$B1038="Tender Received"</formula>
    </cfRule>
  </conditionalFormatting>
  <conditionalFormatting sqref="B1040">
    <cfRule type="expression" dxfId="397" priority="399" stopIfTrue="1">
      <formula>AND($B1040="Tender Received",$D1040&lt;=(TODAY()+3))</formula>
    </cfRule>
    <cfRule type="expression" dxfId="396" priority="400" stopIfTrue="1">
      <formula>$B1040="Tender Received"</formula>
    </cfRule>
  </conditionalFormatting>
  <conditionalFormatting sqref="Q1041">
    <cfRule type="expression" dxfId="395" priority="397" stopIfTrue="1">
      <formula>AND($B1041="Tender Received",$D1041&lt;=(TODAY()+3))</formula>
    </cfRule>
    <cfRule type="expression" dxfId="394" priority="398" stopIfTrue="1">
      <formula>$B1041="Tender Received"</formula>
    </cfRule>
  </conditionalFormatting>
  <conditionalFormatting sqref="H1042:I1042">
    <cfRule type="expression" dxfId="393" priority="395" stopIfTrue="1">
      <formula>AND($B1042="Tender Received",$D1042&lt;=(TODAY()+3))</formula>
    </cfRule>
    <cfRule type="expression" dxfId="392" priority="396" stopIfTrue="1">
      <formula>$B1042="Tender Received"</formula>
    </cfRule>
  </conditionalFormatting>
  <conditionalFormatting sqref="Q1042">
    <cfRule type="expression" dxfId="391" priority="393" stopIfTrue="1">
      <formula>AND($B1042="Tender Received",$D1042&lt;=(TODAY()+3))</formula>
    </cfRule>
    <cfRule type="expression" dxfId="390" priority="394" stopIfTrue="1">
      <formula>$B1042="Tender Received"</formula>
    </cfRule>
  </conditionalFormatting>
  <conditionalFormatting sqref="I1043">
    <cfRule type="expression" dxfId="389" priority="391" stopIfTrue="1">
      <formula>AND($B1043="Tender Received",$D1043&lt;=(TODAY()+3))</formula>
    </cfRule>
    <cfRule type="expression" dxfId="388" priority="392" stopIfTrue="1">
      <formula>$B1043="Tender Received"</formula>
    </cfRule>
  </conditionalFormatting>
  <conditionalFormatting sqref="H1044:I1044">
    <cfRule type="expression" dxfId="387" priority="389" stopIfTrue="1">
      <formula>AND($B1044="Tender Received",$D1044&lt;=(TODAY()+3))</formula>
    </cfRule>
    <cfRule type="expression" dxfId="386" priority="390" stopIfTrue="1">
      <formula>$B1044="Tender Received"</formula>
    </cfRule>
  </conditionalFormatting>
  <conditionalFormatting sqref="B1044">
    <cfRule type="expression" dxfId="385" priority="387" stopIfTrue="1">
      <formula>AND($B1044="Tender Received",$D1044&lt;=(TODAY()+3))</formula>
    </cfRule>
    <cfRule type="expression" dxfId="384" priority="388" stopIfTrue="1">
      <formula>$B1044="Tender Received"</formula>
    </cfRule>
  </conditionalFormatting>
  <conditionalFormatting sqref="B1045">
    <cfRule type="expression" dxfId="383" priority="385" stopIfTrue="1">
      <formula>AND($B1045="Tender Received",$D1045&lt;=(TODAY()+3))</formula>
    </cfRule>
    <cfRule type="expression" dxfId="382" priority="386" stopIfTrue="1">
      <formula>$B1045="Tender Received"</formula>
    </cfRule>
  </conditionalFormatting>
  <conditionalFormatting sqref="B1046">
    <cfRule type="expression" dxfId="381" priority="383" stopIfTrue="1">
      <formula>AND($B1046="Tender Received",$D1046&lt;=(TODAY()+3))</formula>
    </cfRule>
    <cfRule type="expression" dxfId="380" priority="384" stopIfTrue="1">
      <formula>$B1046="Tender Received"</formula>
    </cfRule>
  </conditionalFormatting>
  <conditionalFormatting sqref="Q9">
    <cfRule type="expression" dxfId="379" priority="381" stopIfTrue="1">
      <formula>AND($B9="Tender Received",$D9&lt;=(TODAY()+3))</formula>
    </cfRule>
    <cfRule type="expression" dxfId="378" priority="382" stopIfTrue="1">
      <formula>$B9="Tender Received"</formula>
    </cfRule>
  </conditionalFormatting>
  <conditionalFormatting sqref="Q4">
    <cfRule type="expression" dxfId="377" priority="379" stopIfTrue="1">
      <formula>AND($B4="Tender Received",$D4&lt;=(TODAY()+3))</formula>
    </cfRule>
    <cfRule type="expression" dxfId="376" priority="380" stopIfTrue="1">
      <formula>$B4="Tender Received"</formula>
    </cfRule>
  </conditionalFormatting>
  <conditionalFormatting sqref="B1008">
    <cfRule type="expression" dxfId="375" priority="377" stopIfTrue="1">
      <formula>AND($B1008="Tender Received",$D1008&lt;=(TODAY()+3))</formula>
    </cfRule>
    <cfRule type="expression" dxfId="374" priority="378" stopIfTrue="1">
      <formula>$B1008="Tender Received"</formula>
    </cfRule>
  </conditionalFormatting>
  <conditionalFormatting sqref="H1008">
    <cfRule type="expression" dxfId="373" priority="375" stopIfTrue="1">
      <formula>AND($B1008="Tender Received",$D1008&lt;=(TODAY()+3))</formula>
    </cfRule>
    <cfRule type="expression" dxfId="372" priority="376" stopIfTrue="1">
      <formula>$B1008="Tender Received"</formula>
    </cfRule>
  </conditionalFormatting>
  <conditionalFormatting sqref="B7">
    <cfRule type="expression" dxfId="371" priority="373" stopIfTrue="1">
      <formula>AND($B7="Tender Received",$D7&lt;=(TODAY()+3))</formula>
    </cfRule>
    <cfRule type="expression" dxfId="370" priority="374" stopIfTrue="1">
      <formula>$B7="Tender Received"</formula>
    </cfRule>
  </conditionalFormatting>
  <conditionalFormatting sqref="H7">
    <cfRule type="expression" dxfId="369" priority="371" stopIfTrue="1">
      <formula>AND($B7="Tender Received",$D7&lt;=(TODAY()+3))</formula>
    </cfRule>
    <cfRule type="expression" dxfId="368" priority="372" stopIfTrue="1">
      <formula>$B7="Tender Received"</formula>
    </cfRule>
  </conditionalFormatting>
  <conditionalFormatting sqref="H1015">
    <cfRule type="expression" dxfId="367" priority="369" stopIfTrue="1">
      <formula>AND($B1015="Tender Received",$D1015&lt;=(TODAY()+3))</formula>
    </cfRule>
    <cfRule type="expression" dxfId="366" priority="370" stopIfTrue="1">
      <formula>$B1015="Tender Received"</formula>
    </cfRule>
  </conditionalFormatting>
  <conditionalFormatting sqref="B1047:R1047">
    <cfRule type="expression" dxfId="365" priority="367" stopIfTrue="1">
      <formula>AND($B1047="Tender Received",$D1047&lt;=(TODAY()+3))</formula>
    </cfRule>
    <cfRule type="expression" dxfId="364" priority="368" stopIfTrue="1">
      <formula>$B1047="Tender Received"</formula>
    </cfRule>
  </conditionalFormatting>
  <conditionalFormatting sqref="B1048:R1048">
    <cfRule type="expression" dxfId="363" priority="363" stopIfTrue="1">
      <formula>AND($B1048="Tender Received",$D1048&lt;=(TODAY()+3))</formula>
    </cfRule>
    <cfRule type="expression" dxfId="362" priority="364" stopIfTrue="1">
      <formula>$B1048="Tender Received"</formula>
    </cfRule>
  </conditionalFormatting>
  <conditionalFormatting sqref="B1049:R1049">
    <cfRule type="expression" dxfId="361" priority="361" stopIfTrue="1">
      <formula>AND($B1049="Tender Received",$D1049&lt;=(TODAY()+3))</formula>
    </cfRule>
    <cfRule type="expression" dxfId="360" priority="362" stopIfTrue="1">
      <formula>$B1049="Tender Received"</formula>
    </cfRule>
  </conditionalFormatting>
  <conditionalFormatting sqref="B1050:P1050 R1050">
    <cfRule type="expression" dxfId="359" priority="359" stopIfTrue="1">
      <formula>AND($B1050="Tender Received",$D1050&lt;=(TODAY()+3))</formula>
    </cfRule>
    <cfRule type="expression" dxfId="358" priority="360" stopIfTrue="1">
      <formula>$B1050="Tender Received"</formula>
    </cfRule>
  </conditionalFormatting>
  <conditionalFormatting sqref="Q1050">
    <cfRule type="expression" dxfId="357" priority="357" stopIfTrue="1">
      <formula>AND($B1050="Tender Received",$D1050&lt;=(TODAY()+3))</formula>
    </cfRule>
    <cfRule type="expression" dxfId="356" priority="358" stopIfTrue="1">
      <formula>$B1050="Tender Received"</formula>
    </cfRule>
  </conditionalFormatting>
  <conditionalFormatting sqref="B1051:R1051">
    <cfRule type="expression" dxfId="355" priority="355" stopIfTrue="1">
      <formula>AND($B1051="Tender Received",$D1051&lt;=(TODAY()+3))</formula>
    </cfRule>
    <cfRule type="expression" dxfId="354" priority="356" stopIfTrue="1">
      <formula>$B1051="Tender Received"</formula>
    </cfRule>
  </conditionalFormatting>
  <conditionalFormatting sqref="B1052:R1052">
    <cfRule type="expression" dxfId="353" priority="353" stopIfTrue="1">
      <formula>AND($B1052="Tender Received",$D1052&lt;=(TODAY()+3))</formula>
    </cfRule>
    <cfRule type="expression" dxfId="352" priority="354" stopIfTrue="1">
      <formula>$B1052="Tender Received"</formula>
    </cfRule>
  </conditionalFormatting>
  <conditionalFormatting sqref="B1053:R1053">
    <cfRule type="expression" dxfId="351" priority="351" stopIfTrue="1">
      <formula>AND($B1053="Tender Received",$D1053&lt;=(TODAY()+3))</formula>
    </cfRule>
    <cfRule type="expression" dxfId="350" priority="352" stopIfTrue="1">
      <formula>$B1053="Tender Received"</formula>
    </cfRule>
  </conditionalFormatting>
  <conditionalFormatting sqref="B1054:G1054 I1054:P1054 R1054">
    <cfRule type="expression" dxfId="349" priority="349" stopIfTrue="1">
      <formula>AND($B1054="Tender Received",$D1054&lt;=(TODAY()+3))</formula>
    </cfRule>
    <cfRule type="expression" dxfId="348" priority="350" stopIfTrue="1">
      <formula>$B1054="Tender Received"</formula>
    </cfRule>
  </conditionalFormatting>
  <conditionalFormatting sqref="H1054">
    <cfRule type="expression" dxfId="347" priority="347" stopIfTrue="1">
      <formula>AND($B1054="Tender Received",$D1054&lt;=(TODAY()+3))</formula>
    </cfRule>
    <cfRule type="expression" dxfId="346" priority="348" stopIfTrue="1">
      <formula>$B1054="Tender Received"</formula>
    </cfRule>
  </conditionalFormatting>
  <conditionalFormatting sqref="Q1054">
    <cfRule type="expression" dxfId="345" priority="345" stopIfTrue="1">
      <formula>AND($B1054="Tender Received",$D1054&lt;=(TODAY()+3))</formula>
    </cfRule>
    <cfRule type="expression" dxfId="344" priority="346" stopIfTrue="1">
      <formula>$B1054="Tender Received"</formula>
    </cfRule>
  </conditionalFormatting>
  <conditionalFormatting sqref="B1055:R1055">
    <cfRule type="expression" dxfId="343" priority="343" stopIfTrue="1">
      <formula>AND($B1055="Tender Received",$D1055&lt;=(TODAY()+3))</formula>
    </cfRule>
    <cfRule type="expression" dxfId="342" priority="344" stopIfTrue="1">
      <formula>$B1055="Tender Received"</formula>
    </cfRule>
  </conditionalFormatting>
  <conditionalFormatting sqref="B1056:G1056 J1056:R1056">
    <cfRule type="expression" dxfId="341" priority="341" stopIfTrue="1">
      <formula>AND($B1056="Tender Received",$D1056&lt;=(TODAY()+3))</formula>
    </cfRule>
    <cfRule type="expression" dxfId="340" priority="342" stopIfTrue="1">
      <formula>$B1056="Tender Received"</formula>
    </cfRule>
  </conditionalFormatting>
  <conditionalFormatting sqref="H1056:I1056">
    <cfRule type="expression" dxfId="339" priority="339" stopIfTrue="1">
      <formula>AND($B1056="Tender Received",$C1056&lt;=(TODAY()+3))</formula>
    </cfRule>
    <cfRule type="expression" dxfId="338" priority="340" stopIfTrue="1">
      <formula>$B1056="Tender Received"</formula>
    </cfRule>
  </conditionalFormatting>
  <conditionalFormatting sqref="B1057:R1057">
    <cfRule type="expression" dxfId="337" priority="337" stopIfTrue="1">
      <formula>AND($B1057="Tender Received",$D1057&lt;=(TODAY()+3))</formula>
    </cfRule>
    <cfRule type="expression" dxfId="336" priority="338" stopIfTrue="1">
      <formula>$B1057="Tender Received"</formula>
    </cfRule>
  </conditionalFormatting>
  <conditionalFormatting sqref="B1058:R1058">
    <cfRule type="expression" dxfId="335" priority="335" stopIfTrue="1">
      <formula>AND($B1058="Tender Received",$D1058&lt;=(TODAY()+3))</formula>
    </cfRule>
    <cfRule type="expression" dxfId="334" priority="336" stopIfTrue="1">
      <formula>$B1058="Tender Received"</formula>
    </cfRule>
  </conditionalFormatting>
  <conditionalFormatting sqref="B1059:R1059">
    <cfRule type="expression" dxfId="333" priority="333" stopIfTrue="1">
      <formula>AND($B1059="Tender Received",$D1059&lt;=(TODAY()+3))</formula>
    </cfRule>
    <cfRule type="expression" dxfId="332" priority="334" stopIfTrue="1">
      <formula>$B1059="Tender Received"</formula>
    </cfRule>
  </conditionalFormatting>
  <conditionalFormatting sqref="B1060:P1060 R1060">
    <cfRule type="expression" dxfId="331" priority="331" stopIfTrue="1">
      <formula>AND($B1060="Tender Received",$D1060&lt;=(TODAY()+3))</formula>
    </cfRule>
    <cfRule type="expression" dxfId="330" priority="332" stopIfTrue="1">
      <formula>$B1060="Tender Received"</formula>
    </cfRule>
  </conditionalFormatting>
  <conditionalFormatting sqref="Q1060">
    <cfRule type="expression" dxfId="329" priority="329" stopIfTrue="1">
      <formula>AND($B1060="Tender Received",$D1060&lt;=(TODAY()+3))</formula>
    </cfRule>
    <cfRule type="expression" dxfId="328" priority="330" stopIfTrue="1">
      <formula>$B1060="Tender Received"</formula>
    </cfRule>
  </conditionalFormatting>
  <conditionalFormatting sqref="B1061:R1061">
    <cfRule type="expression" dxfId="327" priority="327" stopIfTrue="1">
      <formula>AND($B1061="Tender Received",$D1061&lt;=(TODAY()+3))</formula>
    </cfRule>
    <cfRule type="expression" dxfId="326" priority="328" stopIfTrue="1">
      <formula>$B1061="Tender Received"</formula>
    </cfRule>
  </conditionalFormatting>
  <conditionalFormatting sqref="B1062:G1062 I1062:R1062">
    <cfRule type="expression" dxfId="325" priority="325" stopIfTrue="1">
      <formula>AND($B1062="Tender Received",$D1062&lt;=(TODAY()+3))</formula>
    </cfRule>
    <cfRule type="expression" dxfId="324" priority="326" stopIfTrue="1">
      <formula>$B1062="Tender Received"</formula>
    </cfRule>
  </conditionalFormatting>
  <conditionalFormatting sqref="H1062">
    <cfRule type="expression" dxfId="323" priority="323" stopIfTrue="1">
      <formula>AND($B1062="Tender Received",$C1062&lt;=(TODAY()+3))</formula>
    </cfRule>
    <cfRule type="expression" dxfId="322" priority="324" stopIfTrue="1">
      <formula>$B1062="Tender Received"</formula>
    </cfRule>
  </conditionalFormatting>
  <conditionalFormatting sqref="B1063:R1063">
    <cfRule type="expression" dxfId="321" priority="321" stopIfTrue="1">
      <formula>AND($B1063="Tender Received",$D1063&lt;=(TODAY()+3))</formula>
    </cfRule>
    <cfRule type="expression" dxfId="320" priority="322" stopIfTrue="1">
      <formula>$B1063="Tender Received"</formula>
    </cfRule>
  </conditionalFormatting>
  <conditionalFormatting sqref="B1064:G1064 J1064:P1064 R1064">
    <cfRule type="expression" dxfId="319" priority="319" stopIfTrue="1">
      <formula>AND($B1064="Tender Received",$D1064&lt;=(TODAY()+3))</formula>
    </cfRule>
    <cfRule type="expression" dxfId="318" priority="320" stopIfTrue="1">
      <formula>$B1064="Tender Received"</formula>
    </cfRule>
  </conditionalFormatting>
  <conditionalFormatting sqref="H1064:I1064">
    <cfRule type="expression" dxfId="317" priority="317" stopIfTrue="1">
      <formula>AND($B1064="Tender Received",$D1064&lt;=(TODAY()+3))</formula>
    </cfRule>
    <cfRule type="expression" dxfId="316" priority="318" stopIfTrue="1">
      <formula>$B1064="Tender Received"</formula>
    </cfRule>
  </conditionalFormatting>
  <conditionalFormatting sqref="Q1064">
    <cfRule type="expression" dxfId="315" priority="315" stopIfTrue="1">
      <formula>AND($B1064="Tender Received",$D1064&lt;=(TODAY()+3))</formula>
    </cfRule>
    <cfRule type="expression" dxfId="314" priority="316" stopIfTrue="1">
      <formula>$B1064="Tender Received"</formula>
    </cfRule>
  </conditionalFormatting>
  <conditionalFormatting sqref="B1065:R1065">
    <cfRule type="expression" dxfId="313" priority="313" stopIfTrue="1">
      <formula>AND($B1065="Tender Received",$D1065&lt;=(TODAY()+3))</formula>
    </cfRule>
    <cfRule type="expression" dxfId="312" priority="314" stopIfTrue="1">
      <formula>$B1065="Tender Received"</formula>
    </cfRule>
  </conditionalFormatting>
  <conditionalFormatting sqref="B1066:R1066">
    <cfRule type="expression" dxfId="311" priority="311" stopIfTrue="1">
      <formula>AND($B1066="Tender Received",$D1066&lt;=(TODAY()+3))</formula>
    </cfRule>
    <cfRule type="expression" dxfId="310" priority="312" stopIfTrue="1">
      <formula>$B1066="Tender Received"</formula>
    </cfRule>
  </conditionalFormatting>
  <conditionalFormatting sqref="B1067:R1067">
    <cfRule type="expression" dxfId="309" priority="309" stopIfTrue="1">
      <formula>AND($B1067="Tender Received",$D1067&lt;=(TODAY()+3))</formula>
    </cfRule>
    <cfRule type="expression" dxfId="308" priority="310" stopIfTrue="1">
      <formula>$B1067="Tender Received"</formula>
    </cfRule>
  </conditionalFormatting>
  <conditionalFormatting sqref="B1068:R1068">
    <cfRule type="expression" dxfId="307" priority="307" stopIfTrue="1">
      <formula>AND($B1068="Tender Received",$D1068&lt;=(TODAY()+3))</formula>
    </cfRule>
    <cfRule type="expression" dxfId="306" priority="308" stopIfTrue="1">
      <formula>$B1068="Tender Received"</formula>
    </cfRule>
  </conditionalFormatting>
  <conditionalFormatting sqref="B1069:R1069">
    <cfRule type="expression" dxfId="305" priority="305" stopIfTrue="1">
      <formula>AND($B1069="Tender Received",$D1069&lt;=(TODAY()+3))</formula>
    </cfRule>
    <cfRule type="expression" dxfId="304" priority="306" stopIfTrue="1">
      <formula>$B1069="Tender Received"</formula>
    </cfRule>
  </conditionalFormatting>
  <conditionalFormatting sqref="B1070:G1070 I1070:P1070 R1070">
    <cfRule type="expression" dxfId="303" priority="303" stopIfTrue="1">
      <formula>AND($B1070="Tender Received",$D1070&lt;=(TODAY()+3))</formula>
    </cfRule>
    <cfRule type="expression" dxfId="302" priority="304" stopIfTrue="1">
      <formula>$B1070="Tender Received"</formula>
    </cfRule>
  </conditionalFormatting>
  <conditionalFormatting sqref="H1070">
    <cfRule type="expression" dxfId="301" priority="301" stopIfTrue="1">
      <formula>AND($B1070="Tender Received",$D1070&lt;=(TODAY()+3))</formula>
    </cfRule>
    <cfRule type="expression" dxfId="300" priority="302" stopIfTrue="1">
      <formula>$B1070="Tender Received"</formula>
    </cfRule>
  </conditionalFormatting>
  <conditionalFormatting sqref="Q1070">
    <cfRule type="expression" dxfId="299" priority="299" stopIfTrue="1">
      <formula>AND($B1070="Tender Received",$D1070&lt;=(TODAY()+3))</formula>
    </cfRule>
    <cfRule type="expression" dxfId="298" priority="300" stopIfTrue="1">
      <formula>$B1070="Tender Received"</formula>
    </cfRule>
  </conditionalFormatting>
  <conditionalFormatting sqref="B1071:P1071 R1071">
    <cfRule type="expression" dxfId="297" priority="297" stopIfTrue="1">
      <formula>AND($B1071="Tender Received",$D1071&lt;=(TODAY()+3))</formula>
    </cfRule>
    <cfRule type="expression" dxfId="296" priority="298" stopIfTrue="1">
      <formula>$B1071="Tender Received"</formula>
    </cfRule>
  </conditionalFormatting>
  <conditionalFormatting sqref="Q1071">
    <cfRule type="expression" dxfId="295" priority="295" stopIfTrue="1">
      <formula>AND($B1071="Tender Received",$D1071&lt;=(TODAY()+3))</formula>
    </cfRule>
    <cfRule type="expression" dxfId="294" priority="296" stopIfTrue="1">
      <formula>$B1071="Tender Received"</formula>
    </cfRule>
  </conditionalFormatting>
  <conditionalFormatting sqref="B1072:G1072 J1072:R1072">
    <cfRule type="expression" dxfId="293" priority="293" stopIfTrue="1">
      <formula>AND($B1072="Tender Received",$D1072&lt;=(TODAY()+3))</formula>
    </cfRule>
    <cfRule type="expression" dxfId="292" priority="294" stopIfTrue="1">
      <formula>$B1072="Tender Received"</formula>
    </cfRule>
  </conditionalFormatting>
  <conditionalFormatting sqref="I1072">
    <cfRule type="expression" dxfId="291" priority="291" stopIfTrue="1">
      <formula>AND($B1072="Tender Received",$D1072&lt;=(TODAY()+3))</formula>
    </cfRule>
    <cfRule type="expression" dxfId="290" priority="292" stopIfTrue="1">
      <formula>$B1072="Tender Received"</formula>
    </cfRule>
  </conditionalFormatting>
  <conditionalFormatting sqref="H1072">
    <cfRule type="expression" dxfId="289" priority="289" stopIfTrue="1">
      <formula>AND($B1072="Tender Received",$D1072&lt;=(TODAY()+3))</formula>
    </cfRule>
    <cfRule type="expression" dxfId="288" priority="290" stopIfTrue="1">
      <formula>$B1072="Tender Received"</formula>
    </cfRule>
  </conditionalFormatting>
  <conditionalFormatting sqref="B1073:G1073 I1073:P1073 R1073">
    <cfRule type="expression" dxfId="287" priority="287" stopIfTrue="1">
      <formula>AND($B1073="Tender Received",$D1073&lt;=(TODAY()+3))</formula>
    </cfRule>
    <cfRule type="expression" dxfId="286" priority="288" stopIfTrue="1">
      <formula>$B1073="Tender Received"</formula>
    </cfRule>
  </conditionalFormatting>
  <conditionalFormatting sqref="Q1073">
    <cfRule type="expression" dxfId="285" priority="285" stopIfTrue="1">
      <formula>AND($B1073="Tender Received",$D1073&lt;=(TODAY()+3))</formula>
    </cfRule>
    <cfRule type="expression" dxfId="284" priority="286" stopIfTrue="1">
      <formula>$B1073="Tender Received"</formula>
    </cfRule>
  </conditionalFormatting>
  <conditionalFormatting sqref="H1073">
    <cfRule type="expression" dxfId="283" priority="283" stopIfTrue="1">
      <formula>AND($B1073="Tender Received",$D1073&lt;=(TODAY()+3))</formula>
    </cfRule>
    <cfRule type="expression" dxfId="282" priority="284" stopIfTrue="1">
      <formula>$B1073="Tender Received"</formula>
    </cfRule>
  </conditionalFormatting>
  <conditionalFormatting sqref="B1074:R1074">
    <cfRule type="expression" dxfId="281" priority="281" stopIfTrue="1">
      <formula>AND($B1074="Tender Received",$D1074&lt;=(TODAY()+3))</formula>
    </cfRule>
    <cfRule type="expression" dxfId="280" priority="282" stopIfTrue="1">
      <formula>$B1074="Tender Received"</formula>
    </cfRule>
  </conditionalFormatting>
  <conditionalFormatting sqref="R1075 B1075:P1075">
    <cfRule type="expression" dxfId="279" priority="279" stopIfTrue="1">
      <formula>AND($B1075="Tender Received",$D1075&lt;=(TODAY()+3))</formula>
    </cfRule>
    <cfRule type="expression" dxfId="278" priority="280" stopIfTrue="1">
      <formula>$B1075="Tender Received"</formula>
    </cfRule>
  </conditionalFormatting>
  <conditionalFormatting sqref="Q1075">
    <cfRule type="expression" dxfId="277" priority="277" stopIfTrue="1">
      <formula>AND($B1075="Tender Received",$D1075&lt;=(TODAY()+3))</formula>
    </cfRule>
    <cfRule type="expression" dxfId="276" priority="278" stopIfTrue="1">
      <formula>$B1075="Tender Received"</formula>
    </cfRule>
  </conditionalFormatting>
  <conditionalFormatting sqref="B1076:R1076">
    <cfRule type="expression" dxfId="275" priority="275" stopIfTrue="1">
      <formula>AND($B1076="Tender Received",$D1076&lt;=(TODAY()+3))</formula>
    </cfRule>
    <cfRule type="expression" dxfId="274" priority="276" stopIfTrue="1">
      <formula>$B1076="Tender Received"</formula>
    </cfRule>
  </conditionalFormatting>
  <conditionalFormatting sqref="B1077:R1077">
    <cfRule type="expression" dxfId="273" priority="273" stopIfTrue="1">
      <formula>AND($B1077="Tender Received",$D1077&lt;=(TODAY()+3))</formula>
    </cfRule>
    <cfRule type="expression" dxfId="272" priority="274" stopIfTrue="1">
      <formula>$B1077="Tender Received"</formula>
    </cfRule>
  </conditionalFormatting>
  <conditionalFormatting sqref="B1078:R1078">
    <cfRule type="expression" dxfId="271" priority="271" stopIfTrue="1">
      <formula>AND($B1078="Tender Received",$D1078&lt;=(TODAY()+3))</formula>
    </cfRule>
    <cfRule type="expression" dxfId="270" priority="272" stopIfTrue="1">
      <formula>$B1078="Tender Received"</formula>
    </cfRule>
  </conditionalFormatting>
  <conditionalFormatting sqref="B1079:R1079">
    <cfRule type="expression" dxfId="269" priority="269" stopIfTrue="1">
      <formula>AND($B1079="Tender Received",$D1079&lt;=(TODAY()+3))</formula>
    </cfRule>
    <cfRule type="expression" dxfId="268" priority="270" stopIfTrue="1">
      <formula>$B1079="Tender Received"</formula>
    </cfRule>
  </conditionalFormatting>
  <conditionalFormatting sqref="B1080:G1080 I1080:P1080 R1080">
    <cfRule type="expression" dxfId="267" priority="267" stopIfTrue="1">
      <formula>AND($B1080="Tender Received",$D1080&lt;=(TODAY()+3))</formula>
    </cfRule>
    <cfRule type="expression" dxfId="266" priority="268" stopIfTrue="1">
      <formula>$B1080="Tender Received"</formula>
    </cfRule>
  </conditionalFormatting>
  <conditionalFormatting sqref="H1080">
    <cfRule type="expression" dxfId="265" priority="265" stopIfTrue="1">
      <formula>AND($B1080="Tender Received",$D1080&lt;=(TODAY()+3))</formula>
    </cfRule>
    <cfRule type="expression" dxfId="264" priority="266" stopIfTrue="1">
      <formula>$B1080="Tender Received"</formula>
    </cfRule>
  </conditionalFormatting>
  <conditionalFormatting sqref="Q1080">
    <cfRule type="expression" dxfId="263" priority="263" stopIfTrue="1">
      <formula>AND($B1080="Tender Received",$D1080&lt;=(TODAY()+3))</formula>
    </cfRule>
    <cfRule type="expression" dxfId="262" priority="264" stopIfTrue="1">
      <formula>$B1080="Tender Received"</formula>
    </cfRule>
  </conditionalFormatting>
  <conditionalFormatting sqref="B1081:R1081">
    <cfRule type="expression" dxfId="261" priority="261" stopIfTrue="1">
      <formula>AND($B1081="Tender Received",$D1081&lt;=(TODAY()+3))</formula>
    </cfRule>
    <cfRule type="expression" dxfId="260" priority="262" stopIfTrue="1">
      <formula>$B1081="Tender Received"</formula>
    </cfRule>
  </conditionalFormatting>
  <conditionalFormatting sqref="B1082:R1082">
    <cfRule type="expression" dxfId="259" priority="259" stopIfTrue="1">
      <formula>AND($B1082="Tender Received",$D1082&lt;=(TODAY()+3))</formula>
    </cfRule>
    <cfRule type="expression" dxfId="258" priority="260" stopIfTrue="1">
      <formula>$B1082="Tender Received"</formula>
    </cfRule>
  </conditionalFormatting>
  <conditionalFormatting sqref="B1083:R1083">
    <cfRule type="expression" dxfId="257" priority="257" stopIfTrue="1">
      <formula>AND($B1083="Tender Received",$D1083&lt;=(TODAY()+3))</formula>
    </cfRule>
    <cfRule type="expression" dxfId="256" priority="258" stopIfTrue="1">
      <formula>$B1083="Tender Received"</formula>
    </cfRule>
  </conditionalFormatting>
  <conditionalFormatting sqref="B1084:R1084">
    <cfRule type="expression" dxfId="255" priority="255" stopIfTrue="1">
      <formula>AND($B1084="Tender Received",$D1084&lt;=(TODAY()+3))</formula>
    </cfRule>
    <cfRule type="expression" dxfId="254" priority="256" stopIfTrue="1">
      <formula>$B1084="Tender Received"</formula>
    </cfRule>
  </conditionalFormatting>
  <conditionalFormatting sqref="C1088:C1090 O1090:P1090 R1090 O1088 R1088 O1089:R1089 F1092:I1092 D1089:K1091 B1088:B1096 D1088 D1095:K1097 K1092:K1094 D1092 O1093:R1096 Q1092:R1092 D1093:H1094 J1094 O1091:R1091">
    <cfRule type="expression" dxfId="253" priority="253" stopIfTrue="1">
      <formula>AND($B1088="Tender Received",$D1088&lt;=(TODAY()+3))</formula>
    </cfRule>
    <cfRule type="expression" dxfId="252" priority="254" stopIfTrue="1">
      <formula>$B1088="Tender Received"</formula>
    </cfRule>
  </conditionalFormatting>
  <conditionalFormatting sqref="I1091">
    <cfRule type="expression" dxfId="251" priority="251" stopIfTrue="1">
      <formula>AND($B1091="Tender Received",$D1091&lt;=(TODAY()+3))</formula>
    </cfRule>
    <cfRule type="expression" dxfId="250" priority="252" stopIfTrue="1">
      <formula>$B1091="Tender Received"</formula>
    </cfRule>
  </conditionalFormatting>
  <conditionalFormatting sqref="I1095">
    <cfRule type="expression" dxfId="249" priority="249" stopIfTrue="1">
      <formula>AND($B1095="Tender Received",$D1095&lt;=(TODAY()+3))</formula>
    </cfRule>
    <cfRule type="expression" dxfId="248" priority="250" stopIfTrue="1">
      <formula>$B1095="Tender Received"</formula>
    </cfRule>
  </conditionalFormatting>
  <conditionalFormatting sqref="M1088:N1091 M1093:N1096 M1092">
    <cfRule type="expression" dxfId="247" priority="247" stopIfTrue="1">
      <formula>AND($B1088="Tender Received",$D1088&lt;=(TODAY()+3))</formula>
    </cfRule>
    <cfRule type="expression" dxfId="246" priority="248" stopIfTrue="1">
      <formula>$B1088="Tender Received"</formula>
    </cfRule>
  </conditionalFormatting>
  <conditionalFormatting sqref="L1093">
    <cfRule type="expression" dxfId="245" priority="245" stopIfTrue="1">
      <formula>AND($B1093="Tender Received",$D1093&lt;=(TODAY()+3))</formula>
    </cfRule>
    <cfRule type="expression" dxfId="244" priority="246" stopIfTrue="1">
      <formula>$B1093="Tender Received"</formula>
    </cfRule>
  </conditionalFormatting>
  <conditionalFormatting sqref="L1088">
    <cfRule type="expression" dxfId="243" priority="243" stopIfTrue="1">
      <formula>AND($B1088="Tender Received",$D1088&lt;=(TODAY()+3))</formula>
    </cfRule>
    <cfRule type="expression" dxfId="242" priority="244" stopIfTrue="1">
      <formula>$B1088="Tender Received"</formula>
    </cfRule>
  </conditionalFormatting>
  <conditionalFormatting sqref="L1096">
    <cfRule type="expression" dxfId="241" priority="241" stopIfTrue="1">
      <formula>AND($B1096="Tender Received",$D1096&lt;=(TODAY()+3))</formula>
    </cfRule>
    <cfRule type="expression" dxfId="240" priority="242" stopIfTrue="1">
      <formula>$B1096="Tender Received"</formula>
    </cfRule>
  </conditionalFormatting>
  <conditionalFormatting sqref="C1089:C1097">
    <cfRule type="expression" dxfId="239" priority="239" stopIfTrue="1">
      <formula>AND($B1089="Tender Received",$D1089&lt;=(TODAY()+3))</formula>
    </cfRule>
    <cfRule type="expression" dxfId="238" priority="240" stopIfTrue="1">
      <formula>$B1089="Tender Received"</formula>
    </cfRule>
  </conditionalFormatting>
  <conditionalFormatting sqref="I1092">
    <cfRule type="expression" dxfId="237" priority="237" stopIfTrue="1">
      <formula>AND($B1092="Tender Received",$D1092&lt;=(TODAY()+3))</formula>
    </cfRule>
    <cfRule type="expression" dxfId="236" priority="238" stopIfTrue="1">
      <formula>$B1092="Tender Received"</formula>
    </cfRule>
  </conditionalFormatting>
  <conditionalFormatting sqref="J1106:R1106 R1109 M1096:R1096 O1095:R1095 B1100:B1103 B1097:G1097 B1106:C1106 B1108:C1108 B1109:P1109 B1107:R1107 M1097:P1097 R1097 J1108:R1108 R1104 E1108:H1108 E1106:G1106 B1110:G1110 I1110:R1110 D1095:G1096 H1095:K1097 B1112:R1112 B1104:G1104 I1104:P1104 B1105:R1105 B1111:H1111 J1111:R1111">
    <cfRule type="expression" dxfId="235" priority="233" stopIfTrue="1">
      <formula>AND($B1095="Tender Received",$D1095&lt;=(TODAY()+3))</formula>
    </cfRule>
    <cfRule type="expression" dxfId="234" priority="234" stopIfTrue="1">
      <formula>$B1095="Tender Received"</formula>
    </cfRule>
  </conditionalFormatting>
  <conditionalFormatting sqref="M1097:N1097">
    <cfRule type="expression" dxfId="233" priority="231" stopIfTrue="1">
      <formula>AND($B1097="Tender Received",$D1097&lt;=(TODAY()+3))</formula>
    </cfRule>
    <cfRule type="expression" dxfId="232" priority="232" stopIfTrue="1">
      <formula>$B1097="Tender Received"</formula>
    </cfRule>
  </conditionalFormatting>
  <conditionalFormatting sqref="L1097">
    <cfRule type="expression" dxfId="231" priority="229" stopIfTrue="1">
      <formula>AND($B1097="Tender Received",$D1097&lt;=(TODAY()+3))</formula>
    </cfRule>
    <cfRule type="expression" dxfId="230" priority="230" stopIfTrue="1">
      <formula>$B1097="Tender Received"</formula>
    </cfRule>
  </conditionalFormatting>
  <conditionalFormatting sqref="C1097">
    <cfRule type="expression" dxfId="229" priority="227" stopIfTrue="1">
      <formula>AND($B1097="Tender Received",$D1097&lt;=(TODAY()+3))</formula>
    </cfRule>
    <cfRule type="expression" dxfId="228" priority="228" stopIfTrue="1">
      <formula>$B1097="Tender Received"</formula>
    </cfRule>
  </conditionalFormatting>
  <conditionalFormatting sqref="I1108">
    <cfRule type="expression" dxfId="227" priority="225" stopIfTrue="1">
      <formula>AND($B1108="Tender Received",$D1108&lt;=(TODAY()+3))</formula>
    </cfRule>
    <cfRule type="expression" dxfId="226" priority="226" stopIfTrue="1">
      <formula>$B1108="Tender Received"</formula>
    </cfRule>
  </conditionalFormatting>
  <conditionalFormatting sqref="Q1107">
    <cfRule type="expression" dxfId="225" priority="235" stopIfTrue="1">
      <formula>AND($B1109="Tender Received",$D1109&lt;=(TODAY()+3))</formula>
    </cfRule>
    <cfRule type="expression" dxfId="224" priority="236" stopIfTrue="1">
      <formula>$B1109="Tender Received"</formula>
    </cfRule>
  </conditionalFormatting>
  <conditionalFormatting sqref="L1089">
    <cfRule type="expression" dxfId="223" priority="223" stopIfTrue="1">
      <formula>AND($B1089="Tender Received",$D1089&lt;=(TODAY()+3))</formula>
    </cfRule>
    <cfRule type="expression" dxfId="222" priority="224" stopIfTrue="1">
      <formula>$B1089="Tender Received"</formula>
    </cfRule>
  </conditionalFormatting>
  <conditionalFormatting sqref="L1092">
    <cfRule type="expression" dxfId="221" priority="221" stopIfTrue="1">
      <formula>AND($B1092="Tender Received",$D1092&lt;=(TODAY()+3))</formula>
    </cfRule>
    <cfRule type="expression" dxfId="220" priority="222" stopIfTrue="1">
      <formula>$B1092="Tender Received"</formula>
    </cfRule>
  </conditionalFormatting>
  <conditionalFormatting sqref="L1091">
    <cfRule type="expression" dxfId="219" priority="219" stopIfTrue="1">
      <formula>AND($B1091="Tender Received",$D1091&lt;=(TODAY()+3))</formula>
    </cfRule>
    <cfRule type="expression" dxfId="218" priority="220" stopIfTrue="1">
      <formula>$B1091="Tender Received"</formula>
    </cfRule>
  </conditionalFormatting>
  <conditionalFormatting sqref="L1090">
    <cfRule type="expression" dxfId="217" priority="217" stopIfTrue="1">
      <formula>AND($B1090="Tender Received",$D1090&lt;=(TODAY()+3))</formula>
    </cfRule>
    <cfRule type="expression" dxfId="216" priority="218" stopIfTrue="1">
      <formula>$B1090="Tender Received"</formula>
    </cfRule>
  </conditionalFormatting>
  <conditionalFormatting sqref="L1094">
    <cfRule type="expression" dxfId="215" priority="215" stopIfTrue="1">
      <formula>AND($B1094="Tender Received",$D1094&lt;=(TODAY()+3))</formula>
    </cfRule>
    <cfRule type="expression" dxfId="214" priority="216" stopIfTrue="1">
      <formula>$B1094="Tender Received"</formula>
    </cfRule>
  </conditionalFormatting>
  <conditionalFormatting sqref="I1089">
    <cfRule type="expression" dxfId="213" priority="213" stopIfTrue="1">
      <formula>AND($B1089="Tender Received",$D1089&lt;=(TODAY()+3))</formula>
    </cfRule>
    <cfRule type="expression" dxfId="212" priority="214" stopIfTrue="1">
      <formula>$B1089="Tender Received"</formula>
    </cfRule>
  </conditionalFormatting>
  <conditionalFormatting sqref="L1091">
    <cfRule type="expression" dxfId="211" priority="211" stopIfTrue="1">
      <formula>AND($B1091="Tender Received",$D1091&lt;=(TODAY()+3))</formula>
    </cfRule>
    <cfRule type="expression" dxfId="210" priority="212" stopIfTrue="1">
      <formula>$B1091="Tender Received"</formula>
    </cfRule>
  </conditionalFormatting>
  <conditionalFormatting sqref="L1094">
    <cfRule type="expression" dxfId="209" priority="209" stopIfTrue="1">
      <formula>AND($B1094="Tender Received",$D1094&lt;=(TODAY()+3))</formula>
    </cfRule>
    <cfRule type="expression" dxfId="208" priority="210" stopIfTrue="1">
      <formula>$B1094="Tender Received"</formula>
    </cfRule>
  </conditionalFormatting>
  <conditionalFormatting sqref="I1090">
    <cfRule type="expression" dxfId="207" priority="207" stopIfTrue="1">
      <formula>AND($B1090="Tender Received",$D1090&lt;=(TODAY()+3))</formula>
    </cfRule>
    <cfRule type="expression" dxfId="206" priority="208" stopIfTrue="1">
      <formula>$B1090="Tender Received"</formula>
    </cfRule>
  </conditionalFormatting>
  <conditionalFormatting sqref="M1095:N1095">
    <cfRule type="expression" dxfId="205" priority="205" stopIfTrue="1">
      <formula>AND($B1095="Tender Received",$D1095&lt;=(TODAY()+3))</formula>
    </cfRule>
    <cfRule type="expression" dxfId="204" priority="206" stopIfTrue="1">
      <formula>$B1095="Tender Received"</formula>
    </cfRule>
  </conditionalFormatting>
  <conditionalFormatting sqref="L1097">
    <cfRule type="expression" dxfId="203" priority="203" stopIfTrue="1">
      <formula>AND($B1097="Tender Received",$D1097&lt;=(TODAY()+3))</formula>
    </cfRule>
    <cfRule type="expression" dxfId="202" priority="204" stopIfTrue="1">
      <formula>$B1097="Tender Received"</formula>
    </cfRule>
  </conditionalFormatting>
  <conditionalFormatting sqref="C1095:C1097">
    <cfRule type="expression" dxfId="201" priority="201" stopIfTrue="1">
      <formula>AND($B1095="Tender Received",$D1095&lt;=(TODAY()+3))</formula>
    </cfRule>
    <cfRule type="expression" dxfId="200" priority="202" stopIfTrue="1">
      <formula>$B1095="Tender Received"</formula>
    </cfRule>
  </conditionalFormatting>
  <conditionalFormatting sqref="L1090">
    <cfRule type="expression" dxfId="199" priority="199" stopIfTrue="1">
      <formula>AND($B1090="Tender Received",$D1090&lt;=(TODAY()+3))</formula>
    </cfRule>
    <cfRule type="expression" dxfId="198" priority="200" stopIfTrue="1">
      <formula>$B1090="Tender Received"</formula>
    </cfRule>
  </conditionalFormatting>
  <conditionalFormatting sqref="L1089">
    <cfRule type="expression" dxfId="197" priority="197" stopIfTrue="1">
      <formula>AND($B1089="Tender Received",$D1089&lt;=(TODAY()+3))</formula>
    </cfRule>
    <cfRule type="expression" dxfId="196" priority="198" stopIfTrue="1">
      <formula>$B1089="Tender Received"</formula>
    </cfRule>
  </conditionalFormatting>
  <conditionalFormatting sqref="L1093">
    <cfRule type="expression" dxfId="195" priority="195" stopIfTrue="1">
      <formula>AND($B1093="Tender Received",$D1093&lt;=(TODAY()+3))</formula>
    </cfRule>
    <cfRule type="expression" dxfId="194" priority="196" stopIfTrue="1">
      <formula>$B1093="Tender Received"</formula>
    </cfRule>
  </conditionalFormatting>
  <conditionalFormatting sqref="L1088">
    <cfRule type="expression" dxfId="193" priority="193" stopIfTrue="1">
      <formula>AND($B1088="Tender Received",$D1088&lt;=(TODAY()+3))</formula>
    </cfRule>
    <cfRule type="expression" dxfId="192" priority="194" stopIfTrue="1">
      <formula>$B1088="Tender Received"</formula>
    </cfRule>
  </conditionalFormatting>
  <conditionalFormatting sqref="L1092">
    <cfRule type="expression" dxfId="191" priority="191" stopIfTrue="1">
      <formula>AND($B1092="Tender Received",$D1092&lt;=(TODAY()+3))</formula>
    </cfRule>
    <cfRule type="expression" dxfId="190" priority="192" stopIfTrue="1">
      <formula>$B1092="Tender Received"</formula>
    </cfRule>
  </conditionalFormatting>
  <conditionalFormatting sqref="L1096">
    <cfRule type="expression" dxfId="189" priority="189" stopIfTrue="1">
      <formula>AND($B1096="Tender Received",$D1096&lt;=(TODAY()+3))</formula>
    </cfRule>
    <cfRule type="expression" dxfId="188" priority="190" stopIfTrue="1">
      <formula>$B1096="Tender Received"</formula>
    </cfRule>
  </conditionalFormatting>
  <conditionalFormatting sqref="C1103:H1103 J1103:P1103 C1100:H1100 J1100:K1100 L1102:M1102 M1100:P1100 R1102:R1103 R1100">
    <cfRule type="expression" dxfId="187" priority="187" stopIfTrue="1">
      <formula>AND($B1100="Tender Received",$D1100&lt;=(TODAY()+3))</formula>
    </cfRule>
    <cfRule type="expression" dxfId="186" priority="188" stopIfTrue="1">
      <formula>$B1100="Tender Received"</formula>
    </cfRule>
  </conditionalFormatting>
  <conditionalFormatting sqref="L1100">
    <cfRule type="expression" dxfId="185" priority="185" stopIfTrue="1">
      <formula>AND($B1100="Tender Received",$D1100&lt;=(TODAY()+3))</formula>
    </cfRule>
    <cfRule type="expression" dxfId="184" priority="186" stopIfTrue="1">
      <formula>$B1100="Tender Received"</formula>
    </cfRule>
  </conditionalFormatting>
  <conditionalFormatting sqref="I1103">
    <cfRule type="expression" dxfId="183" priority="183" stopIfTrue="1">
      <formula>AND($B1103="Tender Received",$D1103&lt;=(TODAY()+3))</formula>
    </cfRule>
    <cfRule type="expression" dxfId="182" priority="184" stopIfTrue="1">
      <formula>$B1103="Tender Received"</formula>
    </cfRule>
  </conditionalFormatting>
  <conditionalFormatting sqref="I1100">
    <cfRule type="expression" dxfId="181" priority="181" stopIfTrue="1">
      <formula>AND($B1100="Tender Received",$D1100&lt;=(TODAY()+3))</formula>
    </cfRule>
    <cfRule type="expression" dxfId="180" priority="182" stopIfTrue="1">
      <formula>$B1100="Tender Received"</formula>
    </cfRule>
  </conditionalFormatting>
  <conditionalFormatting sqref="J1101:K1101 C1101:G1101 R1101 M1101">
    <cfRule type="expression" dxfId="179" priority="179" stopIfTrue="1">
      <formula>AND($B1101="Tender Received",$D1101&lt;=(TODAY()+3))</formula>
    </cfRule>
    <cfRule type="expression" dxfId="178" priority="180" stopIfTrue="1">
      <formula>$B1101="Tender Received"</formula>
    </cfRule>
  </conditionalFormatting>
  <conditionalFormatting sqref="I1101">
    <cfRule type="expression" dxfId="177" priority="177" stopIfTrue="1">
      <formula>AND($B1101="Tender Received",$D1101&lt;=(TODAY()+3))</formula>
    </cfRule>
    <cfRule type="expression" dxfId="176" priority="178" stopIfTrue="1">
      <formula>$B1101="Tender Received"</formula>
    </cfRule>
  </conditionalFormatting>
  <conditionalFormatting sqref="D1102:J1102">
    <cfRule type="expression" dxfId="175" priority="175" stopIfTrue="1">
      <formula>AND($B1102="Tender Received",$D1102&lt;=(TODAY()+3))</formula>
    </cfRule>
    <cfRule type="expression" dxfId="174" priority="176" stopIfTrue="1">
      <formula>$B1102="Tender Received"</formula>
    </cfRule>
  </conditionalFormatting>
  <conditionalFormatting sqref="N1101:P1102">
    <cfRule type="expression" dxfId="173" priority="173" stopIfTrue="1">
      <formula>AND($B1101="Tender Received",$D1101&lt;=(TODAY()+3))</formula>
    </cfRule>
    <cfRule type="expression" dxfId="172" priority="174" stopIfTrue="1">
      <formula>$B1101="Tender Received"</formula>
    </cfRule>
  </conditionalFormatting>
  <conditionalFormatting sqref="J1092">
    <cfRule type="expression" dxfId="171" priority="171" stopIfTrue="1">
      <formula>AND($B1092="Tender Received",$D1092&lt;=(TODAY()+3))</formula>
    </cfRule>
    <cfRule type="expression" dxfId="170" priority="172" stopIfTrue="1">
      <formula>$B1092="Tender Received"</formula>
    </cfRule>
  </conditionalFormatting>
  <conditionalFormatting sqref="C1094">
    <cfRule type="expression" dxfId="169" priority="169" stopIfTrue="1">
      <formula>AND($B1094="Tender Received",$D1094&lt;=(TODAY()+3))</formula>
    </cfRule>
    <cfRule type="expression" dxfId="168" priority="170" stopIfTrue="1">
      <formula>$B1094="Tender Received"</formula>
    </cfRule>
  </conditionalFormatting>
  <conditionalFormatting sqref="H1097:I1097">
    <cfRule type="expression" dxfId="167" priority="167" stopIfTrue="1">
      <formula>AND($B1097="Tender Received",$D1097&lt;=(TODAY()+3))</formula>
    </cfRule>
    <cfRule type="expression" dxfId="166" priority="168" stopIfTrue="1">
      <formula>$B1097="Tender Received"</formula>
    </cfRule>
  </conditionalFormatting>
  <conditionalFormatting sqref="Q1097">
    <cfRule type="expression" dxfId="165" priority="165" stopIfTrue="1">
      <formula>AND($B1097="Tender Received",$D1097&lt;=(TODAY()+3))</formula>
    </cfRule>
    <cfRule type="expression" dxfId="164" priority="166" stopIfTrue="1">
      <formula>$B1097="Tender Received"</formula>
    </cfRule>
  </conditionalFormatting>
  <conditionalFormatting sqref="C1102">
    <cfRule type="expression" dxfId="163" priority="163" stopIfTrue="1">
      <formula>AND($B1102="Tender Received",$D1102&lt;=(TODAY()+3))</formula>
    </cfRule>
    <cfRule type="expression" dxfId="162" priority="164" stopIfTrue="1">
      <formula>$B1102="Tender Received"</formula>
    </cfRule>
  </conditionalFormatting>
  <conditionalFormatting sqref="H1106:I1106">
    <cfRule type="expression" dxfId="161" priority="161" stopIfTrue="1">
      <formula>AND($B1106="Tender Received",$D1106&lt;=(TODAY()+3))</formula>
    </cfRule>
    <cfRule type="expression" dxfId="160" priority="162" stopIfTrue="1">
      <formula>$B1106="Tender Received"</formula>
    </cfRule>
  </conditionalFormatting>
  <conditionalFormatting sqref="L1095">
    <cfRule type="expression" dxfId="159" priority="159" stopIfTrue="1">
      <formula>AND($B1095="Tender Received",$D1095&lt;=(TODAY()+3))</formula>
    </cfRule>
    <cfRule type="expression" dxfId="158" priority="160" stopIfTrue="1">
      <formula>$B1095="Tender Received"</formula>
    </cfRule>
  </conditionalFormatting>
  <conditionalFormatting sqref="L1095">
    <cfRule type="expression" dxfId="157" priority="157" stopIfTrue="1">
      <formula>AND($B1095="Tender Received",$D1095&lt;=(TODAY()+3))</formula>
    </cfRule>
    <cfRule type="expression" dxfId="156" priority="158" stopIfTrue="1">
      <formula>$B1095="Tender Received"</formula>
    </cfRule>
  </conditionalFormatting>
  <conditionalFormatting sqref="Q1090">
    <cfRule type="expression" dxfId="155" priority="155" stopIfTrue="1">
      <formula>AND($B1090="Tender Received",$D1090&lt;=(TODAY()+3))</formula>
    </cfRule>
    <cfRule type="expression" dxfId="154" priority="156" stopIfTrue="1">
      <formula>$B1090="Tender Received"</formula>
    </cfRule>
  </conditionalFormatting>
  <conditionalFormatting sqref="J1100:M1100 C1100:G1100 R1100">
    <cfRule type="expression" dxfId="153" priority="153" stopIfTrue="1">
      <formula>AND($B1100="Tender Received",$D1100&lt;=(TODAY()+3))</formula>
    </cfRule>
    <cfRule type="expression" dxfId="152" priority="154" stopIfTrue="1">
      <formula>$B1100="Tender Received"</formula>
    </cfRule>
  </conditionalFormatting>
  <conditionalFormatting sqref="I1100">
    <cfRule type="expression" dxfId="151" priority="151" stopIfTrue="1">
      <formula>AND($B1100="Tender Received",$D1100&lt;=(TODAY()+3))</formula>
    </cfRule>
    <cfRule type="expression" dxfId="150" priority="152" stopIfTrue="1">
      <formula>$B1100="Tender Received"</formula>
    </cfRule>
  </conditionalFormatting>
  <conditionalFormatting sqref="N1100:P1100">
    <cfRule type="expression" dxfId="149" priority="149" stopIfTrue="1">
      <formula>AND($B1100="Tender Received",$D1100&lt;=(TODAY()+3))</formula>
    </cfRule>
    <cfRule type="expression" dxfId="148" priority="150" stopIfTrue="1">
      <formula>$B1100="Tender Received"</formula>
    </cfRule>
  </conditionalFormatting>
  <conditionalFormatting sqref="H1100">
    <cfRule type="expression" dxfId="147" priority="147" stopIfTrue="1">
      <formula>AND($B1100="Tender Received",$D1100&lt;=(TODAY()+3))</formula>
    </cfRule>
    <cfRule type="expression" dxfId="146" priority="148" stopIfTrue="1">
      <formula>$B1100="Tender Received"</formula>
    </cfRule>
  </conditionalFormatting>
  <conditionalFormatting sqref="Q1103">
    <cfRule type="expression" dxfId="145" priority="145" stopIfTrue="1">
      <formula>AND($B1103="Tender Received",$D1103&lt;=(TODAY()+3))</formula>
    </cfRule>
    <cfRule type="expression" dxfId="144" priority="146" stopIfTrue="1">
      <formula>$B1103="Tender Received"</formula>
    </cfRule>
  </conditionalFormatting>
  <conditionalFormatting sqref="E1092">
    <cfRule type="expression" dxfId="143" priority="143" stopIfTrue="1">
      <formula>AND($B1092="Tender Received",$D1092&lt;=(TODAY()+3))</formula>
    </cfRule>
    <cfRule type="expression" dxfId="142" priority="144" stopIfTrue="1">
      <formula>$B1092="Tender Received"</formula>
    </cfRule>
  </conditionalFormatting>
  <conditionalFormatting sqref="Q1100">
    <cfRule type="expression" dxfId="141" priority="141" stopIfTrue="1">
      <formula>AND($B1100="Tender Received",$D1100&lt;=(TODAY()+3))</formula>
    </cfRule>
    <cfRule type="expression" dxfId="140" priority="142" stopIfTrue="1">
      <formula>$B1100="Tender Received"</formula>
    </cfRule>
  </conditionalFormatting>
  <conditionalFormatting sqref="Q1100">
    <cfRule type="expression" dxfId="139" priority="139" stopIfTrue="1">
      <formula>AND($B1100="Tender Received",$D1100&lt;=(TODAY()+3))</formula>
    </cfRule>
    <cfRule type="expression" dxfId="138" priority="140" stopIfTrue="1">
      <formula>$B1100="Tender Received"</formula>
    </cfRule>
  </conditionalFormatting>
  <conditionalFormatting sqref="J1093">
    <cfRule type="expression" dxfId="137" priority="137" stopIfTrue="1">
      <formula>AND($B1093="Tender Received",$D1093&lt;=(TODAY()+3))</formula>
    </cfRule>
    <cfRule type="expression" dxfId="136" priority="138" stopIfTrue="1">
      <formula>$B1093="Tender Received"</formula>
    </cfRule>
  </conditionalFormatting>
  <conditionalFormatting sqref="I1096">
    <cfRule type="expression" dxfId="135" priority="135" stopIfTrue="1">
      <formula>AND($B1096="Tender Received",$D1096&lt;=(TODAY()+3))</formula>
    </cfRule>
    <cfRule type="expression" dxfId="134" priority="136" stopIfTrue="1">
      <formula>$B1096="Tender Received"</formula>
    </cfRule>
  </conditionalFormatting>
  <conditionalFormatting sqref="C1095">
    <cfRule type="expression" dxfId="133" priority="133" stopIfTrue="1">
      <formula>AND($B1095="Tender Received",$D1095&lt;=(TODAY()+3))</formula>
    </cfRule>
    <cfRule type="expression" dxfId="132" priority="134" stopIfTrue="1">
      <formula>$B1095="Tender Received"</formula>
    </cfRule>
  </conditionalFormatting>
  <conditionalFormatting sqref="J1094">
    <cfRule type="expression" dxfId="131" priority="131" stopIfTrue="1">
      <formula>AND($B1094="Tender Received",$D1094&lt;=(TODAY()+3))</formula>
    </cfRule>
    <cfRule type="expression" dxfId="130" priority="132" stopIfTrue="1">
      <formula>$B1094="Tender Received"</formula>
    </cfRule>
  </conditionalFormatting>
  <conditionalFormatting sqref="Q1108">
    <cfRule type="expression" dxfId="129" priority="129" stopIfTrue="1">
      <formula>AND($B1110="Tender Received",$D1110&lt;=(TODAY()+3))</formula>
    </cfRule>
    <cfRule type="expression" dxfId="128" priority="130" stopIfTrue="1">
      <formula>$B1110="Tender Received"</formula>
    </cfRule>
  </conditionalFormatting>
  <conditionalFormatting sqref="Q1109">
    <cfRule type="expression" dxfId="127" priority="127" stopIfTrue="1">
      <formula>AND($B1109="Tender Received",$D1109&lt;=(TODAY()+3))</formula>
    </cfRule>
    <cfRule type="expression" dxfId="126" priority="128" stopIfTrue="1">
      <formula>$B1109="Tender Received"</formula>
    </cfRule>
  </conditionalFormatting>
  <conditionalFormatting sqref="Q1109">
    <cfRule type="expression" dxfId="125" priority="125" stopIfTrue="1">
      <formula>AND($B1111="Tender Received",$D1111&lt;=(TODAY()+3))</formula>
    </cfRule>
    <cfRule type="expression" dxfId="124" priority="126" stopIfTrue="1">
      <formula>$B1111="Tender Received"</formula>
    </cfRule>
  </conditionalFormatting>
  <conditionalFormatting sqref="Q1104">
    <cfRule type="expression" dxfId="123" priority="123" stopIfTrue="1">
      <formula>AND($B1104="Tender Received",$D1104&lt;=(TODAY()+3))</formula>
    </cfRule>
    <cfRule type="expression" dxfId="122" priority="124" stopIfTrue="1">
      <formula>$B1104="Tender Received"</formula>
    </cfRule>
  </conditionalFormatting>
  <conditionalFormatting sqref="D1108">
    <cfRule type="expression" dxfId="121" priority="121" stopIfTrue="1">
      <formula>AND($B1108="Tender Received",$D1108&lt;=(TODAY()+3))</formula>
    </cfRule>
    <cfRule type="expression" dxfId="120" priority="122" stopIfTrue="1">
      <formula>$B1108="Tender Received"</formula>
    </cfRule>
  </conditionalFormatting>
  <conditionalFormatting sqref="H1101">
    <cfRule type="expression" dxfId="119" priority="119" stopIfTrue="1">
      <formula>AND($B1101="Tender Received",$D1101&lt;=(TODAY()+3))</formula>
    </cfRule>
    <cfRule type="expression" dxfId="118" priority="120" stopIfTrue="1">
      <formula>$B1101="Tender Received"</formula>
    </cfRule>
  </conditionalFormatting>
  <conditionalFormatting sqref="D1106">
    <cfRule type="expression" dxfId="117" priority="117" stopIfTrue="1">
      <formula>AND($B1106="Tender Received",$D1106&lt;=(TODAY()+3))</formula>
    </cfRule>
    <cfRule type="expression" dxfId="116" priority="118" stopIfTrue="1">
      <formula>$B1106="Tender Received"</formula>
    </cfRule>
  </conditionalFormatting>
  <conditionalFormatting sqref="I1093">
    <cfRule type="expression" dxfId="115" priority="115" stopIfTrue="1">
      <formula>AND($B1093="Tender Received",$D1093&lt;=(TODAY()+3))</formula>
    </cfRule>
    <cfRule type="expression" dxfId="114" priority="116" stopIfTrue="1">
      <formula>$B1093="Tender Received"</formula>
    </cfRule>
  </conditionalFormatting>
  <conditionalFormatting sqref="B1086">
    <cfRule type="expression" dxfId="113" priority="113" stopIfTrue="1">
      <formula>AND($B1086="Tender Received",$D1086&lt;=(TODAY()+3))</formula>
    </cfRule>
    <cfRule type="expression" dxfId="112" priority="114" stopIfTrue="1">
      <formula>$B1086="Tender Received"</formula>
    </cfRule>
  </conditionalFormatting>
  <conditionalFormatting sqref="Q1086:R1086 C1086:H1086 J1086:K1086">
    <cfRule type="expression" dxfId="111" priority="111" stopIfTrue="1">
      <formula>AND($B1086="Tender Received",$D1086&lt;=(TODAY()+3))</formula>
    </cfRule>
    <cfRule type="expression" dxfId="110" priority="112" stopIfTrue="1">
      <formula>$B1086="Tender Received"</formula>
    </cfRule>
  </conditionalFormatting>
  <conditionalFormatting sqref="M1086">
    <cfRule type="expression" dxfId="109" priority="109" stopIfTrue="1">
      <formula>AND($B1086="Tender Received",$D1086&lt;=(TODAY()+3))</formula>
    </cfRule>
    <cfRule type="expression" dxfId="108" priority="110" stopIfTrue="1">
      <formula>$B1086="Tender Received"</formula>
    </cfRule>
  </conditionalFormatting>
  <conditionalFormatting sqref="J1086">
    <cfRule type="expression" dxfId="107" priority="107" stopIfTrue="1">
      <formula>AND($B1086="Tender Received",$D1086&lt;=(TODAY()+3))</formula>
    </cfRule>
    <cfRule type="expression" dxfId="106" priority="108" stopIfTrue="1">
      <formula>$B1086="Tender Received"</formula>
    </cfRule>
  </conditionalFormatting>
  <conditionalFormatting sqref="L1086">
    <cfRule type="expression" dxfId="105" priority="105" stopIfTrue="1">
      <formula>AND($B1086="Tender Received",$D1086&lt;=(TODAY()+3))</formula>
    </cfRule>
    <cfRule type="expression" dxfId="104" priority="106" stopIfTrue="1">
      <formula>$B1086="Tender Received"</formula>
    </cfRule>
  </conditionalFormatting>
  <conditionalFormatting sqref="L1086">
    <cfRule type="expression" dxfId="103" priority="103" stopIfTrue="1">
      <formula>AND($B1086="Tender Received",$D1086&lt;=(TODAY()+3))</formula>
    </cfRule>
    <cfRule type="expression" dxfId="102" priority="104" stopIfTrue="1">
      <formula>$B1086="Tender Received"</formula>
    </cfRule>
  </conditionalFormatting>
  <conditionalFormatting sqref="O1085:P1085 B1085:H1085 J1085:K1085 R1085">
    <cfRule type="expression" dxfId="101" priority="101" stopIfTrue="1">
      <formula>AND($B1085="Tender Received",$D1085&lt;=(TODAY()+3))</formula>
    </cfRule>
    <cfRule type="expression" dxfId="100" priority="102" stopIfTrue="1">
      <formula>$B1085="Tender Received"</formula>
    </cfRule>
  </conditionalFormatting>
  <conditionalFormatting sqref="M1085:N1085">
    <cfRule type="expression" dxfId="99" priority="99" stopIfTrue="1">
      <formula>AND($B1085="Tender Received",$D1085&lt;=(TODAY()+3))</formula>
    </cfRule>
    <cfRule type="expression" dxfId="98" priority="100" stopIfTrue="1">
      <formula>$B1085="Tender Received"</formula>
    </cfRule>
  </conditionalFormatting>
  <conditionalFormatting sqref="L1085">
    <cfRule type="expression" dxfId="97" priority="97" stopIfTrue="1">
      <formula>AND($B1085="Tender Received",$D1085&lt;=(TODAY()+3))</formula>
    </cfRule>
    <cfRule type="expression" dxfId="96" priority="98" stopIfTrue="1">
      <formula>$B1085="Tender Received"</formula>
    </cfRule>
  </conditionalFormatting>
  <conditionalFormatting sqref="L1085">
    <cfRule type="expression" dxfId="95" priority="95" stopIfTrue="1">
      <formula>AND($B1085="Tender Received",$D1085&lt;=(TODAY()+3))</formula>
    </cfRule>
    <cfRule type="expression" dxfId="94" priority="96" stopIfTrue="1">
      <formula>$B1085="Tender Received"</formula>
    </cfRule>
  </conditionalFormatting>
  <conditionalFormatting sqref="J1087:K1087 E1087:H1087 R1087">
    <cfRule type="expression" dxfId="93" priority="93" stopIfTrue="1">
      <formula>AND($B1087="Tender Received",$D1087&lt;=(TODAY()+3))</formula>
    </cfRule>
    <cfRule type="expression" dxfId="92" priority="94" stopIfTrue="1">
      <formula>$B1087="Tender Received"</formula>
    </cfRule>
  </conditionalFormatting>
  <conditionalFormatting sqref="M1087">
    <cfRule type="expression" dxfId="91" priority="91" stopIfTrue="1">
      <formula>AND($B1087="Tender Received",$D1087&lt;=(TODAY()+3))</formula>
    </cfRule>
    <cfRule type="expression" dxfId="90" priority="92" stopIfTrue="1">
      <formula>$B1087="Tender Received"</formula>
    </cfRule>
  </conditionalFormatting>
  <conditionalFormatting sqref="B1087">
    <cfRule type="expression" dxfId="89" priority="89" stopIfTrue="1">
      <formula>AND($B1087="Tender Received",$D1087&lt;=(TODAY()+3))</formula>
    </cfRule>
    <cfRule type="expression" dxfId="88" priority="90" stopIfTrue="1">
      <formula>$B1087="Tender Received"</formula>
    </cfRule>
  </conditionalFormatting>
  <conditionalFormatting sqref="J1087:K1087 E1087:H1087 R1087 M1087">
    <cfRule type="expression" dxfId="87" priority="87" stopIfTrue="1">
      <formula>AND($B1087="Tender Received",$D1087&lt;=(TODAY()+3))</formula>
    </cfRule>
    <cfRule type="expression" dxfId="86" priority="88" stopIfTrue="1">
      <formula>$B1087="Tender Received"</formula>
    </cfRule>
  </conditionalFormatting>
  <conditionalFormatting sqref="L1087">
    <cfRule type="expression" dxfId="85" priority="85" stopIfTrue="1">
      <formula>AND($B1087="Tender Received",$D1087&lt;=(TODAY()+3))</formula>
    </cfRule>
    <cfRule type="expression" dxfId="84" priority="86" stopIfTrue="1">
      <formula>$B1087="Tender Received"</formula>
    </cfRule>
  </conditionalFormatting>
  <conditionalFormatting sqref="L1087">
    <cfRule type="expression" dxfId="83" priority="83" stopIfTrue="1">
      <formula>AND($B1087="Tender Received",$D1087&lt;=(TODAY()+3))</formula>
    </cfRule>
    <cfRule type="expression" dxfId="82" priority="84" stopIfTrue="1">
      <formula>$B1087="Tender Received"</formula>
    </cfRule>
  </conditionalFormatting>
  <conditionalFormatting sqref="D1087">
    <cfRule type="expression" dxfId="81" priority="81" stopIfTrue="1">
      <formula>AND($B1087="Tender Received",$D1087&lt;=(TODAY()+3))</formula>
    </cfRule>
    <cfRule type="expression" dxfId="80" priority="82" stopIfTrue="1">
      <formula>$B1087="Tender Received"</formula>
    </cfRule>
  </conditionalFormatting>
  <conditionalFormatting sqref="O1087:P1087">
    <cfRule type="expression" dxfId="79" priority="79" stopIfTrue="1">
      <formula>AND($B1087="Tender Received",$D1087&lt;=(TODAY()+3))</formula>
    </cfRule>
    <cfRule type="expression" dxfId="78" priority="80" stopIfTrue="1">
      <formula>$B1087="Tender Received"</formula>
    </cfRule>
  </conditionalFormatting>
  <conditionalFormatting sqref="N1087">
    <cfRule type="expression" dxfId="77" priority="77" stopIfTrue="1">
      <formula>AND($B1087="Tender Received",$D1087&lt;=(TODAY()+3))</formula>
    </cfRule>
    <cfRule type="expression" dxfId="76" priority="78" stopIfTrue="1">
      <formula>$B1087="Tender Received"</formula>
    </cfRule>
  </conditionalFormatting>
  <conditionalFormatting sqref="C1087">
    <cfRule type="expression" dxfId="75" priority="75" stopIfTrue="1">
      <formula>AND($B1087="Tender Received",$D1087&lt;=(TODAY()+3))</formula>
    </cfRule>
    <cfRule type="expression" dxfId="74" priority="76" stopIfTrue="1">
      <formula>$B1087="Tender Received"</formula>
    </cfRule>
  </conditionalFormatting>
  <conditionalFormatting sqref="I1087">
    <cfRule type="expression" dxfId="73" priority="73" stopIfTrue="1">
      <formula>AND($B1087="Tender Received",$D1087&lt;=(TODAY()+3))</formula>
    </cfRule>
    <cfRule type="expression" dxfId="72" priority="74" stopIfTrue="1">
      <formula>$B1087="Tender Received"</formula>
    </cfRule>
  </conditionalFormatting>
  <conditionalFormatting sqref="I1087">
    <cfRule type="expression" dxfId="71" priority="71" stopIfTrue="1">
      <formula>AND($B1087="Tender Received",$D1087&lt;=(TODAY()+3))</formula>
    </cfRule>
    <cfRule type="expression" dxfId="70" priority="72" stopIfTrue="1">
      <formula>$B1087="Tender Received"</formula>
    </cfRule>
  </conditionalFormatting>
  <conditionalFormatting sqref="Q1087">
    <cfRule type="expression" dxfId="69" priority="69" stopIfTrue="1">
      <formula>AND($B1087="Tender Received",$D1087&lt;=(TODAY()+3))</formula>
    </cfRule>
    <cfRule type="expression" dxfId="68" priority="70" stopIfTrue="1">
      <formula>$B1087="Tender Received"</formula>
    </cfRule>
  </conditionalFormatting>
  <conditionalFormatting sqref="K1102">
    <cfRule type="expression" dxfId="67" priority="67" stopIfTrue="1">
      <formula>AND($B1102="Tender Received",$D1102&lt;=(TODAY()+3))</formula>
    </cfRule>
    <cfRule type="expression" dxfId="66" priority="68" stopIfTrue="1">
      <formula>$B1102="Tender Received"</formula>
    </cfRule>
  </conditionalFormatting>
  <conditionalFormatting sqref="Q1102">
    <cfRule type="expression" dxfId="65" priority="65" stopIfTrue="1">
      <formula>AND($B1102="Tender Received",$D1102&lt;=(TODAY()+3))</formula>
    </cfRule>
    <cfRule type="expression" dxfId="64" priority="66" stopIfTrue="1">
      <formula>$B1102="Tender Received"</formula>
    </cfRule>
  </conditionalFormatting>
  <conditionalFormatting sqref="Q1101">
    <cfRule type="expression" dxfId="63" priority="63" stopIfTrue="1">
      <formula>AND($B1101="Tender Received",$D1101&lt;=(TODAY()+3))</formula>
    </cfRule>
    <cfRule type="expression" dxfId="62" priority="64" stopIfTrue="1">
      <formula>$B1101="Tender Received"</formula>
    </cfRule>
  </conditionalFormatting>
  <conditionalFormatting sqref="I1086">
    <cfRule type="expression" dxfId="61" priority="61" stopIfTrue="1">
      <formula>AND($B1086="Tender Received",$D1086&lt;=(TODAY()+3))</formula>
    </cfRule>
    <cfRule type="expression" dxfId="60" priority="62" stopIfTrue="1">
      <formula>$B1086="Tender Received"</formula>
    </cfRule>
  </conditionalFormatting>
  <conditionalFormatting sqref="E1088:K1088">
    <cfRule type="expression" dxfId="59" priority="59" stopIfTrue="1">
      <formula>AND($B1088="Tender Received",$D1088&lt;=(TODAY()+3))</formula>
    </cfRule>
    <cfRule type="expression" dxfId="58" priority="60" stopIfTrue="1">
      <formula>$B1088="Tender Received"</formula>
    </cfRule>
  </conditionalFormatting>
  <conditionalFormatting sqref="I1085">
    <cfRule type="expression" dxfId="57" priority="57" stopIfTrue="1">
      <formula>AND($B1085="Tender Received",$D1085&lt;=(TODAY()+3))</formula>
    </cfRule>
    <cfRule type="expression" dxfId="56" priority="58" stopIfTrue="1">
      <formula>$B1085="Tender Received"</formula>
    </cfRule>
  </conditionalFormatting>
  <conditionalFormatting sqref="Q1085">
    <cfRule type="expression" dxfId="55" priority="55" stopIfTrue="1">
      <formula>AND($B1085="Tender Received",$D1085&lt;=(TODAY()+3))</formula>
    </cfRule>
    <cfRule type="expression" dxfId="54" priority="56" stopIfTrue="1">
      <formula>$B1085="Tender Received"</formula>
    </cfRule>
  </conditionalFormatting>
  <conditionalFormatting sqref="H1104">
    <cfRule type="expression" dxfId="53" priority="53" stopIfTrue="1">
      <formula>AND($B1104="Tender Received",$D1104&lt;=(TODAY()+3))</formula>
    </cfRule>
    <cfRule type="expression" dxfId="52" priority="54" stopIfTrue="1">
      <formula>$B1104="Tender Received"</formula>
    </cfRule>
  </conditionalFormatting>
  <conditionalFormatting sqref="B1098:K1098 M1098">
    <cfRule type="expression" dxfId="51" priority="51" stopIfTrue="1">
      <formula>AND($B1098="Tender Received",$D1098&lt;=(TODAY()+3))</formula>
    </cfRule>
    <cfRule type="expression" dxfId="50" priority="52" stopIfTrue="1">
      <formula>$B1098="Tender Received"</formula>
    </cfRule>
  </conditionalFormatting>
  <conditionalFormatting sqref="C1098">
    <cfRule type="expression" dxfId="49" priority="49" stopIfTrue="1">
      <formula>AND($B1098="Tender Received",$D1098&lt;=(TODAY()+3))</formula>
    </cfRule>
    <cfRule type="expression" dxfId="48" priority="50" stopIfTrue="1">
      <formula>$B1098="Tender Received"</formula>
    </cfRule>
  </conditionalFormatting>
  <conditionalFormatting sqref="L1098">
    <cfRule type="expression" dxfId="47" priority="47" stopIfTrue="1">
      <formula>AND($B1098="Tender Received",$D1098&lt;=(TODAY()+3))</formula>
    </cfRule>
    <cfRule type="expression" dxfId="46" priority="48" stopIfTrue="1">
      <formula>$B1098="Tender Received"</formula>
    </cfRule>
  </conditionalFormatting>
  <conditionalFormatting sqref="L1098">
    <cfRule type="expression" dxfId="45" priority="45" stopIfTrue="1">
      <formula>AND($B1098="Tender Received",$D1098&lt;=(TODAY()+3))</formula>
    </cfRule>
    <cfRule type="expression" dxfId="44" priority="46" stopIfTrue="1">
      <formula>$B1098="Tender Received"</formula>
    </cfRule>
  </conditionalFormatting>
  <conditionalFormatting sqref="N1098:P1098 R1098">
    <cfRule type="expression" dxfId="43" priority="43" stopIfTrue="1">
      <formula>AND($B1098="Tender Received",$D1098&lt;=(TODAY()+3))</formula>
    </cfRule>
    <cfRule type="expression" dxfId="42" priority="44" stopIfTrue="1">
      <formula>$B1098="Tender Received"</formula>
    </cfRule>
  </conditionalFormatting>
  <conditionalFormatting sqref="N1098">
    <cfRule type="expression" dxfId="41" priority="41" stopIfTrue="1">
      <formula>AND($B1098="Tender Received",$D1098&lt;=(TODAY()+3))</formula>
    </cfRule>
    <cfRule type="expression" dxfId="40" priority="42" stopIfTrue="1">
      <formula>$B1098="Tender Received"</formula>
    </cfRule>
  </conditionalFormatting>
  <conditionalFormatting sqref="Q1098">
    <cfRule type="expression" dxfId="39" priority="39" stopIfTrue="1">
      <formula>AND($B1098="Tender Received",$D1098&lt;=(TODAY()+3))</formula>
    </cfRule>
    <cfRule type="expression" dxfId="38" priority="40" stopIfTrue="1">
      <formula>$B1098="Tender Received"</formula>
    </cfRule>
  </conditionalFormatting>
  <conditionalFormatting sqref="H1110">
    <cfRule type="expression" dxfId="37" priority="37" stopIfTrue="1">
      <formula>AND($B1110="Tender Received",$D1110&lt;=(TODAY()+3))</formula>
    </cfRule>
    <cfRule type="expression" dxfId="36" priority="38" stopIfTrue="1">
      <formula>$B1110="Tender Received"</formula>
    </cfRule>
  </conditionalFormatting>
  <conditionalFormatting sqref="P1088">
    <cfRule type="expression" dxfId="35" priority="35" stopIfTrue="1">
      <formula>AND($B1088="Tender Received",$D1088&lt;=(TODAY()+3))</formula>
    </cfRule>
    <cfRule type="expression" dxfId="34" priority="36" stopIfTrue="1">
      <formula>$B1088="Tender Received"</formula>
    </cfRule>
  </conditionalFormatting>
  <conditionalFormatting sqref="Q1088">
    <cfRule type="expression" dxfId="33" priority="33" stopIfTrue="1">
      <formula>AND($B1088="Tender Received",$D1088&lt;=(TODAY()+3))</formula>
    </cfRule>
    <cfRule type="expression" dxfId="32" priority="34" stopIfTrue="1">
      <formula>$B1088="Tender Received"</formula>
    </cfRule>
  </conditionalFormatting>
  <conditionalFormatting sqref="O1092:P1092">
    <cfRule type="expression" dxfId="31" priority="31" stopIfTrue="1">
      <formula>AND($B1092="Tender Received",$D1092&lt;=(TODAY()+3))</formula>
    </cfRule>
    <cfRule type="expression" dxfId="30" priority="32" stopIfTrue="1">
      <formula>$B1092="Tender Received"</formula>
    </cfRule>
  </conditionalFormatting>
  <conditionalFormatting sqref="N1092">
    <cfRule type="expression" dxfId="29" priority="29" stopIfTrue="1">
      <formula>AND($B1092="Tender Received",$D1092&lt;=(TODAY()+3))</formula>
    </cfRule>
    <cfRule type="expression" dxfId="28" priority="30" stopIfTrue="1">
      <formula>$B1092="Tender Received"</formula>
    </cfRule>
  </conditionalFormatting>
  <conditionalFormatting sqref="I1111">
    <cfRule type="expression" dxfId="27" priority="27" stopIfTrue="1">
      <formula>AND($B1111="Tender Received",$D1111&lt;=(TODAY()+3))</formula>
    </cfRule>
    <cfRule type="expression" dxfId="26" priority="28" stopIfTrue="1">
      <formula>$B1111="Tender Received"</formula>
    </cfRule>
  </conditionalFormatting>
  <conditionalFormatting sqref="I1094">
    <cfRule type="expression" dxfId="25" priority="25" stopIfTrue="1">
      <formula>AND($B1094="Tender Received",$D1094&lt;=(TODAY()+3))</formula>
    </cfRule>
    <cfRule type="expression" dxfId="24" priority="26" stopIfTrue="1">
      <formula>$B1094="Tender Received"</formula>
    </cfRule>
  </conditionalFormatting>
  <conditionalFormatting sqref="B1099 D1099:K1099 O1099:R1099">
    <cfRule type="expression" dxfId="23" priority="23" stopIfTrue="1">
      <formula>AND($B1099="Tender Received",$D1099&lt;=(TODAY()+3))</formula>
    </cfRule>
    <cfRule type="expression" dxfId="22" priority="24" stopIfTrue="1">
      <formula>$B1099="Tender Received"</formula>
    </cfRule>
  </conditionalFormatting>
  <conditionalFormatting sqref="M1099:N1099">
    <cfRule type="expression" dxfId="21" priority="21" stopIfTrue="1">
      <formula>AND($B1099="Tender Received",$D1099&lt;=(TODAY()+3))</formula>
    </cfRule>
    <cfRule type="expression" dxfId="20" priority="22" stopIfTrue="1">
      <formula>$B1099="Tender Received"</formula>
    </cfRule>
  </conditionalFormatting>
  <conditionalFormatting sqref="L1099">
    <cfRule type="expression" dxfId="19" priority="19" stopIfTrue="1">
      <formula>AND($B1099="Tender Received",$D1099&lt;=(TODAY()+3))</formula>
    </cfRule>
    <cfRule type="expression" dxfId="18" priority="20" stopIfTrue="1">
      <formula>$B1099="Tender Received"</formula>
    </cfRule>
  </conditionalFormatting>
  <conditionalFormatting sqref="C1099">
    <cfRule type="expression" dxfId="17" priority="17" stopIfTrue="1">
      <formula>AND($B1099="Tender Received",$D1099&lt;=(TODAY()+3))</formula>
    </cfRule>
    <cfRule type="expression" dxfId="16" priority="18" stopIfTrue="1">
      <formula>$B1099="Tender Received"</formula>
    </cfRule>
  </conditionalFormatting>
  <conditionalFormatting sqref="M1099:R1099 D1099:K1099">
    <cfRule type="expression" dxfId="15" priority="15" stopIfTrue="1">
      <formula>AND($B1099="Tender Received",$D1099&lt;=(TODAY()+3))</formula>
    </cfRule>
    <cfRule type="expression" dxfId="14" priority="16" stopIfTrue="1">
      <formula>$B1099="Tender Received"</formula>
    </cfRule>
  </conditionalFormatting>
  <conditionalFormatting sqref="C1099">
    <cfRule type="expression" dxfId="13" priority="13" stopIfTrue="1">
      <formula>AND($B1099="Tender Received",$D1099&lt;=(TODAY()+3))</formula>
    </cfRule>
    <cfRule type="expression" dxfId="12" priority="14" stopIfTrue="1">
      <formula>$B1099="Tender Received"</formula>
    </cfRule>
  </conditionalFormatting>
  <conditionalFormatting sqref="L1099">
    <cfRule type="expression" dxfId="11" priority="11" stopIfTrue="1">
      <formula>AND($B1099="Tender Received",$D1099&lt;=(TODAY()+3))</formula>
    </cfRule>
    <cfRule type="expression" dxfId="10" priority="12" stopIfTrue="1">
      <formula>$B1099="Tender Received"</formula>
    </cfRule>
  </conditionalFormatting>
  <conditionalFormatting sqref="I1099">
    <cfRule type="expression" dxfId="9" priority="9" stopIfTrue="1">
      <formula>AND($B1099="Tender Received",$D1099&lt;=(TODAY()+3))</formula>
    </cfRule>
    <cfRule type="expression" dxfId="8" priority="10" stopIfTrue="1">
      <formula>$B1099="Tender Received"</formula>
    </cfRule>
  </conditionalFormatting>
  <conditionalFormatting sqref="O1086:P1086">
    <cfRule type="expression" dxfId="7" priority="7" stopIfTrue="1">
      <formula>AND($B1086="Tender Received",$D1086&lt;=(TODAY()+3))</formula>
    </cfRule>
    <cfRule type="expression" dxfId="6" priority="8" stopIfTrue="1">
      <formula>$B1086="Tender Received"</formula>
    </cfRule>
  </conditionalFormatting>
  <conditionalFormatting sqref="N1086">
    <cfRule type="expression" dxfId="5" priority="5" stopIfTrue="1">
      <formula>AND($B1086="Tender Received",$D1086&lt;=(TODAY()+3))</formula>
    </cfRule>
    <cfRule type="expression" dxfId="4" priority="6" stopIfTrue="1">
      <formula>$B1086="Tender Received"</formula>
    </cfRule>
  </conditionalFormatting>
  <conditionalFormatting sqref="L1101">
    <cfRule type="expression" dxfId="3" priority="3" stopIfTrue="1">
      <formula>AND($B1101="Tender Received",$D1101&lt;=(TODAY()+3))</formula>
    </cfRule>
    <cfRule type="expression" dxfId="2" priority="4" stopIfTrue="1">
      <formula>$B1101="Tender Received"</formula>
    </cfRule>
  </conditionalFormatting>
  <conditionalFormatting sqref="A1053:A1112">
    <cfRule type="expression" dxfId="1" priority="1" stopIfTrue="1">
      <formula>AND($B1053="Tender Received",$D1053&lt;=(TODAY()+3))</formula>
    </cfRule>
    <cfRule type="expression" dxfId="0" priority="2" stopIfTrue="1">
      <formula>$B1053="Tender Received"</formula>
    </cfRule>
  </conditionalFormatting>
  <dataValidations count="1">
    <dataValidation type="list" allowBlank="1" showInputMessage="1" showErrorMessage="1" sqref="B2:B521">
      <formula1>tender_status</formula1>
    </dataValidation>
  </dataValidations>
  <printOptions horizontalCentered="1"/>
  <pageMargins left="0.25" right="0.25" top="0.5" bottom="0.5" header="0.3" footer="0.3"/>
  <pageSetup paperSize="9" scale="75" fitToHeight="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B8"/>
  <sheetViews>
    <sheetView workbookViewId="0"/>
  </sheetViews>
  <sheetFormatPr defaultRowHeight="14.5" x14ac:dyDescent="0.35"/>
  <sheetData>
    <row r="1" spans="2:2" x14ac:dyDescent="0.35">
      <c r="B1" t="s">
        <v>21</v>
      </c>
    </row>
    <row r="2" spans="2:2" x14ac:dyDescent="0.35">
      <c r="B2" t="s">
        <v>27</v>
      </c>
    </row>
    <row r="3" spans="2:2" x14ac:dyDescent="0.35">
      <c r="B3" t="s">
        <v>28</v>
      </c>
    </row>
    <row r="4" spans="2:2" x14ac:dyDescent="0.35">
      <c r="B4" t="s">
        <v>29</v>
      </c>
    </row>
    <row r="5" spans="2:2" x14ac:dyDescent="0.35">
      <c r="B5" t="s">
        <v>30</v>
      </c>
    </row>
    <row r="6" spans="2:2" x14ac:dyDescent="0.35">
      <c r="B6" t="s">
        <v>31</v>
      </c>
    </row>
    <row r="7" spans="2:2" x14ac:dyDescent="0.35">
      <c r="B7" t="s">
        <v>32</v>
      </c>
    </row>
    <row r="8" spans="2:2" x14ac:dyDescent="0.35">
      <c r="B8" t="s">
        <v>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Dashboard</vt:lpstr>
      <vt:lpstr>Tender Submitted</vt:lpstr>
      <vt:lpstr>Sheet1</vt:lpstr>
      <vt:lpstr>tender_status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Aadi</dc:creator>
  <cp:lastModifiedBy>HR59</cp:lastModifiedBy>
  <cp:lastPrinted>2018-09-07T10:13:30Z</cp:lastPrinted>
  <dcterms:created xsi:type="dcterms:W3CDTF">2016-11-27T15:01:08Z</dcterms:created>
  <dcterms:modified xsi:type="dcterms:W3CDTF">2026-04-18T09:50:00Z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e7c920f3-f1f8-4f5d-be1f-269e94a2b885</vt:lpwstr>
  </property>
</Properties>
</file>